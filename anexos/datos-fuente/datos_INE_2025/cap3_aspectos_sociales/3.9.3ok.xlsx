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6" windowWidth="20112" windowHeight="7368" tabRatio="819"/>
  </bookViews>
  <sheets>
    <sheet name="3.9.3" sheetId="2" r:id="rId1"/>
    <sheet name="Serie histórica" sheetId="3" r:id="rId2"/>
  </sheets>
  <definedNames>
    <definedName name="_xlnm.Print_Area" localSheetId="0">'3.9.3'!$A$2:$H$30</definedName>
  </definedNames>
  <calcPr calcId="145621"/>
</workbook>
</file>

<file path=xl/calcChain.xml><?xml version="1.0" encoding="utf-8"?>
<calcChain xmlns="http://schemas.openxmlformats.org/spreadsheetml/2006/main">
  <c r="AH27" i="3" l="1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6" i="3"/>
  <c r="F28" i="2"/>
  <c r="B28" i="2"/>
  <c r="F27" i="2"/>
  <c r="B27" i="2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D10" i="2"/>
  <c r="C10" i="2"/>
  <c r="B10" i="2"/>
  <c r="F9" i="2"/>
  <c r="B9" i="2"/>
  <c r="F7" i="2"/>
  <c r="D7" i="2"/>
  <c r="C7" i="2"/>
  <c r="B7" i="2"/>
  <c r="AD27" i="3" l="1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F9" i="3"/>
  <c r="AE9" i="3"/>
  <c r="AD8" i="3"/>
  <c r="AF6" i="3"/>
  <c r="AE6" i="3"/>
  <c r="AD6" i="3"/>
  <c r="AB9" i="3" l="1"/>
  <c r="AA9" i="3"/>
  <c r="Z27" i="3" l="1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8" i="3"/>
  <c r="AB6" i="3"/>
  <c r="AA6" i="3"/>
  <c r="Z6" i="3" s="1"/>
  <c r="Z9" i="3" l="1"/>
  <c r="X9" i="3"/>
  <c r="W9" i="3"/>
  <c r="V9" i="3"/>
  <c r="V6" i="3"/>
  <c r="R27" i="3" l="1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T9" i="3"/>
  <c r="S9" i="3"/>
  <c r="R9" i="3"/>
  <c r="R8" i="3"/>
  <c r="T6" i="3"/>
  <c r="S6" i="3"/>
  <c r="R6" i="3"/>
  <c r="N27" i="3" l="1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P9" i="3"/>
  <c r="P6" i="3" s="1"/>
  <c r="O9" i="3"/>
  <c r="N9" i="3" s="1"/>
  <c r="N8" i="3"/>
  <c r="O6" i="3"/>
  <c r="N6" i="3" l="1"/>
  <c r="H6" i="3"/>
  <c r="K6" i="3"/>
  <c r="J8" i="3"/>
  <c r="G9" i="3"/>
  <c r="G6" i="3" s="1"/>
  <c r="H9" i="3"/>
  <c r="K9" i="3"/>
  <c r="L9" i="3"/>
  <c r="L6" i="3" s="1"/>
  <c r="F10" i="3"/>
  <c r="J10" i="3"/>
  <c r="J9" i="3" s="1"/>
  <c r="J6" i="3" s="1"/>
  <c r="F11" i="3"/>
  <c r="F9" i="3" s="1"/>
  <c r="F6" i="3" s="1"/>
  <c r="J11" i="3"/>
  <c r="F12" i="3"/>
  <c r="J12" i="3"/>
  <c r="F13" i="3"/>
  <c r="J13" i="3"/>
  <c r="F14" i="3"/>
  <c r="J14" i="3"/>
  <c r="F15" i="3"/>
  <c r="J15" i="3"/>
  <c r="F16" i="3"/>
  <c r="J16" i="3"/>
  <c r="F17" i="3"/>
  <c r="J17" i="3"/>
  <c r="F18" i="3"/>
  <c r="J18" i="3"/>
  <c r="F19" i="3"/>
  <c r="J19" i="3"/>
  <c r="F20" i="3"/>
  <c r="J20" i="3"/>
  <c r="F21" i="3"/>
  <c r="J21" i="3"/>
  <c r="F22" i="3"/>
  <c r="J22" i="3"/>
  <c r="F23" i="3"/>
  <c r="J23" i="3"/>
  <c r="F24" i="3"/>
  <c r="J24" i="3"/>
  <c r="F25" i="3"/>
  <c r="J25" i="3"/>
  <c r="F26" i="3"/>
  <c r="J26" i="3"/>
  <c r="F27" i="3"/>
  <c r="J27" i="3"/>
  <c r="D9" i="3" l="1"/>
  <c r="C9" i="3"/>
  <c r="C6" i="3" s="1"/>
  <c r="B9" i="3"/>
  <c r="B6" i="3" s="1"/>
  <c r="D6" i="3"/>
</calcChain>
</file>

<file path=xl/sharedStrings.xml><?xml version="1.0" encoding="utf-8"?>
<sst xmlns="http://schemas.openxmlformats.org/spreadsheetml/2006/main" count="85" uniqueCount="31">
  <si>
    <t>Simple</t>
  </si>
  <si>
    <t>Doble</t>
  </si>
  <si>
    <t>Total</t>
  </si>
  <si>
    <t>Montevideo</t>
  </si>
  <si>
    <t>Departamento</t>
  </si>
  <si>
    <t xml:space="preserve">  Artigas</t>
  </si>
  <si>
    <t xml:space="preserve"> Canelones</t>
  </si>
  <si>
    <t xml:space="preserve"> Cerro Largo</t>
  </si>
  <si>
    <t xml:space="preserve"> Colonia</t>
  </si>
  <si>
    <t xml:space="preserve"> Durazno</t>
  </si>
  <si>
    <t xml:space="preserve"> Flores</t>
  </si>
  <si>
    <t xml:space="preserve"> Florida</t>
  </si>
  <si>
    <t xml:space="preserve"> Lavalleja</t>
  </si>
  <si>
    <t xml:space="preserve"> Maldonado</t>
  </si>
  <si>
    <t xml:space="preserve"> Paysandú</t>
  </si>
  <si>
    <t xml:space="preserve"> Río Negro</t>
  </si>
  <si>
    <t xml:space="preserve"> Rivera</t>
  </si>
  <si>
    <t xml:space="preserve"> Rocha</t>
  </si>
  <si>
    <t xml:space="preserve"> Salto</t>
  </si>
  <si>
    <t xml:space="preserve"> San José</t>
  </si>
  <si>
    <t xml:space="preserve"> Soriano</t>
  </si>
  <si>
    <t xml:space="preserve"> Tacuarembó</t>
  </si>
  <si>
    <t xml:space="preserve"> Treinta y Tres</t>
  </si>
  <si>
    <t>Resto País</t>
  </si>
  <si>
    <t xml:space="preserve">3.9.3 - Cantidad de Tarjetas Uruguay Social (TUS), por tipo (simple o doble) y año, según departamento </t>
  </si>
  <si>
    <t>Total País</t>
  </si>
  <si>
    <t>Fuente: Ministerio de Desarrollo Social (MIDES) - Dirección Nacional de Información, Evaluación y Monitoreo (DINEM).</t>
  </si>
  <si>
    <t>Fuente: Ministerio de Desarrollo Social (MIDES) - Dirección Nacional de Transferencias y Análisis de Datos (DINTAD).</t>
  </si>
  <si>
    <t xml:space="preserve"> Artigas</t>
  </si>
  <si>
    <t>Nota: Para el año 2023 existen 6 casos sin dato.</t>
  </si>
  <si>
    <t>Nota: Para el año 2024 existen 22 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</si>
</sst>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_);\(0\)"/>
    <numFmt numFmtId="165" formatCode="_-* #,##0_-;\-* #,##0_-;_-* &quot;-&quot;??_-;_-@_-"/>
  </numFmts>
  <fonts count="15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b/>
      <sz val="9"/>
      <color theme="1"/>
      <name val="Arial"/>
      <family val="2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9" fillId="0" borderId="0"/>
    <xf numFmtId="43" fontId="13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 applyFill="1" applyBorder="1"/>
    <xf numFmtId="3" fontId="3" fillId="0" borderId="0" xfId="1" applyNumberFormat="1" applyFont="1" applyFill="1" applyBorder="1" applyAlignment="1"/>
    <xf numFmtId="3" fontId="5" fillId="0" borderId="0" xfId="4" applyNumberFormat="1" applyFont="1" applyFill="1" applyBorder="1" applyAlignment="1"/>
    <xf numFmtId="3" fontId="3" fillId="0" borderId="0" xfId="4" applyNumberFormat="1" applyFont="1" applyFill="1" applyBorder="1" applyAlignment="1"/>
    <xf numFmtId="0" fontId="6" fillId="0" borderId="0" xfId="0" applyFont="1" applyFill="1" applyBorder="1" applyAlignment="1" applyProtection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3" fontId="10" fillId="0" borderId="0" xfId="0" applyNumberFormat="1" applyFont="1" applyFill="1" applyBorder="1" applyAlignment="1">
      <alignment vertical="center"/>
    </xf>
    <xf numFmtId="0" fontId="0" fillId="0" borderId="0" xfId="0" applyFill="1" applyBorder="1"/>
    <xf numFmtId="3" fontId="5" fillId="0" borderId="0" xfId="2" applyNumberFormat="1" applyFont="1" applyFill="1" applyBorder="1" applyAlignment="1">
      <alignment vertical="top" wrapText="1"/>
    </xf>
    <xf numFmtId="164" fontId="11" fillId="2" borderId="0" xfId="0" applyNumberFormat="1" applyFont="1" applyFill="1" applyBorder="1" applyAlignment="1" applyProtection="1">
      <alignment horizontal="left"/>
    </xf>
    <xf numFmtId="3" fontId="12" fillId="0" borderId="0" xfId="0" applyNumberFormat="1" applyFont="1" applyFill="1" applyBorder="1" applyAlignment="1">
      <alignment horizontal="right" vertical="center"/>
    </xf>
    <xf numFmtId="0" fontId="7" fillId="3" borderId="0" xfId="0" applyFont="1" applyFill="1" applyBorder="1"/>
    <xf numFmtId="0" fontId="6" fillId="3" borderId="0" xfId="0" applyFont="1" applyFill="1" applyBorder="1"/>
    <xf numFmtId="3" fontId="10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1" fillId="3" borderId="0" xfId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right"/>
    </xf>
    <xf numFmtId="3" fontId="5" fillId="3" borderId="0" xfId="4" applyNumberFormat="1" applyFont="1" applyFill="1" applyBorder="1" applyAlignment="1"/>
    <xf numFmtId="3" fontId="3" fillId="3" borderId="0" xfId="4" applyNumberFormat="1" applyFont="1" applyFill="1" applyBorder="1" applyAlignment="1"/>
    <xf numFmtId="3" fontId="3" fillId="3" borderId="0" xfId="1" applyNumberFormat="1" applyFont="1" applyFill="1" applyBorder="1" applyAlignment="1"/>
    <xf numFmtId="3" fontId="12" fillId="3" borderId="0" xfId="0" applyNumberFormat="1" applyFont="1" applyFill="1" applyBorder="1" applyAlignment="1">
      <alignment vertical="center"/>
    </xf>
    <xf numFmtId="3" fontId="5" fillId="3" borderId="0" xfId="2" applyNumberFormat="1" applyFont="1" applyFill="1" applyBorder="1" applyAlignment="1">
      <alignment vertical="top" wrapText="1"/>
    </xf>
    <xf numFmtId="3" fontId="3" fillId="3" borderId="0" xfId="2" applyNumberFormat="1" applyFont="1" applyFill="1" applyBorder="1" applyAlignment="1">
      <alignment vertical="top" wrapText="1"/>
    </xf>
    <xf numFmtId="3" fontId="5" fillId="3" borderId="0" xfId="1" applyNumberFormat="1" applyFont="1" applyFill="1" applyBorder="1" applyAlignment="1"/>
    <xf numFmtId="3" fontId="10" fillId="0" borderId="0" xfId="0" applyNumberFormat="1" applyFont="1" applyFill="1" applyBorder="1" applyAlignment="1">
      <alignment horizontal="right" vertical="center"/>
    </xf>
    <xf numFmtId="3" fontId="12" fillId="0" borderId="0" xfId="0" applyNumberFormat="1" applyFont="1" applyFill="1" applyBorder="1" applyAlignment="1">
      <alignment vertical="center"/>
    </xf>
    <xf numFmtId="165" fontId="12" fillId="0" borderId="0" xfId="9" applyNumberFormat="1" applyFont="1" applyFill="1" applyBorder="1" applyAlignment="1">
      <alignment vertical="center"/>
    </xf>
    <xf numFmtId="165" fontId="10" fillId="0" borderId="0" xfId="9" applyNumberFormat="1" applyFont="1" applyFill="1" applyBorder="1" applyAlignment="1">
      <alignment vertical="center"/>
    </xf>
    <xf numFmtId="0" fontId="14" fillId="0" borderId="0" xfId="1" applyFont="1" applyFill="1" applyBorder="1"/>
    <xf numFmtId="0" fontId="6" fillId="0" borderId="0" xfId="0" applyFont="1" applyFill="1" applyBorder="1" applyAlignment="1">
      <alignment horizontal="left" wrapText="1"/>
    </xf>
    <xf numFmtId="164" fontId="11" fillId="2" borderId="0" xfId="0" applyNumberFormat="1" applyFont="1" applyFill="1" applyBorder="1" applyAlignment="1" applyProtection="1">
      <alignment horizontal="left" wrapText="1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</cellXfs>
  <cellStyles count="10">
    <cellStyle name="Millares" xfId="9" builtinId="3"/>
    <cellStyle name="Normal" xfId="0" builtinId="0"/>
    <cellStyle name="Normal 11" xfId="4"/>
    <cellStyle name="Normal 2" xfId="6"/>
    <cellStyle name="Normal 2 2 2" xfId="7"/>
    <cellStyle name="Normal 3" xfId="3"/>
    <cellStyle name="Normal 4" xfId="1"/>
    <cellStyle name="Normal 4 2" xfId="8"/>
    <cellStyle name="Normal_Emp" xfId="2"/>
    <cellStyle name="TableStyleLight1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showGridLines="0" tabSelected="1" zoomScaleNormal="100" workbookViewId="0">
      <selection sqref="A1:H2"/>
    </sheetView>
  </sheetViews>
  <sheetFormatPr baseColWidth="10" defaultRowHeight="13.8"/>
  <cols>
    <col min="1" max="1" width="15.109375" style="1" customWidth="1"/>
    <col min="2" max="4" width="10.109375" style="1" customWidth="1"/>
    <col min="5" max="5" width="1.6640625" style="1" customWidth="1"/>
    <col min="6" max="7" width="10.33203125" style="1" customWidth="1"/>
    <col min="8" max="8" width="12.109375" style="1" customWidth="1"/>
    <col min="9" max="9" width="8.44140625" style="1" customWidth="1"/>
    <col min="10" max="228" width="11.21875" style="1"/>
    <col min="229" max="232" width="13.109375" style="1" customWidth="1"/>
    <col min="233" max="233" width="11" style="1" customWidth="1"/>
    <col min="234" max="236" width="13.109375" style="1" customWidth="1"/>
    <col min="237" max="237" width="8.44140625" style="1" customWidth="1"/>
    <col min="238" max="241" width="13.109375" style="1" customWidth="1"/>
    <col min="242" max="484" width="11.21875" style="1"/>
    <col min="485" max="488" width="13.109375" style="1" customWidth="1"/>
    <col min="489" max="489" width="11" style="1" customWidth="1"/>
    <col min="490" max="492" width="13.109375" style="1" customWidth="1"/>
    <col min="493" max="493" width="8.44140625" style="1" customWidth="1"/>
    <col min="494" max="497" width="13.109375" style="1" customWidth="1"/>
    <col min="498" max="740" width="11.21875" style="1"/>
    <col min="741" max="744" width="13.109375" style="1" customWidth="1"/>
    <col min="745" max="745" width="11" style="1" customWidth="1"/>
    <col min="746" max="748" width="13.109375" style="1" customWidth="1"/>
    <col min="749" max="749" width="8.44140625" style="1" customWidth="1"/>
    <col min="750" max="753" width="13.109375" style="1" customWidth="1"/>
    <col min="754" max="996" width="11.21875" style="1"/>
    <col min="997" max="1000" width="13.109375" style="1" customWidth="1"/>
    <col min="1001" max="1001" width="11" style="1" customWidth="1"/>
    <col min="1002" max="1004" width="13.109375" style="1" customWidth="1"/>
    <col min="1005" max="1005" width="8.44140625" style="1" customWidth="1"/>
    <col min="1006" max="1009" width="13.109375" style="1" customWidth="1"/>
    <col min="1010" max="1252" width="11.21875" style="1"/>
    <col min="1253" max="1256" width="13.109375" style="1" customWidth="1"/>
    <col min="1257" max="1257" width="11" style="1" customWidth="1"/>
    <col min="1258" max="1260" width="13.109375" style="1" customWidth="1"/>
    <col min="1261" max="1261" width="8.44140625" style="1" customWidth="1"/>
    <col min="1262" max="1265" width="13.109375" style="1" customWidth="1"/>
    <col min="1266" max="1508" width="11.21875" style="1"/>
    <col min="1509" max="1512" width="13.109375" style="1" customWidth="1"/>
    <col min="1513" max="1513" width="11" style="1" customWidth="1"/>
    <col min="1514" max="1516" width="13.109375" style="1" customWidth="1"/>
    <col min="1517" max="1517" width="8.44140625" style="1" customWidth="1"/>
    <col min="1518" max="1521" width="13.109375" style="1" customWidth="1"/>
    <col min="1522" max="1764" width="11.21875" style="1"/>
    <col min="1765" max="1768" width="13.109375" style="1" customWidth="1"/>
    <col min="1769" max="1769" width="11" style="1" customWidth="1"/>
    <col min="1770" max="1772" width="13.109375" style="1" customWidth="1"/>
    <col min="1773" max="1773" width="8.44140625" style="1" customWidth="1"/>
    <col min="1774" max="1777" width="13.109375" style="1" customWidth="1"/>
    <col min="1778" max="2020" width="11.21875" style="1"/>
    <col min="2021" max="2024" width="13.109375" style="1" customWidth="1"/>
    <col min="2025" max="2025" width="11" style="1" customWidth="1"/>
    <col min="2026" max="2028" width="13.109375" style="1" customWidth="1"/>
    <col min="2029" max="2029" width="8.44140625" style="1" customWidth="1"/>
    <col min="2030" max="2033" width="13.109375" style="1" customWidth="1"/>
    <col min="2034" max="2276" width="11.21875" style="1"/>
    <col min="2277" max="2280" width="13.109375" style="1" customWidth="1"/>
    <col min="2281" max="2281" width="11" style="1" customWidth="1"/>
    <col min="2282" max="2284" width="13.109375" style="1" customWidth="1"/>
    <col min="2285" max="2285" width="8.44140625" style="1" customWidth="1"/>
    <col min="2286" max="2289" width="13.109375" style="1" customWidth="1"/>
    <col min="2290" max="2532" width="11.21875" style="1"/>
    <col min="2533" max="2536" width="13.109375" style="1" customWidth="1"/>
    <col min="2537" max="2537" width="11" style="1" customWidth="1"/>
    <col min="2538" max="2540" width="13.109375" style="1" customWidth="1"/>
    <col min="2541" max="2541" width="8.44140625" style="1" customWidth="1"/>
    <col min="2542" max="2545" width="13.109375" style="1" customWidth="1"/>
    <col min="2546" max="2788" width="11.21875" style="1"/>
    <col min="2789" max="2792" width="13.109375" style="1" customWidth="1"/>
    <col min="2793" max="2793" width="11" style="1" customWidth="1"/>
    <col min="2794" max="2796" width="13.109375" style="1" customWidth="1"/>
    <col min="2797" max="2797" width="8.44140625" style="1" customWidth="1"/>
    <col min="2798" max="2801" width="13.109375" style="1" customWidth="1"/>
    <col min="2802" max="3044" width="11.21875" style="1"/>
    <col min="3045" max="3048" width="13.109375" style="1" customWidth="1"/>
    <col min="3049" max="3049" width="11" style="1" customWidth="1"/>
    <col min="3050" max="3052" width="13.109375" style="1" customWidth="1"/>
    <col min="3053" max="3053" width="8.44140625" style="1" customWidth="1"/>
    <col min="3054" max="3057" width="13.109375" style="1" customWidth="1"/>
    <col min="3058" max="3300" width="11.21875" style="1"/>
    <col min="3301" max="3304" width="13.109375" style="1" customWidth="1"/>
    <col min="3305" max="3305" width="11" style="1" customWidth="1"/>
    <col min="3306" max="3308" width="13.109375" style="1" customWidth="1"/>
    <col min="3309" max="3309" width="8.44140625" style="1" customWidth="1"/>
    <col min="3310" max="3313" width="13.109375" style="1" customWidth="1"/>
    <col min="3314" max="3556" width="11.21875" style="1"/>
    <col min="3557" max="3560" width="13.109375" style="1" customWidth="1"/>
    <col min="3561" max="3561" width="11" style="1" customWidth="1"/>
    <col min="3562" max="3564" width="13.109375" style="1" customWidth="1"/>
    <col min="3565" max="3565" width="8.44140625" style="1" customWidth="1"/>
    <col min="3566" max="3569" width="13.109375" style="1" customWidth="1"/>
    <col min="3570" max="3812" width="11.21875" style="1"/>
    <col min="3813" max="3816" width="13.109375" style="1" customWidth="1"/>
    <col min="3817" max="3817" width="11" style="1" customWidth="1"/>
    <col min="3818" max="3820" width="13.109375" style="1" customWidth="1"/>
    <col min="3821" max="3821" width="8.44140625" style="1" customWidth="1"/>
    <col min="3822" max="3825" width="13.109375" style="1" customWidth="1"/>
    <col min="3826" max="4068" width="11.21875" style="1"/>
    <col min="4069" max="4072" width="13.109375" style="1" customWidth="1"/>
    <col min="4073" max="4073" width="11" style="1" customWidth="1"/>
    <col min="4074" max="4076" width="13.109375" style="1" customWidth="1"/>
    <col min="4077" max="4077" width="8.44140625" style="1" customWidth="1"/>
    <col min="4078" max="4081" width="13.109375" style="1" customWidth="1"/>
    <col min="4082" max="4324" width="11.21875" style="1"/>
    <col min="4325" max="4328" width="13.109375" style="1" customWidth="1"/>
    <col min="4329" max="4329" width="11" style="1" customWidth="1"/>
    <col min="4330" max="4332" width="13.109375" style="1" customWidth="1"/>
    <col min="4333" max="4333" width="8.44140625" style="1" customWidth="1"/>
    <col min="4334" max="4337" width="13.109375" style="1" customWidth="1"/>
    <col min="4338" max="4580" width="11.21875" style="1"/>
    <col min="4581" max="4584" width="13.109375" style="1" customWidth="1"/>
    <col min="4585" max="4585" width="11" style="1" customWidth="1"/>
    <col min="4586" max="4588" width="13.109375" style="1" customWidth="1"/>
    <col min="4589" max="4589" width="8.44140625" style="1" customWidth="1"/>
    <col min="4590" max="4593" width="13.109375" style="1" customWidth="1"/>
    <col min="4594" max="4836" width="11.21875" style="1"/>
    <col min="4837" max="4840" width="13.109375" style="1" customWidth="1"/>
    <col min="4841" max="4841" width="11" style="1" customWidth="1"/>
    <col min="4842" max="4844" width="13.109375" style="1" customWidth="1"/>
    <col min="4845" max="4845" width="8.44140625" style="1" customWidth="1"/>
    <col min="4846" max="4849" width="13.109375" style="1" customWidth="1"/>
    <col min="4850" max="5092" width="11.21875" style="1"/>
    <col min="5093" max="5096" width="13.109375" style="1" customWidth="1"/>
    <col min="5097" max="5097" width="11" style="1" customWidth="1"/>
    <col min="5098" max="5100" width="13.109375" style="1" customWidth="1"/>
    <col min="5101" max="5101" width="8.44140625" style="1" customWidth="1"/>
    <col min="5102" max="5105" width="13.109375" style="1" customWidth="1"/>
    <col min="5106" max="5348" width="11.21875" style="1"/>
    <col min="5349" max="5352" width="13.109375" style="1" customWidth="1"/>
    <col min="5353" max="5353" width="11" style="1" customWidth="1"/>
    <col min="5354" max="5356" width="13.109375" style="1" customWidth="1"/>
    <col min="5357" max="5357" width="8.44140625" style="1" customWidth="1"/>
    <col min="5358" max="5361" width="13.109375" style="1" customWidth="1"/>
    <col min="5362" max="5604" width="11.21875" style="1"/>
    <col min="5605" max="5608" width="13.109375" style="1" customWidth="1"/>
    <col min="5609" max="5609" width="11" style="1" customWidth="1"/>
    <col min="5610" max="5612" width="13.109375" style="1" customWidth="1"/>
    <col min="5613" max="5613" width="8.44140625" style="1" customWidth="1"/>
    <col min="5614" max="5617" width="13.109375" style="1" customWidth="1"/>
    <col min="5618" max="5860" width="11.21875" style="1"/>
    <col min="5861" max="5864" width="13.109375" style="1" customWidth="1"/>
    <col min="5865" max="5865" width="11" style="1" customWidth="1"/>
    <col min="5866" max="5868" width="13.109375" style="1" customWidth="1"/>
    <col min="5869" max="5869" width="8.44140625" style="1" customWidth="1"/>
    <col min="5870" max="5873" width="13.109375" style="1" customWidth="1"/>
    <col min="5874" max="6116" width="11.21875" style="1"/>
    <col min="6117" max="6120" width="13.109375" style="1" customWidth="1"/>
    <col min="6121" max="6121" width="11" style="1" customWidth="1"/>
    <col min="6122" max="6124" width="13.109375" style="1" customWidth="1"/>
    <col min="6125" max="6125" width="8.44140625" style="1" customWidth="1"/>
    <col min="6126" max="6129" width="13.109375" style="1" customWidth="1"/>
    <col min="6130" max="6372" width="11.21875" style="1"/>
    <col min="6373" max="6376" width="13.109375" style="1" customWidth="1"/>
    <col min="6377" max="6377" width="11" style="1" customWidth="1"/>
    <col min="6378" max="6380" width="13.109375" style="1" customWidth="1"/>
    <col min="6381" max="6381" width="8.44140625" style="1" customWidth="1"/>
    <col min="6382" max="6385" width="13.109375" style="1" customWidth="1"/>
    <col min="6386" max="6628" width="11.21875" style="1"/>
    <col min="6629" max="6632" width="13.109375" style="1" customWidth="1"/>
    <col min="6633" max="6633" width="11" style="1" customWidth="1"/>
    <col min="6634" max="6636" width="13.109375" style="1" customWidth="1"/>
    <col min="6637" max="6637" width="8.44140625" style="1" customWidth="1"/>
    <col min="6638" max="6641" width="13.109375" style="1" customWidth="1"/>
    <col min="6642" max="6884" width="11.21875" style="1"/>
    <col min="6885" max="6888" width="13.109375" style="1" customWidth="1"/>
    <col min="6889" max="6889" width="11" style="1" customWidth="1"/>
    <col min="6890" max="6892" width="13.109375" style="1" customWidth="1"/>
    <col min="6893" max="6893" width="8.44140625" style="1" customWidth="1"/>
    <col min="6894" max="6897" width="13.109375" style="1" customWidth="1"/>
    <col min="6898" max="7140" width="11.21875" style="1"/>
    <col min="7141" max="7144" width="13.109375" style="1" customWidth="1"/>
    <col min="7145" max="7145" width="11" style="1" customWidth="1"/>
    <col min="7146" max="7148" width="13.109375" style="1" customWidth="1"/>
    <col min="7149" max="7149" width="8.44140625" style="1" customWidth="1"/>
    <col min="7150" max="7153" width="13.109375" style="1" customWidth="1"/>
    <col min="7154" max="7396" width="11.21875" style="1"/>
    <col min="7397" max="7400" width="13.109375" style="1" customWidth="1"/>
    <col min="7401" max="7401" width="11" style="1" customWidth="1"/>
    <col min="7402" max="7404" width="13.109375" style="1" customWidth="1"/>
    <col min="7405" max="7405" width="8.44140625" style="1" customWidth="1"/>
    <col min="7406" max="7409" width="13.109375" style="1" customWidth="1"/>
    <col min="7410" max="7652" width="11.21875" style="1"/>
    <col min="7653" max="7656" width="13.109375" style="1" customWidth="1"/>
    <col min="7657" max="7657" width="11" style="1" customWidth="1"/>
    <col min="7658" max="7660" width="13.109375" style="1" customWidth="1"/>
    <col min="7661" max="7661" width="8.44140625" style="1" customWidth="1"/>
    <col min="7662" max="7665" width="13.109375" style="1" customWidth="1"/>
    <col min="7666" max="7908" width="11.21875" style="1"/>
    <col min="7909" max="7912" width="13.109375" style="1" customWidth="1"/>
    <col min="7913" max="7913" width="11" style="1" customWidth="1"/>
    <col min="7914" max="7916" width="13.109375" style="1" customWidth="1"/>
    <col min="7917" max="7917" width="8.44140625" style="1" customWidth="1"/>
    <col min="7918" max="7921" width="13.109375" style="1" customWidth="1"/>
    <col min="7922" max="8164" width="11.21875" style="1"/>
    <col min="8165" max="8168" width="13.109375" style="1" customWidth="1"/>
    <col min="8169" max="8169" width="11" style="1" customWidth="1"/>
    <col min="8170" max="8172" width="13.109375" style="1" customWidth="1"/>
    <col min="8173" max="8173" width="8.44140625" style="1" customWidth="1"/>
    <col min="8174" max="8177" width="13.109375" style="1" customWidth="1"/>
    <col min="8178" max="8420" width="11.21875" style="1"/>
    <col min="8421" max="8424" width="13.109375" style="1" customWidth="1"/>
    <col min="8425" max="8425" width="11" style="1" customWidth="1"/>
    <col min="8426" max="8428" width="13.109375" style="1" customWidth="1"/>
    <col min="8429" max="8429" width="8.44140625" style="1" customWidth="1"/>
    <col min="8430" max="8433" width="13.109375" style="1" customWidth="1"/>
    <col min="8434" max="8676" width="11.21875" style="1"/>
    <col min="8677" max="8680" width="13.109375" style="1" customWidth="1"/>
    <col min="8681" max="8681" width="11" style="1" customWidth="1"/>
    <col min="8682" max="8684" width="13.109375" style="1" customWidth="1"/>
    <col min="8685" max="8685" width="8.44140625" style="1" customWidth="1"/>
    <col min="8686" max="8689" width="13.109375" style="1" customWidth="1"/>
    <col min="8690" max="8932" width="11.21875" style="1"/>
    <col min="8933" max="8936" width="13.109375" style="1" customWidth="1"/>
    <col min="8937" max="8937" width="11" style="1" customWidth="1"/>
    <col min="8938" max="8940" width="13.109375" style="1" customWidth="1"/>
    <col min="8941" max="8941" width="8.44140625" style="1" customWidth="1"/>
    <col min="8942" max="8945" width="13.109375" style="1" customWidth="1"/>
    <col min="8946" max="9188" width="11.21875" style="1"/>
    <col min="9189" max="9192" width="13.109375" style="1" customWidth="1"/>
    <col min="9193" max="9193" width="11" style="1" customWidth="1"/>
    <col min="9194" max="9196" width="13.109375" style="1" customWidth="1"/>
    <col min="9197" max="9197" width="8.44140625" style="1" customWidth="1"/>
    <col min="9198" max="9201" width="13.109375" style="1" customWidth="1"/>
    <col min="9202" max="9444" width="11.21875" style="1"/>
    <col min="9445" max="9448" width="13.109375" style="1" customWidth="1"/>
    <col min="9449" max="9449" width="11" style="1" customWidth="1"/>
    <col min="9450" max="9452" width="13.109375" style="1" customWidth="1"/>
    <col min="9453" max="9453" width="8.44140625" style="1" customWidth="1"/>
    <col min="9454" max="9457" width="13.109375" style="1" customWidth="1"/>
    <col min="9458" max="9700" width="11.21875" style="1"/>
    <col min="9701" max="9704" width="13.109375" style="1" customWidth="1"/>
    <col min="9705" max="9705" width="11" style="1" customWidth="1"/>
    <col min="9706" max="9708" width="13.109375" style="1" customWidth="1"/>
    <col min="9709" max="9709" width="8.44140625" style="1" customWidth="1"/>
    <col min="9710" max="9713" width="13.109375" style="1" customWidth="1"/>
    <col min="9714" max="9956" width="11.21875" style="1"/>
    <col min="9957" max="9960" width="13.109375" style="1" customWidth="1"/>
    <col min="9961" max="9961" width="11" style="1" customWidth="1"/>
    <col min="9962" max="9964" width="13.109375" style="1" customWidth="1"/>
    <col min="9965" max="9965" width="8.44140625" style="1" customWidth="1"/>
    <col min="9966" max="9969" width="13.109375" style="1" customWidth="1"/>
    <col min="9970" max="10212" width="11.21875" style="1"/>
    <col min="10213" max="10216" width="13.109375" style="1" customWidth="1"/>
    <col min="10217" max="10217" width="11" style="1" customWidth="1"/>
    <col min="10218" max="10220" width="13.109375" style="1" customWidth="1"/>
    <col min="10221" max="10221" width="8.44140625" style="1" customWidth="1"/>
    <col min="10222" max="10225" width="13.109375" style="1" customWidth="1"/>
    <col min="10226" max="10468" width="11.21875" style="1"/>
    <col min="10469" max="10472" width="13.109375" style="1" customWidth="1"/>
    <col min="10473" max="10473" width="11" style="1" customWidth="1"/>
    <col min="10474" max="10476" width="13.109375" style="1" customWidth="1"/>
    <col min="10477" max="10477" width="8.44140625" style="1" customWidth="1"/>
    <col min="10478" max="10481" width="13.109375" style="1" customWidth="1"/>
    <col min="10482" max="10724" width="11.21875" style="1"/>
    <col min="10725" max="10728" width="13.109375" style="1" customWidth="1"/>
    <col min="10729" max="10729" width="11" style="1" customWidth="1"/>
    <col min="10730" max="10732" width="13.109375" style="1" customWidth="1"/>
    <col min="10733" max="10733" width="8.44140625" style="1" customWidth="1"/>
    <col min="10734" max="10737" width="13.109375" style="1" customWidth="1"/>
    <col min="10738" max="10980" width="11.21875" style="1"/>
    <col min="10981" max="10984" width="13.109375" style="1" customWidth="1"/>
    <col min="10985" max="10985" width="11" style="1" customWidth="1"/>
    <col min="10986" max="10988" width="13.109375" style="1" customWidth="1"/>
    <col min="10989" max="10989" width="8.44140625" style="1" customWidth="1"/>
    <col min="10990" max="10993" width="13.109375" style="1" customWidth="1"/>
    <col min="10994" max="11236" width="11.21875" style="1"/>
    <col min="11237" max="11240" width="13.109375" style="1" customWidth="1"/>
    <col min="11241" max="11241" width="11" style="1" customWidth="1"/>
    <col min="11242" max="11244" width="13.109375" style="1" customWidth="1"/>
    <col min="11245" max="11245" width="8.44140625" style="1" customWidth="1"/>
    <col min="11246" max="11249" width="13.109375" style="1" customWidth="1"/>
    <col min="11250" max="11492" width="11.21875" style="1"/>
    <col min="11493" max="11496" width="13.109375" style="1" customWidth="1"/>
    <col min="11497" max="11497" width="11" style="1" customWidth="1"/>
    <col min="11498" max="11500" width="13.109375" style="1" customWidth="1"/>
    <col min="11501" max="11501" width="8.44140625" style="1" customWidth="1"/>
    <col min="11502" max="11505" width="13.109375" style="1" customWidth="1"/>
    <col min="11506" max="11748" width="11.21875" style="1"/>
    <col min="11749" max="11752" width="13.109375" style="1" customWidth="1"/>
    <col min="11753" max="11753" width="11" style="1" customWidth="1"/>
    <col min="11754" max="11756" width="13.109375" style="1" customWidth="1"/>
    <col min="11757" max="11757" width="8.44140625" style="1" customWidth="1"/>
    <col min="11758" max="11761" width="13.109375" style="1" customWidth="1"/>
    <col min="11762" max="12004" width="11.21875" style="1"/>
    <col min="12005" max="12008" width="13.109375" style="1" customWidth="1"/>
    <col min="12009" max="12009" width="11" style="1" customWidth="1"/>
    <col min="12010" max="12012" width="13.109375" style="1" customWidth="1"/>
    <col min="12013" max="12013" width="8.44140625" style="1" customWidth="1"/>
    <col min="12014" max="12017" width="13.109375" style="1" customWidth="1"/>
    <col min="12018" max="12260" width="11.21875" style="1"/>
    <col min="12261" max="12264" width="13.109375" style="1" customWidth="1"/>
    <col min="12265" max="12265" width="11" style="1" customWidth="1"/>
    <col min="12266" max="12268" width="13.109375" style="1" customWidth="1"/>
    <col min="12269" max="12269" width="8.44140625" style="1" customWidth="1"/>
    <col min="12270" max="12273" width="13.109375" style="1" customWidth="1"/>
    <col min="12274" max="12516" width="11.21875" style="1"/>
    <col min="12517" max="12520" width="13.109375" style="1" customWidth="1"/>
    <col min="12521" max="12521" width="11" style="1" customWidth="1"/>
    <col min="12522" max="12524" width="13.109375" style="1" customWidth="1"/>
    <col min="12525" max="12525" width="8.44140625" style="1" customWidth="1"/>
    <col min="12526" max="12529" width="13.109375" style="1" customWidth="1"/>
    <col min="12530" max="12772" width="11.21875" style="1"/>
    <col min="12773" max="12776" width="13.109375" style="1" customWidth="1"/>
    <col min="12777" max="12777" width="11" style="1" customWidth="1"/>
    <col min="12778" max="12780" width="13.109375" style="1" customWidth="1"/>
    <col min="12781" max="12781" width="8.44140625" style="1" customWidth="1"/>
    <col min="12782" max="12785" width="13.109375" style="1" customWidth="1"/>
    <col min="12786" max="13028" width="11.21875" style="1"/>
    <col min="13029" max="13032" width="13.109375" style="1" customWidth="1"/>
    <col min="13033" max="13033" width="11" style="1" customWidth="1"/>
    <col min="13034" max="13036" width="13.109375" style="1" customWidth="1"/>
    <col min="13037" max="13037" width="8.44140625" style="1" customWidth="1"/>
    <col min="13038" max="13041" width="13.109375" style="1" customWidth="1"/>
    <col min="13042" max="13284" width="11.21875" style="1"/>
    <col min="13285" max="13288" width="13.109375" style="1" customWidth="1"/>
    <col min="13289" max="13289" width="11" style="1" customWidth="1"/>
    <col min="13290" max="13292" width="13.109375" style="1" customWidth="1"/>
    <col min="13293" max="13293" width="8.44140625" style="1" customWidth="1"/>
    <col min="13294" max="13297" width="13.109375" style="1" customWidth="1"/>
    <col min="13298" max="13540" width="11.21875" style="1"/>
    <col min="13541" max="13544" width="13.109375" style="1" customWidth="1"/>
    <col min="13545" max="13545" width="11" style="1" customWidth="1"/>
    <col min="13546" max="13548" width="13.109375" style="1" customWidth="1"/>
    <col min="13549" max="13549" width="8.44140625" style="1" customWidth="1"/>
    <col min="13550" max="13553" width="13.109375" style="1" customWidth="1"/>
    <col min="13554" max="13796" width="11.21875" style="1"/>
    <col min="13797" max="13800" width="13.109375" style="1" customWidth="1"/>
    <col min="13801" max="13801" width="11" style="1" customWidth="1"/>
    <col min="13802" max="13804" width="13.109375" style="1" customWidth="1"/>
    <col min="13805" max="13805" width="8.44140625" style="1" customWidth="1"/>
    <col min="13806" max="13809" width="13.109375" style="1" customWidth="1"/>
    <col min="13810" max="14052" width="11.21875" style="1"/>
    <col min="14053" max="14056" width="13.109375" style="1" customWidth="1"/>
    <col min="14057" max="14057" width="11" style="1" customWidth="1"/>
    <col min="14058" max="14060" width="13.109375" style="1" customWidth="1"/>
    <col min="14061" max="14061" width="8.44140625" style="1" customWidth="1"/>
    <col min="14062" max="14065" width="13.109375" style="1" customWidth="1"/>
    <col min="14066" max="14308" width="11.21875" style="1"/>
    <col min="14309" max="14312" width="13.109375" style="1" customWidth="1"/>
    <col min="14313" max="14313" width="11" style="1" customWidth="1"/>
    <col min="14314" max="14316" width="13.109375" style="1" customWidth="1"/>
    <col min="14317" max="14317" width="8.44140625" style="1" customWidth="1"/>
    <col min="14318" max="14321" width="13.109375" style="1" customWidth="1"/>
    <col min="14322" max="14564" width="11.21875" style="1"/>
    <col min="14565" max="14568" width="13.109375" style="1" customWidth="1"/>
    <col min="14569" max="14569" width="11" style="1" customWidth="1"/>
    <col min="14570" max="14572" width="13.109375" style="1" customWidth="1"/>
    <col min="14573" max="14573" width="8.44140625" style="1" customWidth="1"/>
    <col min="14574" max="14577" width="13.109375" style="1" customWidth="1"/>
    <col min="14578" max="14820" width="11.21875" style="1"/>
    <col min="14821" max="14824" width="13.109375" style="1" customWidth="1"/>
    <col min="14825" max="14825" width="11" style="1" customWidth="1"/>
    <col min="14826" max="14828" width="13.109375" style="1" customWidth="1"/>
    <col min="14829" max="14829" width="8.44140625" style="1" customWidth="1"/>
    <col min="14830" max="14833" width="13.109375" style="1" customWidth="1"/>
    <col min="14834" max="15076" width="11.21875" style="1"/>
    <col min="15077" max="15080" width="13.109375" style="1" customWidth="1"/>
    <col min="15081" max="15081" width="11" style="1" customWidth="1"/>
    <col min="15082" max="15084" width="13.109375" style="1" customWidth="1"/>
    <col min="15085" max="15085" width="8.44140625" style="1" customWidth="1"/>
    <col min="15086" max="15089" width="13.109375" style="1" customWidth="1"/>
    <col min="15090" max="15332" width="11.21875" style="1"/>
    <col min="15333" max="15336" width="13.109375" style="1" customWidth="1"/>
    <col min="15337" max="15337" width="11" style="1" customWidth="1"/>
    <col min="15338" max="15340" width="13.109375" style="1" customWidth="1"/>
    <col min="15341" max="15341" width="8.44140625" style="1" customWidth="1"/>
    <col min="15342" max="15345" width="13.109375" style="1" customWidth="1"/>
    <col min="15346" max="15588" width="11.21875" style="1"/>
    <col min="15589" max="15592" width="13.109375" style="1" customWidth="1"/>
    <col min="15593" max="15593" width="11" style="1" customWidth="1"/>
    <col min="15594" max="15596" width="13.109375" style="1" customWidth="1"/>
    <col min="15597" max="15597" width="8.44140625" style="1" customWidth="1"/>
    <col min="15598" max="15601" width="13.109375" style="1" customWidth="1"/>
    <col min="15602" max="15844" width="11.21875" style="1"/>
    <col min="15845" max="15848" width="13.109375" style="1" customWidth="1"/>
    <col min="15849" max="15849" width="11" style="1" customWidth="1"/>
    <col min="15850" max="15852" width="13.109375" style="1" customWidth="1"/>
    <col min="15853" max="15853" width="8.44140625" style="1" customWidth="1"/>
    <col min="15854" max="15857" width="13.109375" style="1" customWidth="1"/>
    <col min="15858" max="16100" width="11.21875" style="1"/>
    <col min="16101" max="16104" width="13.109375" style="1" customWidth="1"/>
    <col min="16105" max="16105" width="11" style="1" customWidth="1"/>
    <col min="16106" max="16108" width="13.109375" style="1" customWidth="1"/>
    <col min="16109" max="16109" width="8.44140625" style="1" customWidth="1"/>
    <col min="16110" max="16113" width="13.109375" style="1" customWidth="1"/>
    <col min="16114" max="16380" width="11.21875" style="1"/>
    <col min="16381" max="16384" width="11.44140625" style="1" customWidth="1"/>
  </cols>
  <sheetData>
    <row r="1" spans="1:17" ht="15.6" customHeight="1">
      <c r="A1" s="35" t="s">
        <v>24</v>
      </c>
      <c r="B1" s="35"/>
      <c r="C1" s="35"/>
      <c r="D1" s="35"/>
      <c r="E1" s="35"/>
      <c r="F1" s="35"/>
      <c r="G1" s="35"/>
      <c r="H1" s="35"/>
      <c r="J1" s="33"/>
      <c r="K1" s="33"/>
      <c r="L1" s="33"/>
      <c r="M1" s="33"/>
      <c r="N1" s="33"/>
      <c r="O1" s="33"/>
      <c r="P1" s="33"/>
      <c r="Q1" s="33"/>
    </row>
    <row r="2" spans="1:17" s="6" customFormat="1" ht="15" customHeight="1">
      <c r="A2" s="35"/>
      <c r="B2" s="35"/>
      <c r="C2" s="35"/>
      <c r="D2" s="35"/>
      <c r="E2" s="35"/>
      <c r="F2" s="35"/>
      <c r="G2" s="35"/>
      <c r="H2" s="35"/>
      <c r="I2" s="5"/>
    </row>
    <row r="3" spans="1:17" s="6" customFormat="1" ht="9.15" customHeight="1">
      <c r="A3" s="13"/>
      <c r="B3" s="13"/>
      <c r="C3" s="13"/>
      <c r="D3" s="13"/>
      <c r="E3" s="13"/>
      <c r="F3" s="13"/>
      <c r="G3" s="13"/>
      <c r="H3" s="13"/>
      <c r="I3" s="5"/>
    </row>
    <row r="4" spans="1:17" s="6" customFormat="1" ht="12.9" customHeight="1">
      <c r="A4" s="37" t="s">
        <v>4</v>
      </c>
      <c r="B4" s="36">
        <v>2023</v>
      </c>
      <c r="C4" s="36"/>
      <c r="D4" s="36"/>
      <c r="E4" s="8"/>
      <c r="F4" s="36">
        <v>2024</v>
      </c>
      <c r="G4" s="36"/>
      <c r="H4" s="36"/>
    </row>
    <row r="5" spans="1:17" s="6" customFormat="1" ht="12.9" customHeight="1">
      <c r="A5" s="37"/>
      <c r="B5" s="9" t="s">
        <v>2</v>
      </c>
      <c r="C5" s="9" t="s">
        <v>0</v>
      </c>
      <c r="D5" s="9" t="s">
        <v>1</v>
      </c>
      <c r="E5" s="9"/>
      <c r="F5" s="9" t="s">
        <v>2</v>
      </c>
      <c r="G5" s="9" t="s">
        <v>0</v>
      </c>
      <c r="H5" s="9" t="s">
        <v>1</v>
      </c>
      <c r="I5" s="7"/>
      <c r="J5" s="8"/>
    </row>
    <row r="6" spans="1:17" s="6" customFormat="1" ht="9.15" customHeight="1">
      <c r="A6" s="7"/>
      <c r="B6" s="9"/>
      <c r="C6" s="9"/>
      <c r="D6" s="9"/>
      <c r="E6" s="9"/>
      <c r="F6" s="9"/>
      <c r="G6" s="9"/>
      <c r="H6" s="9"/>
      <c r="I6" s="7"/>
      <c r="J6" s="9"/>
    </row>
    <row r="7" spans="1:17" s="11" customFormat="1" ht="12.9" customHeight="1">
      <c r="A7" s="7" t="s">
        <v>25</v>
      </c>
      <c r="B7" s="10">
        <f>C7+D7</f>
        <v>92401</v>
      </c>
      <c r="C7" s="10">
        <f>SUM(C9:C10)</f>
        <v>47421</v>
      </c>
      <c r="D7" s="10">
        <f>SUM(D9:D10)</f>
        <v>44980</v>
      </c>
      <c r="E7" s="10"/>
      <c r="F7" s="10">
        <f>G7+H7</f>
        <v>97683</v>
      </c>
      <c r="G7" s="10">
        <v>52476</v>
      </c>
      <c r="H7" s="10">
        <v>45207</v>
      </c>
      <c r="I7" s="10"/>
      <c r="J7" s="9"/>
    </row>
    <row r="8" spans="1:17" s="11" customFormat="1" ht="9.15" customHeight="1">
      <c r="A8" s="7"/>
      <c r="B8" s="10"/>
      <c r="C8" s="31"/>
      <c r="D8" s="31"/>
      <c r="E8" s="10"/>
      <c r="F8" s="10"/>
      <c r="G8" s="32"/>
      <c r="H8" s="32"/>
      <c r="I8" s="10"/>
      <c r="J8" s="10"/>
    </row>
    <row r="9" spans="1:17" ht="12.9" customHeight="1">
      <c r="A9" s="7" t="s">
        <v>3</v>
      </c>
      <c r="B9" s="10">
        <f t="shared" ref="B9" si="0">SUM(C9:D9)</f>
        <v>36356</v>
      </c>
      <c r="C9" s="30">
        <v>16942</v>
      </c>
      <c r="D9" s="30">
        <v>19414</v>
      </c>
      <c r="E9" s="2"/>
      <c r="F9" s="10">
        <f t="shared" ref="F9:F28" si="1">SUM(G9:H9)</f>
        <v>39485</v>
      </c>
      <c r="G9" s="30">
        <v>19789</v>
      </c>
      <c r="H9" s="30">
        <v>19696</v>
      </c>
      <c r="I9" s="29"/>
      <c r="J9" s="10"/>
    </row>
    <row r="10" spans="1:17" ht="12.9" customHeight="1">
      <c r="A10" s="7" t="s">
        <v>23</v>
      </c>
      <c r="B10" s="29">
        <f>SUM(B11:B28)</f>
        <v>56045</v>
      </c>
      <c r="C10" s="30">
        <f>SUM(C11:C28)</f>
        <v>30479</v>
      </c>
      <c r="D10" s="30">
        <f>SUM(D11:D28)</f>
        <v>25566</v>
      </c>
      <c r="E10" s="12"/>
      <c r="F10" s="10">
        <f t="shared" si="1"/>
        <v>58198</v>
      </c>
      <c r="G10" s="30">
        <v>32687</v>
      </c>
      <c r="H10" s="30">
        <v>25511</v>
      </c>
      <c r="I10" s="29"/>
      <c r="J10" s="2"/>
    </row>
    <row r="11" spans="1:17" ht="12.9" customHeight="1">
      <c r="A11" s="7" t="s">
        <v>28</v>
      </c>
      <c r="B11" s="10">
        <f t="shared" ref="B11:B28" si="2">SUM(C11:D11)</f>
        <v>3358</v>
      </c>
      <c r="C11" s="30">
        <v>1838</v>
      </c>
      <c r="D11" s="30">
        <v>1520</v>
      </c>
      <c r="E11" s="2"/>
      <c r="F11" s="10">
        <f t="shared" si="1"/>
        <v>3814</v>
      </c>
      <c r="G11" s="30">
        <v>2204</v>
      </c>
      <c r="H11" s="30">
        <v>1610</v>
      </c>
      <c r="I11" s="29"/>
      <c r="J11" s="12"/>
    </row>
    <row r="12" spans="1:17" ht="12.9" customHeight="1">
      <c r="A12" s="7" t="s">
        <v>6</v>
      </c>
      <c r="B12" s="10">
        <f t="shared" si="2"/>
        <v>13913</v>
      </c>
      <c r="C12" s="30">
        <v>7424</v>
      </c>
      <c r="D12" s="30">
        <v>6489</v>
      </c>
      <c r="E12" s="2"/>
      <c r="F12" s="10">
        <f t="shared" si="1"/>
        <v>14230</v>
      </c>
      <c r="G12" s="30">
        <v>7806</v>
      </c>
      <c r="H12" s="30">
        <v>6424</v>
      </c>
      <c r="I12" s="29"/>
      <c r="J12" s="2"/>
    </row>
    <row r="13" spans="1:17" ht="12.9" customHeight="1">
      <c r="A13" s="7" t="s">
        <v>7</v>
      </c>
      <c r="B13" s="10">
        <f t="shared" si="2"/>
        <v>3004</v>
      </c>
      <c r="C13" s="30">
        <v>1620</v>
      </c>
      <c r="D13" s="30">
        <v>1384</v>
      </c>
      <c r="E13" s="2"/>
      <c r="F13" s="10">
        <f t="shared" si="1"/>
        <v>3104</v>
      </c>
      <c r="G13" s="30">
        <v>1730</v>
      </c>
      <c r="H13" s="30">
        <v>1374</v>
      </c>
      <c r="I13" s="29"/>
      <c r="J13" s="2"/>
    </row>
    <row r="14" spans="1:17" ht="12.9" customHeight="1">
      <c r="A14" s="7" t="s">
        <v>8</v>
      </c>
      <c r="B14" s="10">
        <f t="shared" si="2"/>
        <v>2417</v>
      </c>
      <c r="C14" s="30">
        <v>1394</v>
      </c>
      <c r="D14" s="30">
        <v>1023</v>
      </c>
      <c r="E14" s="2"/>
      <c r="F14" s="10">
        <f t="shared" si="1"/>
        <v>2542</v>
      </c>
      <c r="G14" s="30">
        <v>1498</v>
      </c>
      <c r="H14" s="30">
        <v>1044</v>
      </c>
      <c r="I14" s="29"/>
      <c r="J14" s="2"/>
    </row>
    <row r="15" spans="1:17" ht="12.9" customHeight="1">
      <c r="A15" s="7" t="s">
        <v>9</v>
      </c>
      <c r="B15" s="10">
        <f t="shared" si="2"/>
        <v>1577</v>
      </c>
      <c r="C15" s="30">
        <v>825</v>
      </c>
      <c r="D15" s="30">
        <v>752</v>
      </c>
      <c r="E15" s="2"/>
      <c r="F15" s="10">
        <f t="shared" si="1"/>
        <v>1656</v>
      </c>
      <c r="G15" s="30">
        <v>920</v>
      </c>
      <c r="H15" s="30">
        <v>736</v>
      </c>
      <c r="I15" s="29"/>
      <c r="J15" s="2"/>
    </row>
    <row r="16" spans="1:17" ht="12.9" customHeight="1">
      <c r="A16" s="7" t="s">
        <v>10</v>
      </c>
      <c r="B16" s="10">
        <f t="shared" si="2"/>
        <v>304</v>
      </c>
      <c r="C16" s="30">
        <v>203</v>
      </c>
      <c r="D16" s="30">
        <v>101</v>
      </c>
      <c r="E16" s="2"/>
      <c r="F16" s="10">
        <f t="shared" si="1"/>
        <v>322</v>
      </c>
      <c r="G16" s="30">
        <v>215</v>
      </c>
      <c r="H16" s="30">
        <v>107</v>
      </c>
      <c r="I16" s="29"/>
      <c r="J16" s="2"/>
    </row>
    <row r="17" spans="1:10" ht="12.9" customHeight="1">
      <c r="A17" s="7" t="s">
        <v>11</v>
      </c>
      <c r="B17" s="10">
        <f t="shared" si="2"/>
        <v>1307</v>
      </c>
      <c r="C17" s="30">
        <v>694</v>
      </c>
      <c r="D17" s="30">
        <v>613</v>
      </c>
      <c r="E17" s="2"/>
      <c r="F17" s="10">
        <f t="shared" si="1"/>
        <v>1356</v>
      </c>
      <c r="G17" s="30">
        <v>750</v>
      </c>
      <c r="H17" s="30">
        <v>606</v>
      </c>
      <c r="I17" s="29"/>
      <c r="J17" s="2"/>
    </row>
    <row r="18" spans="1:10" ht="12.9" customHeight="1">
      <c r="A18" s="7" t="s">
        <v>12</v>
      </c>
      <c r="B18" s="10">
        <f t="shared" si="2"/>
        <v>1160</v>
      </c>
      <c r="C18" s="30">
        <v>665</v>
      </c>
      <c r="D18" s="30">
        <v>495</v>
      </c>
      <c r="E18" s="2"/>
      <c r="F18" s="10">
        <f t="shared" si="1"/>
        <v>1168</v>
      </c>
      <c r="G18" s="30">
        <v>684</v>
      </c>
      <c r="H18" s="30">
        <v>484</v>
      </c>
      <c r="I18" s="29"/>
      <c r="J18" s="2"/>
    </row>
    <row r="19" spans="1:10" ht="12.9" customHeight="1">
      <c r="A19" s="7" t="s">
        <v>13</v>
      </c>
      <c r="B19" s="10">
        <f t="shared" si="2"/>
        <v>3358</v>
      </c>
      <c r="C19" s="30">
        <v>2009</v>
      </c>
      <c r="D19" s="30">
        <v>1349</v>
      </c>
      <c r="E19" s="2"/>
      <c r="F19" s="10">
        <f t="shared" si="1"/>
        <v>3450</v>
      </c>
      <c r="G19" s="30">
        <v>2090</v>
      </c>
      <c r="H19" s="30">
        <v>1360</v>
      </c>
      <c r="I19" s="29"/>
      <c r="J19" s="2"/>
    </row>
    <row r="20" spans="1:10" ht="12.9" customHeight="1">
      <c r="A20" s="7" t="s">
        <v>14</v>
      </c>
      <c r="B20" s="10">
        <f t="shared" si="2"/>
        <v>3514</v>
      </c>
      <c r="C20" s="30">
        <v>1765</v>
      </c>
      <c r="D20" s="30">
        <v>1749</v>
      </c>
      <c r="E20" s="2"/>
      <c r="F20" s="10">
        <f t="shared" si="1"/>
        <v>3506</v>
      </c>
      <c r="G20" s="30">
        <v>1823</v>
      </c>
      <c r="H20" s="30">
        <v>1683</v>
      </c>
      <c r="I20" s="29"/>
      <c r="J20" s="2"/>
    </row>
    <row r="21" spans="1:10" ht="12.9" customHeight="1">
      <c r="A21" s="7" t="s">
        <v>15</v>
      </c>
      <c r="B21" s="10">
        <f t="shared" si="2"/>
        <v>4326</v>
      </c>
      <c r="C21" s="30">
        <v>2287</v>
      </c>
      <c r="D21" s="30">
        <v>2039</v>
      </c>
      <c r="E21" s="2"/>
      <c r="F21" s="10">
        <f t="shared" si="1"/>
        <v>1651</v>
      </c>
      <c r="G21" s="30">
        <v>977</v>
      </c>
      <c r="H21" s="30">
        <v>674</v>
      </c>
      <c r="I21" s="29"/>
      <c r="J21" s="2"/>
    </row>
    <row r="22" spans="1:10" ht="12.9" customHeight="1">
      <c r="A22" s="7" t="s">
        <v>16</v>
      </c>
      <c r="B22" s="10">
        <f t="shared" si="2"/>
        <v>1594</v>
      </c>
      <c r="C22" s="30">
        <v>947</v>
      </c>
      <c r="D22" s="30">
        <v>647</v>
      </c>
      <c r="E22" s="2"/>
      <c r="F22" s="10">
        <f t="shared" si="1"/>
        <v>4584</v>
      </c>
      <c r="G22" s="30">
        <v>2525</v>
      </c>
      <c r="H22" s="30">
        <v>2059</v>
      </c>
      <c r="I22" s="29"/>
      <c r="J22" s="2"/>
    </row>
    <row r="23" spans="1:10" ht="12.9" customHeight="1">
      <c r="A23" s="7" t="s">
        <v>17</v>
      </c>
      <c r="B23" s="10">
        <f t="shared" si="2"/>
        <v>1513</v>
      </c>
      <c r="C23" s="30">
        <v>865</v>
      </c>
      <c r="D23" s="30">
        <v>648</v>
      </c>
      <c r="E23" s="2"/>
      <c r="F23" s="10">
        <f t="shared" si="1"/>
        <v>1773</v>
      </c>
      <c r="G23" s="30">
        <v>1071</v>
      </c>
      <c r="H23" s="30">
        <v>702</v>
      </c>
      <c r="I23" s="29"/>
      <c r="J23" s="2"/>
    </row>
    <row r="24" spans="1:10" ht="12.9" customHeight="1">
      <c r="A24" s="7" t="s">
        <v>18</v>
      </c>
      <c r="B24" s="10">
        <f t="shared" si="2"/>
        <v>5114</v>
      </c>
      <c r="C24" s="30">
        <v>2644</v>
      </c>
      <c r="D24" s="30">
        <v>2470</v>
      </c>
      <c r="E24" s="2"/>
      <c r="F24" s="10">
        <f t="shared" si="1"/>
        <v>5207</v>
      </c>
      <c r="G24" s="30">
        <v>2732</v>
      </c>
      <c r="H24" s="30">
        <v>2475</v>
      </c>
      <c r="I24" s="29"/>
      <c r="J24" s="2"/>
    </row>
    <row r="25" spans="1:10" ht="12.9" customHeight="1">
      <c r="A25" s="7" t="s">
        <v>19</v>
      </c>
      <c r="B25" s="10">
        <f t="shared" si="2"/>
        <v>3047</v>
      </c>
      <c r="C25" s="30">
        <v>1675</v>
      </c>
      <c r="D25" s="30">
        <v>1372</v>
      </c>
      <c r="E25" s="2"/>
      <c r="F25" s="10">
        <f t="shared" si="1"/>
        <v>3137</v>
      </c>
      <c r="G25" s="30">
        <v>1784</v>
      </c>
      <c r="H25" s="30">
        <v>1353</v>
      </c>
      <c r="I25" s="29"/>
      <c r="J25" s="2"/>
    </row>
    <row r="26" spans="1:10" ht="12.9" customHeight="1">
      <c r="A26" s="7" t="s">
        <v>20</v>
      </c>
      <c r="B26" s="10">
        <f t="shared" si="2"/>
        <v>1923</v>
      </c>
      <c r="C26" s="30">
        <v>1039</v>
      </c>
      <c r="D26" s="30">
        <v>884</v>
      </c>
      <c r="E26" s="2"/>
      <c r="F26" s="10">
        <f t="shared" si="1"/>
        <v>1931</v>
      </c>
      <c r="G26" s="30">
        <v>1090</v>
      </c>
      <c r="H26" s="30">
        <v>841</v>
      </c>
      <c r="I26" s="29"/>
      <c r="J26" s="2"/>
    </row>
    <row r="27" spans="1:10" ht="12.9" customHeight="1">
      <c r="A27" s="7" t="s">
        <v>21</v>
      </c>
      <c r="B27" s="10">
        <f t="shared" si="2"/>
        <v>3266</v>
      </c>
      <c r="C27" s="30">
        <v>1818</v>
      </c>
      <c r="D27" s="30">
        <v>1448</v>
      </c>
      <c r="E27" s="2"/>
      <c r="F27" s="10">
        <f t="shared" si="1"/>
        <v>3367</v>
      </c>
      <c r="G27" s="30">
        <v>1952</v>
      </c>
      <c r="H27" s="30">
        <v>1415</v>
      </c>
      <c r="I27" s="29"/>
      <c r="J27" s="2"/>
    </row>
    <row r="28" spans="1:10" ht="13.5" customHeight="1">
      <c r="A28" s="7" t="s">
        <v>22</v>
      </c>
      <c r="B28" s="10">
        <f t="shared" si="2"/>
        <v>1350</v>
      </c>
      <c r="C28" s="30">
        <v>767</v>
      </c>
      <c r="D28" s="30">
        <v>583</v>
      </c>
      <c r="E28" s="2"/>
      <c r="F28" s="10">
        <f t="shared" si="1"/>
        <v>1400</v>
      </c>
      <c r="G28" s="30">
        <v>836</v>
      </c>
      <c r="H28" s="30">
        <v>564</v>
      </c>
      <c r="I28" s="29"/>
      <c r="J28" s="2"/>
    </row>
    <row r="29" spans="1:10" ht="9.15" customHeight="1">
      <c r="A29" s="7"/>
      <c r="B29" s="3"/>
      <c r="C29" s="4"/>
      <c r="D29" s="4"/>
      <c r="E29" s="2"/>
      <c r="F29" s="19"/>
      <c r="G29" s="19"/>
      <c r="H29" s="19"/>
      <c r="I29" s="10"/>
      <c r="J29" s="2"/>
    </row>
    <row r="30" spans="1:10" s="7" customFormat="1" ht="12.75" customHeight="1">
      <c r="A30" s="34" t="s">
        <v>27</v>
      </c>
      <c r="B30" s="34"/>
      <c r="C30" s="34"/>
      <c r="D30" s="34"/>
      <c r="E30" s="34"/>
      <c r="F30" s="34"/>
      <c r="G30" s="34"/>
      <c r="H30" s="34"/>
      <c r="J30" s="2"/>
    </row>
    <row r="31" spans="1:10" s="7" customFormat="1" ht="12.75" customHeight="1">
      <c r="A31" s="34"/>
      <c r="B31" s="34"/>
      <c r="C31" s="34"/>
      <c r="D31" s="34"/>
      <c r="E31" s="34"/>
      <c r="F31" s="34"/>
      <c r="G31" s="34"/>
      <c r="H31" s="34"/>
      <c r="J31" s="2"/>
    </row>
    <row r="32" spans="1:10" ht="12.75" customHeight="1">
      <c r="A32" s="34" t="s">
        <v>29</v>
      </c>
      <c r="B32" s="34"/>
      <c r="C32" s="34"/>
      <c r="D32" s="34"/>
      <c r="E32" s="34"/>
      <c r="F32" s="34"/>
      <c r="G32" s="34"/>
      <c r="H32" s="34"/>
    </row>
    <row r="33" spans="1:4" ht="12.75" customHeight="1">
      <c r="A33" s="34" t="s">
        <v>30</v>
      </c>
      <c r="B33" s="34"/>
      <c r="C33" s="34"/>
      <c r="D33" s="34"/>
    </row>
  </sheetData>
  <mergeCells count="7">
    <mergeCell ref="A33:D33"/>
    <mergeCell ref="A1:H2"/>
    <mergeCell ref="A30:H31"/>
    <mergeCell ref="A32:H32"/>
    <mergeCell ref="B4:D4"/>
    <mergeCell ref="F4:H4"/>
    <mergeCell ref="A4:A5"/>
  </mergeCells>
  <pageMargins left="0.51181102362204722" right="0.31496062992125984" top="0.55118110236220474" bottom="0.74803149606299213" header="1.1023622047244095" footer="0.31496062992125984"/>
  <pageSetup paperSize="9" scale="84" orientation="portrait" r:id="rId1"/>
  <ignoredErrors>
    <ignoredError sqref="B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H75"/>
  <sheetViews>
    <sheetView showGridLines="0" workbookViewId="0">
      <pane xSplit="1" ySplit="4" topLeftCell="U5" activePane="bottomRight" state="frozen"/>
      <selection pane="topRight" activeCell="B1" sqref="B1"/>
      <selection pane="bottomLeft" activeCell="A5" sqref="A5"/>
      <selection pane="bottomRight" activeCell="AH3" sqref="AH3:AJ3"/>
    </sheetView>
  </sheetViews>
  <sheetFormatPr baseColWidth="10" defaultRowHeight="13.8"/>
  <cols>
    <col min="1" max="1" width="15.109375" style="1" customWidth="1"/>
    <col min="2" max="4" width="10.33203125" style="1" customWidth="1"/>
    <col min="5" max="5" width="1.6640625" style="1" customWidth="1"/>
    <col min="6" max="8" width="10.33203125" style="1" customWidth="1"/>
    <col min="9" max="9" width="1.6640625" style="1" customWidth="1"/>
    <col min="10" max="12" width="10.33203125" style="1" customWidth="1"/>
    <col min="13" max="13" width="1.88671875" style="19" customWidth="1"/>
    <col min="14" max="16" width="10.33203125" style="19" customWidth="1"/>
    <col min="17" max="17" width="1.6640625" style="19" customWidth="1"/>
    <col min="18" max="20" width="10.33203125" style="19" customWidth="1"/>
    <col min="21" max="21" width="1.6640625" style="19" customWidth="1"/>
    <col min="22" max="24" width="11.44140625" style="19"/>
    <col min="25" max="25" width="1.6640625" style="19" customWidth="1"/>
    <col min="26" max="27" width="11.44140625" style="19"/>
    <col min="28" max="28" width="11.44140625" style="19" customWidth="1"/>
    <col min="29" max="29" width="1.6640625" style="19" customWidth="1"/>
    <col min="30" max="32" width="11.44140625" style="19"/>
    <col min="33" max="33" width="2.44140625" style="19" customWidth="1"/>
    <col min="34" max="35" width="11.44140625" style="19"/>
    <col min="36" max="256" width="11.44140625" style="1"/>
    <col min="257" max="260" width="13.109375" style="1" customWidth="1"/>
    <col min="261" max="261" width="11" style="1" customWidth="1"/>
    <col min="262" max="264" width="13.109375" style="1" customWidth="1"/>
    <col min="265" max="265" width="8.44140625" style="1" customWidth="1"/>
    <col min="266" max="269" width="13.109375" style="1" customWidth="1"/>
    <col min="270" max="512" width="11.44140625" style="1"/>
    <col min="513" max="516" width="13.109375" style="1" customWidth="1"/>
    <col min="517" max="517" width="11" style="1" customWidth="1"/>
    <col min="518" max="520" width="13.109375" style="1" customWidth="1"/>
    <col min="521" max="521" width="8.44140625" style="1" customWidth="1"/>
    <col min="522" max="525" width="13.109375" style="1" customWidth="1"/>
    <col min="526" max="768" width="11.44140625" style="1"/>
    <col min="769" max="772" width="13.109375" style="1" customWidth="1"/>
    <col min="773" max="773" width="11" style="1" customWidth="1"/>
    <col min="774" max="776" width="13.109375" style="1" customWidth="1"/>
    <col min="777" max="777" width="8.44140625" style="1" customWidth="1"/>
    <col min="778" max="781" width="13.109375" style="1" customWidth="1"/>
    <col min="782" max="1024" width="11.44140625" style="1"/>
    <col min="1025" max="1028" width="13.109375" style="1" customWidth="1"/>
    <col min="1029" max="1029" width="11" style="1" customWidth="1"/>
    <col min="1030" max="1032" width="13.109375" style="1" customWidth="1"/>
    <col min="1033" max="1033" width="8.44140625" style="1" customWidth="1"/>
    <col min="1034" max="1037" width="13.109375" style="1" customWidth="1"/>
    <col min="1038" max="1280" width="11.44140625" style="1"/>
    <col min="1281" max="1284" width="13.109375" style="1" customWidth="1"/>
    <col min="1285" max="1285" width="11" style="1" customWidth="1"/>
    <col min="1286" max="1288" width="13.109375" style="1" customWidth="1"/>
    <col min="1289" max="1289" width="8.44140625" style="1" customWidth="1"/>
    <col min="1290" max="1293" width="13.109375" style="1" customWidth="1"/>
    <col min="1294" max="1536" width="11.44140625" style="1"/>
    <col min="1537" max="1540" width="13.109375" style="1" customWidth="1"/>
    <col min="1541" max="1541" width="11" style="1" customWidth="1"/>
    <col min="1542" max="1544" width="13.109375" style="1" customWidth="1"/>
    <col min="1545" max="1545" width="8.44140625" style="1" customWidth="1"/>
    <col min="1546" max="1549" width="13.109375" style="1" customWidth="1"/>
    <col min="1550" max="1792" width="11.44140625" style="1"/>
    <col min="1793" max="1796" width="13.109375" style="1" customWidth="1"/>
    <col min="1797" max="1797" width="11" style="1" customWidth="1"/>
    <col min="1798" max="1800" width="13.109375" style="1" customWidth="1"/>
    <col min="1801" max="1801" width="8.44140625" style="1" customWidth="1"/>
    <col min="1802" max="1805" width="13.109375" style="1" customWidth="1"/>
    <col min="1806" max="2048" width="11.44140625" style="1"/>
    <col min="2049" max="2052" width="13.109375" style="1" customWidth="1"/>
    <col min="2053" max="2053" width="11" style="1" customWidth="1"/>
    <col min="2054" max="2056" width="13.109375" style="1" customWidth="1"/>
    <col min="2057" max="2057" width="8.44140625" style="1" customWidth="1"/>
    <col min="2058" max="2061" width="13.109375" style="1" customWidth="1"/>
    <col min="2062" max="2304" width="11.44140625" style="1"/>
    <col min="2305" max="2308" width="13.109375" style="1" customWidth="1"/>
    <col min="2309" max="2309" width="11" style="1" customWidth="1"/>
    <col min="2310" max="2312" width="13.109375" style="1" customWidth="1"/>
    <col min="2313" max="2313" width="8.44140625" style="1" customWidth="1"/>
    <col min="2314" max="2317" width="13.109375" style="1" customWidth="1"/>
    <col min="2318" max="2560" width="11.44140625" style="1"/>
    <col min="2561" max="2564" width="13.109375" style="1" customWidth="1"/>
    <col min="2565" max="2565" width="11" style="1" customWidth="1"/>
    <col min="2566" max="2568" width="13.109375" style="1" customWidth="1"/>
    <col min="2569" max="2569" width="8.44140625" style="1" customWidth="1"/>
    <col min="2570" max="2573" width="13.109375" style="1" customWidth="1"/>
    <col min="2574" max="2816" width="11.44140625" style="1"/>
    <col min="2817" max="2820" width="13.109375" style="1" customWidth="1"/>
    <col min="2821" max="2821" width="11" style="1" customWidth="1"/>
    <col min="2822" max="2824" width="13.109375" style="1" customWidth="1"/>
    <col min="2825" max="2825" width="8.44140625" style="1" customWidth="1"/>
    <col min="2826" max="2829" width="13.109375" style="1" customWidth="1"/>
    <col min="2830" max="3072" width="11.44140625" style="1"/>
    <col min="3073" max="3076" width="13.109375" style="1" customWidth="1"/>
    <col min="3077" max="3077" width="11" style="1" customWidth="1"/>
    <col min="3078" max="3080" width="13.109375" style="1" customWidth="1"/>
    <col min="3081" max="3081" width="8.44140625" style="1" customWidth="1"/>
    <col min="3082" max="3085" width="13.109375" style="1" customWidth="1"/>
    <col min="3086" max="3328" width="11.44140625" style="1"/>
    <col min="3329" max="3332" width="13.109375" style="1" customWidth="1"/>
    <col min="3333" max="3333" width="11" style="1" customWidth="1"/>
    <col min="3334" max="3336" width="13.109375" style="1" customWidth="1"/>
    <col min="3337" max="3337" width="8.44140625" style="1" customWidth="1"/>
    <col min="3338" max="3341" width="13.109375" style="1" customWidth="1"/>
    <col min="3342" max="3584" width="11.44140625" style="1"/>
    <col min="3585" max="3588" width="13.109375" style="1" customWidth="1"/>
    <col min="3589" max="3589" width="11" style="1" customWidth="1"/>
    <col min="3590" max="3592" width="13.109375" style="1" customWidth="1"/>
    <col min="3593" max="3593" width="8.44140625" style="1" customWidth="1"/>
    <col min="3594" max="3597" width="13.109375" style="1" customWidth="1"/>
    <col min="3598" max="3840" width="11.44140625" style="1"/>
    <col min="3841" max="3844" width="13.109375" style="1" customWidth="1"/>
    <col min="3845" max="3845" width="11" style="1" customWidth="1"/>
    <col min="3846" max="3848" width="13.109375" style="1" customWidth="1"/>
    <col min="3849" max="3849" width="8.44140625" style="1" customWidth="1"/>
    <col min="3850" max="3853" width="13.109375" style="1" customWidth="1"/>
    <col min="3854" max="4096" width="11.44140625" style="1"/>
    <col min="4097" max="4100" width="13.109375" style="1" customWidth="1"/>
    <col min="4101" max="4101" width="11" style="1" customWidth="1"/>
    <col min="4102" max="4104" width="13.109375" style="1" customWidth="1"/>
    <col min="4105" max="4105" width="8.44140625" style="1" customWidth="1"/>
    <col min="4106" max="4109" width="13.109375" style="1" customWidth="1"/>
    <col min="4110" max="4352" width="11.44140625" style="1"/>
    <col min="4353" max="4356" width="13.109375" style="1" customWidth="1"/>
    <col min="4357" max="4357" width="11" style="1" customWidth="1"/>
    <col min="4358" max="4360" width="13.109375" style="1" customWidth="1"/>
    <col min="4361" max="4361" width="8.44140625" style="1" customWidth="1"/>
    <col min="4362" max="4365" width="13.109375" style="1" customWidth="1"/>
    <col min="4366" max="4608" width="11.44140625" style="1"/>
    <col min="4609" max="4612" width="13.109375" style="1" customWidth="1"/>
    <col min="4613" max="4613" width="11" style="1" customWidth="1"/>
    <col min="4614" max="4616" width="13.109375" style="1" customWidth="1"/>
    <col min="4617" max="4617" width="8.44140625" style="1" customWidth="1"/>
    <col min="4618" max="4621" width="13.109375" style="1" customWidth="1"/>
    <col min="4622" max="4864" width="11.44140625" style="1"/>
    <col min="4865" max="4868" width="13.109375" style="1" customWidth="1"/>
    <col min="4869" max="4869" width="11" style="1" customWidth="1"/>
    <col min="4870" max="4872" width="13.109375" style="1" customWidth="1"/>
    <col min="4873" max="4873" width="8.44140625" style="1" customWidth="1"/>
    <col min="4874" max="4877" width="13.109375" style="1" customWidth="1"/>
    <col min="4878" max="5120" width="11.44140625" style="1"/>
    <col min="5121" max="5124" width="13.109375" style="1" customWidth="1"/>
    <col min="5125" max="5125" width="11" style="1" customWidth="1"/>
    <col min="5126" max="5128" width="13.109375" style="1" customWidth="1"/>
    <col min="5129" max="5129" width="8.44140625" style="1" customWidth="1"/>
    <col min="5130" max="5133" width="13.109375" style="1" customWidth="1"/>
    <col min="5134" max="5376" width="11.44140625" style="1"/>
    <col min="5377" max="5380" width="13.109375" style="1" customWidth="1"/>
    <col min="5381" max="5381" width="11" style="1" customWidth="1"/>
    <col min="5382" max="5384" width="13.109375" style="1" customWidth="1"/>
    <col min="5385" max="5385" width="8.44140625" style="1" customWidth="1"/>
    <col min="5386" max="5389" width="13.109375" style="1" customWidth="1"/>
    <col min="5390" max="5632" width="11.44140625" style="1"/>
    <col min="5633" max="5636" width="13.109375" style="1" customWidth="1"/>
    <col min="5637" max="5637" width="11" style="1" customWidth="1"/>
    <col min="5638" max="5640" width="13.109375" style="1" customWidth="1"/>
    <col min="5641" max="5641" width="8.44140625" style="1" customWidth="1"/>
    <col min="5642" max="5645" width="13.109375" style="1" customWidth="1"/>
    <col min="5646" max="5888" width="11.44140625" style="1"/>
    <col min="5889" max="5892" width="13.109375" style="1" customWidth="1"/>
    <col min="5893" max="5893" width="11" style="1" customWidth="1"/>
    <col min="5894" max="5896" width="13.109375" style="1" customWidth="1"/>
    <col min="5897" max="5897" width="8.44140625" style="1" customWidth="1"/>
    <col min="5898" max="5901" width="13.109375" style="1" customWidth="1"/>
    <col min="5902" max="6144" width="11.44140625" style="1"/>
    <col min="6145" max="6148" width="13.109375" style="1" customWidth="1"/>
    <col min="6149" max="6149" width="11" style="1" customWidth="1"/>
    <col min="6150" max="6152" width="13.109375" style="1" customWidth="1"/>
    <col min="6153" max="6153" width="8.44140625" style="1" customWidth="1"/>
    <col min="6154" max="6157" width="13.109375" style="1" customWidth="1"/>
    <col min="6158" max="6400" width="11.44140625" style="1"/>
    <col min="6401" max="6404" width="13.109375" style="1" customWidth="1"/>
    <col min="6405" max="6405" width="11" style="1" customWidth="1"/>
    <col min="6406" max="6408" width="13.109375" style="1" customWidth="1"/>
    <col min="6409" max="6409" width="8.44140625" style="1" customWidth="1"/>
    <col min="6410" max="6413" width="13.109375" style="1" customWidth="1"/>
    <col min="6414" max="6656" width="11.44140625" style="1"/>
    <col min="6657" max="6660" width="13.109375" style="1" customWidth="1"/>
    <col min="6661" max="6661" width="11" style="1" customWidth="1"/>
    <col min="6662" max="6664" width="13.109375" style="1" customWidth="1"/>
    <col min="6665" max="6665" width="8.44140625" style="1" customWidth="1"/>
    <col min="6666" max="6669" width="13.109375" style="1" customWidth="1"/>
    <col min="6670" max="6912" width="11.44140625" style="1"/>
    <col min="6913" max="6916" width="13.109375" style="1" customWidth="1"/>
    <col min="6917" max="6917" width="11" style="1" customWidth="1"/>
    <col min="6918" max="6920" width="13.109375" style="1" customWidth="1"/>
    <col min="6921" max="6921" width="8.44140625" style="1" customWidth="1"/>
    <col min="6922" max="6925" width="13.109375" style="1" customWidth="1"/>
    <col min="6926" max="7168" width="11.44140625" style="1"/>
    <col min="7169" max="7172" width="13.109375" style="1" customWidth="1"/>
    <col min="7173" max="7173" width="11" style="1" customWidth="1"/>
    <col min="7174" max="7176" width="13.109375" style="1" customWidth="1"/>
    <col min="7177" max="7177" width="8.44140625" style="1" customWidth="1"/>
    <col min="7178" max="7181" width="13.109375" style="1" customWidth="1"/>
    <col min="7182" max="7424" width="11.44140625" style="1"/>
    <col min="7425" max="7428" width="13.109375" style="1" customWidth="1"/>
    <col min="7429" max="7429" width="11" style="1" customWidth="1"/>
    <col min="7430" max="7432" width="13.109375" style="1" customWidth="1"/>
    <col min="7433" max="7433" width="8.44140625" style="1" customWidth="1"/>
    <col min="7434" max="7437" width="13.109375" style="1" customWidth="1"/>
    <col min="7438" max="7680" width="11.44140625" style="1"/>
    <col min="7681" max="7684" width="13.109375" style="1" customWidth="1"/>
    <col min="7685" max="7685" width="11" style="1" customWidth="1"/>
    <col min="7686" max="7688" width="13.109375" style="1" customWidth="1"/>
    <col min="7689" max="7689" width="8.44140625" style="1" customWidth="1"/>
    <col min="7690" max="7693" width="13.109375" style="1" customWidth="1"/>
    <col min="7694" max="7936" width="11.44140625" style="1"/>
    <col min="7937" max="7940" width="13.109375" style="1" customWidth="1"/>
    <col min="7941" max="7941" width="11" style="1" customWidth="1"/>
    <col min="7942" max="7944" width="13.109375" style="1" customWidth="1"/>
    <col min="7945" max="7945" width="8.44140625" style="1" customWidth="1"/>
    <col min="7946" max="7949" width="13.109375" style="1" customWidth="1"/>
    <col min="7950" max="8192" width="11.44140625" style="1"/>
    <col min="8193" max="8196" width="13.109375" style="1" customWidth="1"/>
    <col min="8197" max="8197" width="11" style="1" customWidth="1"/>
    <col min="8198" max="8200" width="13.109375" style="1" customWidth="1"/>
    <col min="8201" max="8201" width="8.44140625" style="1" customWidth="1"/>
    <col min="8202" max="8205" width="13.109375" style="1" customWidth="1"/>
    <col min="8206" max="8448" width="11.44140625" style="1"/>
    <col min="8449" max="8452" width="13.109375" style="1" customWidth="1"/>
    <col min="8453" max="8453" width="11" style="1" customWidth="1"/>
    <col min="8454" max="8456" width="13.109375" style="1" customWidth="1"/>
    <col min="8457" max="8457" width="8.44140625" style="1" customWidth="1"/>
    <col min="8458" max="8461" width="13.109375" style="1" customWidth="1"/>
    <col min="8462" max="8704" width="11.44140625" style="1"/>
    <col min="8705" max="8708" width="13.109375" style="1" customWidth="1"/>
    <col min="8709" max="8709" width="11" style="1" customWidth="1"/>
    <col min="8710" max="8712" width="13.109375" style="1" customWidth="1"/>
    <col min="8713" max="8713" width="8.44140625" style="1" customWidth="1"/>
    <col min="8714" max="8717" width="13.109375" style="1" customWidth="1"/>
    <col min="8718" max="8960" width="11.44140625" style="1"/>
    <col min="8961" max="8964" width="13.109375" style="1" customWidth="1"/>
    <col min="8965" max="8965" width="11" style="1" customWidth="1"/>
    <col min="8966" max="8968" width="13.109375" style="1" customWidth="1"/>
    <col min="8969" max="8969" width="8.44140625" style="1" customWidth="1"/>
    <col min="8970" max="8973" width="13.109375" style="1" customWidth="1"/>
    <col min="8974" max="9216" width="11.44140625" style="1"/>
    <col min="9217" max="9220" width="13.109375" style="1" customWidth="1"/>
    <col min="9221" max="9221" width="11" style="1" customWidth="1"/>
    <col min="9222" max="9224" width="13.109375" style="1" customWidth="1"/>
    <col min="9225" max="9225" width="8.44140625" style="1" customWidth="1"/>
    <col min="9226" max="9229" width="13.109375" style="1" customWidth="1"/>
    <col min="9230" max="9472" width="11.44140625" style="1"/>
    <col min="9473" max="9476" width="13.109375" style="1" customWidth="1"/>
    <col min="9477" max="9477" width="11" style="1" customWidth="1"/>
    <col min="9478" max="9480" width="13.109375" style="1" customWidth="1"/>
    <col min="9481" max="9481" width="8.44140625" style="1" customWidth="1"/>
    <col min="9482" max="9485" width="13.109375" style="1" customWidth="1"/>
    <col min="9486" max="9728" width="11.44140625" style="1"/>
    <col min="9729" max="9732" width="13.109375" style="1" customWidth="1"/>
    <col min="9733" max="9733" width="11" style="1" customWidth="1"/>
    <col min="9734" max="9736" width="13.109375" style="1" customWidth="1"/>
    <col min="9737" max="9737" width="8.44140625" style="1" customWidth="1"/>
    <col min="9738" max="9741" width="13.109375" style="1" customWidth="1"/>
    <col min="9742" max="9984" width="11.44140625" style="1"/>
    <col min="9985" max="9988" width="13.109375" style="1" customWidth="1"/>
    <col min="9989" max="9989" width="11" style="1" customWidth="1"/>
    <col min="9990" max="9992" width="13.109375" style="1" customWidth="1"/>
    <col min="9993" max="9993" width="8.44140625" style="1" customWidth="1"/>
    <col min="9994" max="9997" width="13.109375" style="1" customWidth="1"/>
    <col min="9998" max="10240" width="11.44140625" style="1"/>
    <col min="10241" max="10244" width="13.109375" style="1" customWidth="1"/>
    <col min="10245" max="10245" width="11" style="1" customWidth="1"/>
    <col min="10246" max="10248" width="13.109375" style="1" customWidth="1"/>
    <col min="10249" max="10249" width="8.44140625" style="1" customWidth="1"/>
    <col min="10250" max="10253" width="13.109375" style="1" customWidth="1"/>
    <col min="10254" max="10496" width="11.44140625" style="1"/>
    <col min="10497" max="10500" width="13.109375" style="1" customWidth="1"/>
    <col min="10501" max="10501" width="11" style="1" customWidth="1"/>
    <col min="10502" max="10504" width="13.109375" style="1" customWidth="1"/>
    <col min="10505" max="10505" width="8.44140625" style="1" customWidth="1"/>
    <col min="10506" max="10509" width="13.109375" style="1" customWidth="1"/>
    <col min="10510" max="10752" width="11.44140625" style="1"/>
    <col min="10753" max="10756" width="13.109375" style="1" customWidth="1"/>
    <col min="10757" max="10757" width="11" style="1" customWidth="1"/>
    <col min="10758" max="10760" width="13.109375" style="1" customWidth="1"/>
    <col min="10761" max="10761" width="8.44140625" style="1" customWidth="1"/>
    <col min="10762" max="10765" width="13.109375" style="1" customWidth="1"/>
    <col min="10766" max="11008" width="11.44140625" style="1"/>
    <col min="11009" max="11012" width="13.109375" style="1" customWidth="1"/>
    <col min="11013" max="11013" width="11" style="1" customWidth="1"/>
    <col min="11014" max="11016" width="13.109375" style="1" customWidth="1"/>
    <col min="11017" max="11017" width="8.44140625" style="1" customWidth="1"/>
    <col min="11018" max="11021" width="13.109375" style="1" customWidth="1"/>
    <col min="11022" max="11264" width="11.44140625" style="1"/>
    <col min="11265" max="11268" width="13.109375" style="1" customWidth="1"/>
    <col min="11269" max="11269" width="11" style="1" customWidth="1"/>
    <col min="11270" max="11272" width="13.109375" style="1" customWidth="1"/>
    <col min="11273" max="11273" width="8.44140625" style="1" customWidth="1"/>
    <col min="11274" max="11277" width="13.109375" style="1" customWidth="1"/>
    <col min="11278" max="11520" width="11.44140625" style="1"/>
    <col min="11521" max="11524" width="13.109375" style="1" customWidth="1"/>
    <col min="11525" max="11525" width="11" style="1" customWidth="1"/>
    <col min="11526" max="11528" width="13.109375" style="1" customWidth="1"/>
    <col min="11529" max="11529" width="8.44140625" style="1" customWidth="1"/>
    <col min="11530" max="11533" width="13.109375" style="1" customWidth="1"/>
    <col min="11534" max="11776" width="11.44140625" style="1"/>
    <col min="11777" max="11780" width="13.109375" style="1" customWidth="1"/>
    <col min="11781" max="11781" width="11" style="1" customWidth="1"/>
    <col min="11782" max="11784" width="13.109375" style="1" customWidth="1"/>
    <col min="11785" max="11785" width="8.44140625" style="1" customWidth="1"/>
    <col min="11786" max="11789" width="13.109375" style="1" customWidth="1"/>
    <col min="11790" max="12032" width="11.44140625" style="1"/>
    <col min="12033" max="12036" width="13.109375" style="1" customWidth="1"/>
    <col min="12037" max="12037" width="11" style="1" customWidth="1"/>
    <col min="12038" max="12040" width="13.109375" style="1" customWidth="1"/>
    <col min="12041" max="12041" width="8.44140625" style="1" customWidth="1"/>
    <col min="12042" max="12045" width="13.109375" style="1" customWidth="1"/>
    <col min="12046" max="12288" width="11.44140625" style="1"/>
    <col min="12289" max="12292" width="13.109375" style="1" customWidth="1"/>
    <col min="12293" max="12293" width="11" style="1" customWidth="1"/>
    <col min="12294" max="12296" width="13.109375" style="1" customWidth="1"/>
    <col min="12297" max="12297" width="8.44140625" style="1" customWidth="1"/>
    <col min="12298" max="12301" width="13.109375" style="1" customWidth="1"/>
    <col min="12302" max="12544" width="11.44140625" style="1"/>
    <col min="12545" max="12548" width="13.109375" style="1" customWidth="1"/>
    <col min="12549" max="12549" width="11" style="1" customWidth="1"/>
    <col min="12550" max="12552" width="13.109375" style="1" customWidth="1"/>
    <col min="12553" max="12553" width="8.44140625" style="1" customWidth="1"/>
    <col min="12554" max="12557" width="13.109375" style="1" customWidth="1"/>
    <col min="12558" max="12800" width="11.44140625" style="1"/>
    <col min="12801" max="12804" width="13.109375" style="1" customWidth="1"/>
    <col min="12805" max="12805" width="11" style="1" customWidth="1"/>
    <col min="12806" max="12808" width="13.109375" style="1" customWidth="1"/>
    <col min="12809" max="12809" width="8.44140625" style="1" customWidth="1"/>
    <col min="12810" max="12813" width="13.109375" style="1" customWidth="1"/>
    <col min="12814" max="13056" width="11.44140625" style="1"/>
    <col min="13057" max="13060" width="13.109375" style="1" customWidth="1"/>
    <col min="13061" max="13061" width="11" style="1" customWidth="1"/>
    <col min="13062" max="13064" width="13.109375" style="1" customWidth="1"/>
    <col min="13065" max="13065" width="8.44140625" style="1" customWidth="1"/>
    <col min="13066" max="13069" width="13.109375" style="1" customWidth="1"/>
    <col min="13070" max="13312" width="11.44140625" style="1"/>
    <col min="13313" max="13316" width="13.109375" style="1" customWidth="1"/>
    <col min="13317" max="13317" width="11" style="1" customWidth="1"/>
    <col min="13318" max="13320" width="13.109375" style="1" customWidth="1"/>
    <col min="13321" max="13321" width="8.44140625" style="1" customWidth="1"/>
    <col min="13322" max="13325" width="13.109375" style="1" customWidth="1"/>
    <col min="13326" max="13568" width="11.44140625" style="1"/>
    <col min="13569" max="13572" width="13.109375" style="1" customWidth="1"/>
    <col min="13573" max="13573" width="11" style="1" customWidth="1"/>
    <col min="13574" max="13576" width="13.109375" style="1" customWidth="1"/>
    <col min="13577" max="13577" width="8.44140625" style="1" customWidth="1"/>
    <col min="13578" max="13581" width="13.109375" style="1" customWidth="1"/>
    <col min="13582" max="13824" width="11.44140625" style="1"/>
    <col min="13825" max="13828" width="13.109375" style="1" customWidth="1"/>
    <col min="13829" max="13829" width="11" style="1" customWidth="1"/>
    <col min="13830" max="13832" width="13.109375" style="1" customWidth="1"/>
    <col min="13833" max="13833" width="8.44140625" style="1" customWidth="1"/>
    <col min="13834" max="13837" width="13.109375" style="1" customWidth="1"/>
    <col min="13838" max="14080" width="11.44140625" style="1"/>
    <col min="14081" max="14084" width="13.109375" style="1" customWidth="1"/>
    <col min="14085" max="14085" width="11" style="1" customWidth="1"/>
    <col min="14086" max="14088" width="13.109375" style="1" customWidth="1"/>
    <col min="14089" max="14089" width="8.44140625" style="1" customWidth="1"/>
    <col min="14090" max="14093" width="13.109375" style="1" customWidth="1"/>
    <col min="14094" max="14336" width="11.44140625" style="1"/>
    <col min="14337" max="14340" width="13.109375" style="1" customWidth="1"/>
    <col min="14341" max="14341" width="11" style="1" customWidth="1"/>
    <col min="14342" max="14344" width="13.109375" style="1" customWidth="1"/>
    <col min="14345" max="14345" width="8.44140625" style="1" customWidth="1"/>
    <col min="14346" max="14349" width="13.109375" style="1" customWidth="1"/>
    <col min="14350" max="14592" width="11.44140625" style="1"/>
    <col min="14593" max="14596" width="13.109375" style="1" customWidth="1"/>
    <col min="14597" max="14597" width="11" style="1" customWidth="1"/>
    <col min="14598" max="14600" width="13.109375" style="1" customWidth="1"/>
    <col min="14601" max="14601" width="8.44140625" style="1" customWidth="1"/>
    <col min="14602" max="14605" width="13.109375" style="1" customWidth="1"/>
    <col min="14606" max="14848" width="11.44140625" style="1"/>
    <col min="14849" max="14852" width="13.109375" style="1" customWidth="1"/>
    <col min="14853" max="14853" width="11" style="1" customWidth="1"/>
    <col min="14854" max="14856" width="13.109375" style="1" customWidth="1"/>
    <col min="14857" max="14857" width="8.44140625" style="1" customWidth="1"/>
    <col min="14858" max="14861" width="13.109375" style="1" customWidth="1"/>
    <col min="14862" max="15104" width="11.44140625" style="1"/>
    <col min="15105" max="15108" width="13.109375" style="1" customWidth="1"/>
    <col min="15109" max="15109" width="11" style="1" customWidth="1"/>
    <col min="15110" max="15112" width="13.109375" style="1" customWidth="1"/>
    <col min="15113" max="15113" width="8.44140625" style="1" customWidth="1"/>
    <col min="15114" max="15117" width="13.109375" style="1" customWidth="1"/>
    <col min="15118" max="15360" width="11.44140625" style="1"/>
    <col min="15361" max="15364" width="13.109375" style="1" customWidth="1"/>
    <col min="15365" max="15365" width="11" style="1" customWidth="1"/>
    <col min="15366" max="15368" width="13.109375" style="1" customWidth="1"/>
    <col min="15369" max="15369" width="8.44140625" style="1" customWidth="1"/>
    <col min="15370" max="15373" width="13.109375" style="1" customWidth="1"/>
    <col min="15374" max="15616" width="11.44140625" style="1"/>
    <col min="15617" max="15620" width="13.109375" style="1" customWidth="1"/>
    <col min="15621" max="15621" width="11" style="1" customWidth="1"/>
    <col min="15622" max="15624" width="13.109375" style="1" customWidth="1"/>
    <col min="15625" max="15625" width="8.44140625" style="1" customWidth="1"/>
    <col min="15626" max="15629" width="13.109375" style="1" customWidth="1"/>
    <col min="15630" max="15872" width="11.44140625" style="1"/>
    <col min="15873" max="15876" width="13.109375" style="1" customWidth="1"/>
    <col min="15877" max="15877" width="11" style="1" customWidth="1"/>
    <col min="15878" max="15880" width="13.109375" style="1" customWidth="1"/>
    <col min="15881" max="15881" width="8.44140625" style="1" customWidth="1"/>
    <col min="15882" max="15885" width="13.109375" style="1" customWidth="1"/>
    <col min="15886" max="16128" width="11.44140625" style="1"/>
    <col min="16129" max="16132" width="13.109375" style="1" customWidth="1"/>
    <col min="16133" max="16133" width="11" style="1" customWidth="1"/>
    <col min="16134" max="16136" width="13.109375" style="1" customWidth="1"/>
    <col min="16137" max="16137" width="8.44140625" style="1" customWidth="1"/>
    <col min="16138" max="16141" width="13.109375" style="1" customWidth="1"/>
    <col min="16142" max="16384" width="11.44140625" style="1"/>
  </cols>
  <sheetData>
    <row r="1" spans="1:762" s="6" customFormat="1" ht="15" customHeight="1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</row>
    <row r="2" spans="1:762" s="13" customFormat="1" ht="9.15" customHeight="1"/>
    <row r="3" spans="1:762" s="15" customFormat="1" ht="12.9" customHeight="1">
      <c r="A3" s="38" t="s">
        <v>4</v>
      </c>
      <c r="B3" s="39">
        <v>2016</v>
      </c>
      <c r="C3" s="39"/>
      <c r="D3" s="39"/>
      <c r="E3" s="20"/>
      <c r="F3" s="39">
        <v>2017</v>
      </c>
      <c r="G3" s="39"/>
      <c r="H3" s="39"/>
      <c r="I3" s="20"/>
      <c r="J3" s="36">
        <v>2018</v>
      </c>
      <c r="K3" s="36"/>
      <c r="L3" s="36"/>
      <c r="M3" s="8"/>
      <c r="N3" s="36">
        <v>2019</v>
      </c>
      <c r="O3" s="36"/>
      <c r="P3" s="36"/>
      <c r="R3" s="36">
        <v>2020</v>
      </c>
      <c r="S3" s="36"/>
      <c r="T3" s="36"/>
      <c r="V3" s="36">
        <v>2021</v>
      </c>
      <c r="W3" s="36"/>
      <c r="X3" s="36"/>
      <c r="Y3" s="8"/>
      <c r="Z3" s="36">
        <v>2022</v>
      </c>
      <c r="AA3" s="36"/>
      <c r="AB3" s="36"/>
      <c r="AD3" s="36">
        <v>2023</v>
      </c>
      <c r="AE3" s="36"/>
      <c r="AF3" s="36"/>
      <c r="AH3" s="36">
        <v>2024</v>
      </c>
      <c r="AI3" s="36"/>
      <c r="AJ3" s="36"/>
    </row>
    <row r="4" spans="1:762" s="15" customFormat="1" ht="12.9" customHeight="1">
      <c r="A4" s="38"/>
      <c r="B4" s="21" t="s">
        <v>2</v>
      </c>
      <c r="C4" s="21" t="s">
        <v>0</v>
      </c>
      <c r="D4" s="21" t="s">
        <v>1</v>
      </c>
      <c r="E4" s="21"/>
      <c r="F4" s="21" t="s">
        <v>2</v>
      </c>
      <c r="G4" s="21" t="s">
        <v>0</v>
      </c>
      <c r="H4" s="21" t="s">
        <v>1</v>
      </c>
      <c r="I4" s="21"/>
      <c r="J4" s="9" t="s">
        <v>2</v>
      </c>
      <c r="K4" s="9" t="s">
        <v>0</v>
      </c>
      <c r="L4" s="9" t="s">
        <v>1</v>
      </c>
      <c r="M4" s="9"/>
      <c r="N4" s="9" t="s">
        <v>2</v>
      </c>
      <c r="O4" s="9" t="s">
        <v>0</v>
      </c>
      <c r="P4" s="9" t="s">
        <v>1</v>
      </c>
      <c r="R4" s="9" t="s">
        <v>2</v>
      </c>
      <c r="S4" s="9" t="s">
        <v>0</v>
      </c>
      <c r="T4" s="9" t="s">
        <v>1</v>
      </c>
      <c r="V4" s="9" t="s">
        <v>2</v>
      </c>
      <c r="W4" s="9" t="s">
        <v>0</v>
      </c>
      <c r="X4" s="9" t="s">
        <v>1</v>
      </c>
      <c r="Y4" s="9"/>
      <c r="Z4" s="9" t="s">
        <v>2</v>
      </c>
      <c r="AA4" s="9" t="s">
        <v>0</v>
      </c>
      <c r="AB4" s="9" t="s">
        <v>1</v>
      </c>
      <c r="AD4" s="9" t="s">
        <v>2</v>
      </c>
      <c r="AE4" s="9" t="s">
        <v>0</v>
      </c>
      <c r="AF4" s="9" t="s">
        <v>1</v>
      </c>
      <c r="AH4" s="9" t="s">
        <v>2</v>
      </c>
      <c r="AI4" s="9" t="s">
        <v>0</v>
      </c>
      <c r="AJ4" s="9" t="s">
        <v>1</v>
      </c>
    </row>
    <row r="5" spans="1:762" s="15" customFormat="1" ht="9.15" customHeight="1">
      <c r="A5" s="16"/>
      <c r="B5" s="21"/>
      <c r="C5" s="21"/>
      <c r="D5" s="21"/>
      <c r="E5" s="21"/>
      <c r="F5" s="21"/>
      <c r="G5" s="21"/>
      <c r="H5" s="21"/>
      <c r="I5" s="21"/>
      <c r="J5" s="9"/>
      <c r="K5" s="9"/>
      <c r="L5" s="9"/>
      <c r="M5" s="9"/>
      <c r="N5" s="9"/>
      <c r="O5" s="9"/>
      <c r="P5" s="9"/>
      <c r="R5" s="9"/>
      <c r="S5" s="9"/>
      <c r="T5" s="9"/>
      <c r="V5" s="9"/>
      <c r="W5" s="9"/>
      <c r="X5" s="9"/>
      <c r="Y5" s="9"/>
      <c r="Z5" s="9"/>
      <c r="AA5" s="9"/>
      <c r="AB5" s="9"/>
      <c r="AD5" s="9"/>
      <c r="AE5" s="9"/>
      <c r="AF5" s="9"/>
      <c r="AH5" s="9"/>
      <c r="AI5" s="9"/>
      <c r="AJ5" s="9"/>
    </row>
    <row r="6" spans="1:762" s="18" customFormat="1" ht="12.9" customHeight="1">
      <c r="A6" s="16" t="s">
        <v>25</v>
      </c>
      <c r="B6" s="17">
        <f>+B8+B9</f>
        <v>73081</v>
      </c>
      <c r="C6" s="17">
        <f>+C8+C9</f>
        <v>34850</v>
      </c>
      <c r="D6" s="17">
        <f>+D8+D9</f>
        <v>38231</v>
      </c>
      <c r="E6" s="17"/>
      <c r="F6" s="17">
        <f>+F8+F9</f>
        <v>77122</v>
      </c>
      <c r="G6" s="17">
        <f>+G8+G9</f>
        <v>36711</v>
      </c>
      <c r="H6" s="17">
        <f>+H8+H9</f>
        <v>40411</v>
      </c>
      <c r="I6" s="17"/>
      <c r="J6" s="10">
        <f>+J8+J9</f>
        <v>80774</v>
      </c>
      <c r="K6" s="10">
        <f>+K8+K9</f>
        <v>38648</v>
      </c>
      <c r="L6" s="10">
        <f>+L8+L9</f>
        <v>42126</v>
      </c>
      <c r="M6" s="10"/>
      <c r="N6" s="10">
        <f>SUM(O6:P6)</f>
        <v>86425</v>
      </c>
      <c r="O6" s="10">
        <f>SUM(O8:O9)</f>
        <v>42112</v>
      </c>
      <c r="P6" s="10">
        <f>SUM(P8:P9)</f>
        <v>44313</v>
      </c>
      <c r="R6" s="10">
        <f>SUM(S6:T6)</f>
        <v>87955</v>
      </c>
      <c r="S6" s="10">
        <f>SUM(S8:S9)</f>
        <v>43001</v>
      </c>
      <c r="T6" s="10">
        <f>SUM(T8:T9)</f>
        <v>44954</v>
      </c>
      <c r="V6" s="10">
        <f>W6+X6</f>
        <v>87553</v>
      </c>
      <c r="W6" s="10">
        <v>42832</v>
      </c>
      <c r="X6" s="10">
        <v>44721</v>
      </c>
      <c r="Y6" s="10"/>
      <c r="Z6" s="10">
        <f>AA6+AB6</f>
        <v>89362</v>
      </c>
      <c r="AA6" s="10">
        <f>SUM(AA8:AA9)</f>
        <v>44425</v>
      </c>
      <c r="AB6" s="10">
        <f>SUM(AB8:AB9)</f>
        <v>44937</v>
      </c>
      <c r="AD6" s="10">
        <f>AE6+AF6</f>
        <v>92401</v>
      </c>
      <c r="AE6" s="10">
        <f>SUM(AE8:AE9)</f>
        <v>47421</v>
      </c>
      <c r="AF6" s="10">
        <f>SUM(AF8:AF9)</f>
        <v>44980</v>
      </c>
      <c r="AH6" s="10">
        <f>AI6+AJ6</f>
        <v>97683</v>
      </c>
      <c r="AI6" s="10">
        <v>52476</v>
      </c>
      <c r="AJ6" s="10">
        <v>45207</v>
      </c>
    </row>
    <row r="7" spans="1:762" s="18" customFormat="1" ht="9.15" customHeight="1">
      <c r="A7" s="16"/>
      <c r="B7" s="17"/>
      <c r="C7" s="17"/>
      <c r="D7" s="17"/>
      <c r="E7" s="17"/>
      <c r="F7" s="17"/>
      <c r="G7" s="17"/>
      <c r="H7" s="17"/>
      <c r="I7" s="17"/>
      <c r="J7" s="10"/>
      <c r="K7" s="10"/>
      <c r="L7" s="10"/>
      <c r="M7" s="10"/>
      <c r="N7" s="10"/>
      <c r="O7" s="10"/>
      <c r="P7" s="10"/>
      <c r="R7" s="10"/>
      <c r="S7" s="10"/>
      <c r="T7" s="10"/>
      <c r="V7" s="10"/>
      <c r="W7" s="10"/>
      <c r="X7" s="10"/>
      <c r="Y7" s="10"/>
      <c r="Z7" s="10"/>
      <c r="AA7" s="10"/>
      <c r="AB7" s="10"/>
      <c r="AD7" s="10"/>
      <c r="AE7" s="31"/>
      <c r="AF7" s="31"/>
      <c r="AH7" s="10"/>
      <c r="AI7" s="32"/>
      <c r="AJ7" s="32"/>
    </row>
    <row r="8" spans="1:762" s="19" customFormat="1" ht="12.9" customHeight="1">
      <c r="A8" s="16" t="s">
        <v>3</v>
      </c>
      <c r="B8" s="22">
        <v>26235</v>
      </c>
      <c r="C8" s="23">
        <v>9806</v>
      </c>
      <c r="D8" s="23">
        <v>16429</v>
      </c>
      <c r="E8" s="24"/>
      <c r="F8" s="17">
        <v>27700</v>
      </c>
      <c r="G8" s="25">
        <v>10280</v>
      </c>
      <c r="H8" s="25">
        <v>17420</v>
      </c>
      <c r="I8" s="24"/>
      <c r="J8" s="10">
        <f>+K8+L8</f>
        <v>29382</v>
      </c>
      <c r="K8" s="14">
        <v>11007</v>
      </c>
      <c r="L8" s="14">
        <v>18375</v>
      </c>
      <c r="M8" s="2"/>
      <c r="N8" s="10">
        <f>SUM(O8:P8)</f>
        <v>32088</v>
      </c>
      <c r="O8" s="14">
        <v>12644</v>
      </c>
      <c r="P8" s="14">
        <v>19444</v>
      </c>
      <c r="R8" s="10">
        <f>SUM(S8:T8)</f>
        <v>34014</v>
      </c>
      <c r="S8" s="14">
        <v>14013</v>
      </c>
      <c r="T8" s="14">
        <v>20001</v>
      </c>
      <c r="V8" s="10">
        <v>33659</v>
      </c>
      <c r="W8" s="14">
        <v>14408</v>
      </c>
      <c r="X8" s="14">
        <v>19251</v>
      </c>
      <c r="Y8" s="14"/>
      <c r="Z8" s="10">
        <f t="shared" ref="Z8:Z27" si="0">SUM(AA8:AB8)</f>
        <v>34689</v>
      </c>
      <c r="AA8" s="14">
        <v>15410</v>
      </c>
      <c r="AB8" s="14">
        <v>19279</v>
      </c>
      <c r="AD8" s="10">
        <f t="shared" ref="AD8:AD27" si="1">SUM(AE8:AF8)</f>
        <v>36356</v>
      </c>
      <c r="AE8" s="30">
        <v>16942</v>
      </c>
      <c r="AF8" s="30">
        <v>19414</v>
      </c>
      <c r="AH8" s="10">
        <f t="shared" ref="AH8:AH27" si="2">SUM(AI8:AJ8)</f>
        <v>39485</v>
      </c>
      <c r="AI8" s="30">
        <v>19789</v>
      </c>
      <c r="AJ8" s="30">
        <v>19696</v>
      </c>
    </row>
    <row r="9" spans="1:762" s="19" customFormat="1" ht="12.9" customHeight="1">
      <c r="A9" s="16" t="s">
        <v>23</v>
      </c>
      <c r="B9" s="26">
        <f t="shared" ref="B9:D9" si="3">SUM(B10:B27)</f>
        <v>46846</v>
      </c>
      <c r="C9" s="27">
        <f t="shared" si="3"/>
        <v>25044</v>
      </c>
      <c r="D9" s="27">
        <f t="shared" si="3"/>
        <v>21802</v>
      </c>
      <c r="E9" s="26"/>
      <c r="F9" s="17">
        <f>SUM(F10:F27)</f>
        <v>49422</v>
      </c>
      <c r="G9" s="25">
        <f>SUM(G10:G27)</f>
        <v>26431</v>
      </c>
      <c r="H9" s="25">
        <f>SUM(H10:H27)</f>
        <v>22991</v>
      </c>
      <c r="I9" s="26"/>
      <c r="J9" s="10">
        <f>SUM(J10:J27)</f>
        <v>51392</v>
      </c>
      <c r="K9" s="14">
        <f>SUM(K10:K27)</f>
        <v>27641</v>
      </c>
      <c r="L9" s="14">
        <f>SUM(L10:L27)</f>
        <v>23751</v>
      </c>
      <c r="M9" s="12"/>
      <c r="N9" s="10">
        <f>SUM(O9:P9)</f>
        <v>54337</v>
      </c>
      <c r="O9" s="14">
        <f>SUM(O10:O27)</f>
        <v>29468</v>
      </c>
      <c r="P9" s="14">
        <f>SUM(P10:P27)</f>
        <v>24869</v>
      </c>
      <c r="R9" s="10">
        <f>SUM(S9:T9)</f>
        <v>53941</v>
      </c>
      <c r="S9" s="14">
        <f>SUM(S10:S27)</f>
        <v>28988</v>
      </c>
      <c r="T9" s="14">
        <f>SUM(T10:T27)</f>
        <v>24953</v>
      </c>
      <c r="V9" s="29">
        <f t="shared" ref="V9:Z9" si="4">SUM(V10:V27)</f>
        <v>53894</v>
      </c>
      <c r="W9" s="14">
        <f t="shared" si="4"/>
        <v>28424</v>
      </c>
      <c r="X9" s="14">
        <f t="shared" si="4"/>
        <v>25470</v>
      </c>
      <c r="Y9" s="14"/>
      <c r="Z9" s="29">
        <f t="shared" si="4"/>
        <v>54673</v>
      </c>
      <c r="AA9" s="14">
        <f>SUM(AA10:AA27)</f>
        <v>29015</v>
      </c>
      <c r="AB9" s="14">
        <f>SUM(AB10:AB27)</f>
        <v>25658</v>
      </c>
      <c r="AD9" s="10">
        <f t="shared" si="1"/>
        <v>56045</v>
      </c>
      <c r="AE9" s="14">
        <f t="shared" ref="AE9:AF9" si="5">SUM(AE10:AE27)</f>
        <v>30479</v>
      </c>
      <c r="AF9" s="14">
        <f t="shared" si="5"/>
        <v>25566</v>
      </c>
      <c r="AH9" s="10">
        <f t="shared" si="2"/>
        <v>58198</v>
      </c>
      <c r="AI9" s="30">
        <v>32687</v>
      </c>
      <c r="AJ9" s="30">
        <v>25511</v>
      </c>
    </row>
    <row r="10" spans="1:762" s="19" customFormat="1" ht="12.9" customHeight="1">
      <c r="A10" s="16" t="s">
        <v>5</v>
      </c>
      <c r="B10" s="22">
        <v>3052</v>
      </c>
      <c r="C10" s="23">
        <v>1727</v>
      </c>
      <c r="D10" s="23">
        <v>1325</v>
      </c>
      <c r="E10" s="24"/>
      <c r="F10" s="17">
        <f>G10+H10</f>
        <v>3090</v>
      </c>
      <c r="G10" s="25">
        <v>1744</v>
      </c>
      <c r="H10" s="25">
        <v>1346</v>
      </c>
      <c r="I10" s="24"/>
      <c r="J10" s="10">
        <f>K10+L10</f>
        <v>3102</v>
      </c>
      <c r="K10" s="14">
        <v>1753</v>
      </c>
      <c r="L10" s="14">
        <v>1349</v>
      </c>
      <c r="M10" s="2"/>
      <c r="N10" s="10">
        <f t="shared" ref="N10:N27" si="6">SUM(O10:P10)</f>
        <v>3318</v>
      </c>
      <c r="O10" s="14">
        <v>1871</v>
      </c>
      <c r="P10" s="14">
        <v>1447</v>
      </c>
      <c r="R10" s="10">
        <f t="shared" ref="R10:R27" si="7">SUM(S10:T10)</f>
        <v>3121</v>
      </c>
      <c r="S10" s="14">
        <v>1704</v>
      </c>
      <c r="T10" s="14">
        <v>1417</v>
      </c>
      <c r="V10" s="10">
        <v>3093</v>
      </c>
      <c r="W10" s="14">
        <v>1675</v>
      </c>
      <c r="X10" s="14">
        <v>1418</v>
      </c>
      <c r="Y10" s="14"/>
      <c r="Z10" s="10">
        <f t="shared" si="0"/>
        <v>3168</v>
      </c>
      <c r="AA10" s="14">
        <v>1711</v>
      </c>
      <c r="AB10" s="14">
        <v>1457</v>
      </c>
      <c r="AD10" s="10">
        <f t="shared" si="1"/>
        <v>3358</v>
      </c>
      <c r="AE10" s="30">
        <v>1838</v>
      </c>
      <c r="AF10" s="30">
        <v>1520</v>
      </c>
      <c r="AH10" s="10">
        <f t="shared" si="2"/>
        <v>3814</v>
      </c>
      <c r="AI10" s="30">
        <v>2204</v>
      </c>
      <c r="AJ10" s="30">
        <v>1610</v>
      </c>
    </row>
    <row r="11" spans="1:762" s="19" customFormat="1" ht="12.9" customHeight="1">
      <c r="A11" s="16" t="s">
        <v>6</v>
      </c>
      <c r="B11" s="22">
        <v>10643</v>
      </c>
      <c r="C11" s="23">
        <v>5723</v>
      </c>
      <c r="D11" s="23">
        <v>4920</v>
      </c>
      <c r="E11" s="24"/>
      <c r="F11" s="17">
        <f t="shared" ref="F11:F27" si="8">G11+H11</f>
        <v>11333</v>
      </c>
      <c r="G11" s="25">
        <v>6087</v>
      </c>
      <c r="H11" s="25">
        <v>5246</v>
      </c>
      <c r="I11" s="24"/>
      <c r="J11" s="10">
        <f t="shared" ref="J11:J27" si="9">K11+L11</f>
        <v>11969</v>
      </c>
      <c r="K11" s="14">
        <v>6409</v>
      </c>
      <c r="L11" s="14">
        <v>5560</v>
      </c>
      <c r="M11" s="2"/>
      <c r="N11" s="10">
        <f t="shared" si="6"/>
        <v>12776</v>
      </c>
      <c r="O11" s="14">
        <v>6818</v>
      </c>
      <c r="P11" s="14">
        <v>5958</v>
      </c>
      <c r="R11" s="10">
        <f t="shared" si="7"/>
        <v>12897</v>
      </c>
      <c r="S11" s="14">
        <v>6784</v>
      </c>
      <c r="T11" s="14">
        <v>6113</v>
      </c>
      <c r="V11" s="10">
        <v>13176</v>
      </c>
      <c r="W11" s="14">
        <v>6752</v>
      </c>
      <c r="X11" s="14">
        <v>6424</v>
      </c>
      <c r="Y11" s="14"/>
      <c r="Z11" s="10">
        <f t="shared" si="0"/>
        <v>13508</v>
      </c>
      <c r="AA11" s="14">
        <v>7032</v>
      </c>
      <c r="AB11" s="14">
        <v>6476</v>
      </c>
      <c r="AD11" s="10">
        <f t="shared" si="1"/>
        <v>13913</v>
      </c>
      <c r="AE11" s="30">
        <v>7424</v>
      </c>
      <c r="AF11" s="30">
        <v>6489</v>
      </c>
      <c r="AH11" s="10">
        <f t="shared" si="2"/>
        <v>14230</v>
      </c>
      <c r="AI11" s="30">
        <v>7806</v>
      </c>
      <c r="AJ11" s="30">
        <v>6424</v>
      </c>
    </row>
    <row r="12" spans="1:762" s="19" customFormat="1" ht="12.9" customHeight="1">
      <c r="A12" s="16" t="s">
        <v>7</v>
      </c>
      <c r="B12" s="22">
        <v>2844</v>
      </c>
      <c r="C12" s="23">
        <v>1557</v>
      </c>
      <c r="D12" s="23">
        <v>1287</v>
      </c>
      <c r="E12" s="24"/>
      <c r="F12" s="17">
        <f t="shared" si="8"/>
        <v>2872</v>
      </c>
      <c r="G12" s="25">
        <v>1551</v>
      </c>
      <c r="H12" s="25">
        <v>1321</v>
      </c>
      <c r="I12" s="24"/>
      <c r="J12" s="10">
        <f t="shared" si="9"/>
        <v>2918</v>
      </c>
      <c r="K12" s="14">
        <v>1594</v>
      </c>
      <c r="L12" s="14">
        <v>1324</v>
      </c>
      <c r="M12" s="2"/>
      <c r="N12" s="10">
        <f t="shared" si="6"/>
        <v>3051</v>
      </c>
      <c r="O12" s="14">
        <v>1678</v>
      </c>
      <c r="P12" s="14">
        <v>1373</v>
      </c>
      <c r="R12" s="10">
        <f t="shared" si="7"/>
        <v>3006</v>
      </c>
      <c r="S12" s="14">
        <v>1663</v>
      </c>
      <c r="T12" s="14">
        <v>1343</v>
      </c>
      <c r="V12" s="10">
        <v>2982</v>
      </c>
      <c r="W12" s="14">
        <v>1627</v>
      </c>
      <c r="X12" s="14">
        <v>1355</v>
      </c>
      <c r="Y12" s="14"/>
      <c r="Z12" s="10">
        <f t="shared" si="0"/>
        <v>2912</v>
      </c>
      <c r="AA12" s="14">
        <v>1535</v>
      </c>
      <c r="AB12" s="14">
        <v>1377</v>
      </c>
      <c r="AD12" s="10">
        <f t="shared" si="1"/>
        <v>3004</v>
      </c>
      <c r="AE12" s="30">
        <v>1620</v>
      </c>
      <c r="AF12" s="30">
        <v>1384</v>
      </c>
      <c r="AH12" s="10">
        <f t="shared" si="2"/>
        <v>3104</v>
      </c>
      <c r="AI12" s="30">
        <v>1730</v>
      </c>
      <c r="AJ12" s="30">
        <v>1374</v>
      </c>
    </row>
    <row r="13" spans="1:762" s="19" customFormat="1" ht="12.9" customHeight="1">
      <c r="A13" s="16" t="s">
        <v>8</v>
      </c>
      <c r="B13" s="22">
        <v>1626</v>
      </c>
      <c r="C13" s="23">
        <v>887</v>
      </c>
      <c r="D13" s="23">
        <v>739</v>
      </c>
      <c r="E13" s="24"/>
      <c r="F13" s="17">
        <f t="shared" si="8"/>
        <v>1740</v>
      </c>
      <c r="G13" s="25">
        <v>958</v>
      </c>
      <c r="H13" s="25">
        <v>782</v>
      </c>
      <c r="I13" s="24"/>
      <c r="J13" s="10">
        <f t="shared" si="9"/>
        <v>1852</v>
      </c>
      <c r="K13" s="14">
        <v>1040</v>
      </c>
      <c r="L13" s="14">
        <v>812</v>
      </c>
      <c r="M13" s="2"/>
      <c r="N13" s="10">
        <f t="shared" si="6"/>
        <v>2030</v>
      </c>
      <c r="O13" s="14">
        <v>1161</v>
      </c>
      <c r="P13" s="14">
        <v>869</v>
      </c>
      <c r="R13" s="10">
        <f t="shared" si="7"/>
        <v>2114</v>
      </c>
      <c r="S13" s="14">
        <v>1199</v>
      </c>
      <c r="T13" s="14">
        <v>915</v>
      </c>
      <c r="V13" s="10">
        <v>2160</v>
      </c>
      <c r="W13" s="14">
        <v>1198</v>
      </c>
      <c r="X13" s="14">
        <v>962</v>
      </c>
      <c r="Y13" s="14"/>
      <c r="Z13" s="10">
        <f t="shared" si="0"/>
        <v>2269</v>
      </c>
      <c r="AA13" s="14">
        <v>1272</v>
      </c>
      <c r="AB13" s="14">
        <v>997</v>
      </c>
      <c r="AD13" s="10">
        <f t="shared" si="1"/>
        <v>2417</v>
      </c>
      <c r="AE13" s="30">
        <v>1394</v>
      </c>
      <c r="AF13" s="30">
        <v>1023</v>
      </c>
      <c r="AH13" s="10">
        <f t="shared" si="2"/>
        <v>2542</v>
      </c>
      <c r="AI13" s="30">
        <v>1498</v>
      </c>
      <c r="AJ13" s="30">
        <v>1044</v>
      </c>
    </row>
    <row r="14" spans="1:762" s="19" customFormat="1" ht="12.9" customHeight="1">
      <c r="A14" s="16" t="s">
        <v>9</v>
      </c>
      <c r="B14" s="22">
        <v>1155</v>
      </c>
      <c r="C14" s="23">
        <v>551</v>
      </c>
      <c r="D14" s="23">
        <v>604</v>
      </c>
      <c r="E14" s="24"/>
      <c r="F14" s="17">
        <f t="shared" si="8"/>
        <v>1277</v>
      </c>
      <c r="G14" s="25">
        <v>628</v>
      </c>
      <c r="H14" s="25">
        <v>649</v>
      </c>
      <c r="I14" s="24"/>
      <c r="J14" s="10">
        <f t="shared" si="9"/>
        <v>1338</v>
      </c>
      <c r="K14" s="14">
        <v>659</v>
      </c>
      <c r="L14" s="14">
        <v>679</v>
      </c>
      <c r="M14" s="2"/>
      <c r="N14" s="10">
        <f t="shared" si="6"/>
        <v>1453</v>
      </c>
      <c r="O14" s="14">
        <v>742</v>
      </c>
      <c r="P14" s="14">
        <v>711</v>
      </c>
      <c r="R14" s="10">
        <f t="shared" si="7"/>
        <v>1433</v>
      </c>
      <c r="S14" s="14">
        <v>728</v>
      </c>
      <c r="T14" s="14">
        <v>705</v>
      </c>
      <c r="V14" s="10">
        <v>1445</v>
      </c>
      <c r="W14" s="14">
        <v>722</v>
      </c>
      <c r="X14" s="14">
        <v>723</v>
      </c>
      <c r="Y14" s="14"/>
      <c r="Z14" s="10">
        <f t="shared" si="0"/>
        <v>1472</v>
      </c>
      <c r="AA14" s="14">
        <v>746</v>
      </c>
      <c r="AB14" s="14">
        <v>726</v>
      </c>
      <c r="AD14" s="10">
        <f t="shared" si="1"/>
        <v>1577</v>
      </c>
      <c r="AE14" s="30">
        <v>825</v>
      </c>
      <c r="AF14" s="30">
        <v>752</v>
      </c>
      <c r="AH14" s="10">
        <f t="shared" si="2"/>
        <v>1656</v>
      </c>
      <c r="AI14" s="30">
        <v>920</v>
      </c>
      <c r="AJ14" s="30">
        <v>736</v>
      </c>
    </row>
    <row r="15" spans="1:762" s="19" customFormat="1" ht="12.9" customHeight="1">
      <c r="A15" s="16" t="s">
        <v>10</v>
      </c>
      <c r="B15" s="22">
        <v>332</v>
      </c>
      <c r="C15" s="23">
        <v>186</v>
      </c>
      <c r="D15" s="23">
        <v>146</v>
      </c>
      <c r="E15" s="24"/>
      <c r="F15" s="17">
        <f t="shared" si="8"/>
        <v>361</v>
      </c>
      <c r="G15" s="25">
        <v>206</v>
      </c>
      <c r="H15" s="25">
        <v>155</v>
      </c>
      <c r="I15" s="24"/>
      <c r="J15" s="10">
        <f t="shared" si="9"/>
        <v>390</v>
      </c>
      <c r="K15" s="14">
        <v>237</v>
      </c>
      <c r="L15" s="14">
        <v>153</v>
      </c>
      <c r="M15" s="2"/>
      <c r="N15" s="10">
        <f t="shared" si="6"/>
        <v>372</v>
      </c>
      <c r="O15" s="14">
        <v>232</v>
      </c>
      <c r="P15" s="14">
        <v>140</v>
      </c>
      <c r="R15" s="10">
        <f t="shared" si="7"/>
        <v>360</v>
      </c>
      <c r="S15" s="14">
        <v>233</v>
      </c>
      <c r="T15" s="14">
        <v>127</v>
      </c>
      <c r="V15" s="10">
        <v>338</v>
      </c>
      <c r="W15" s="14">
        <v>219</v>
      </c>
      <c r="X15" s="14">
        <v>119</v>
      </c>
      <c r="Y15" s="14"/>
      <c r="Z15" s="10">
        <f t="shared" si="0"/>
        <v>335</v>
      </c>
      <c r="AA15" s="14">
        <v>222</v>
      </c>
      <c r="AB15" s="14">
        <v>113</v>
      </c>
      <c r="AD15" s="10">
        <f t="shared" si="1"/>
        <v>304</v>
      </c>
      <c r="AE15" s="30">
        <v>203</v>
      </c>
      <c r="AF15" s="30">
        <v>101</v>
      </c>
      <c r="AH15" s="10">
        <f t="shared" si="2"/>
        <v>322</v>
      </c>
      <c r="AI15" s="30">
        <v>215</v>
      </c>
      <c r="AJ15" s="30">
        <v>107</v>
      </c>
    </row>
    <row r="16" spans="1:762" s="19" customFormat="1" ht="12.9" customHeight="1">
      <c r="A16" s="16" t="s">
        <v>11</v>
      </c>
      <c r="B16" s="22">
        <v>1059</v>
      </c>
      <c r="C16" s="23">
        <v>582</v>
      </c>
      <c r="D16" s="23">
        <v>477</v>
      </c>
      <c r="E16" s="24"/>
      <c r="F16" s="17">
        <f t="shared" si="8"/>
        <v>1144</v>
      </c>
      <c r="G16" s="25">
        <v>635</v>
      </c>
      <c r="H16" s="25">
        <v>509</v>
      </c>
      <c r="I16" s="24"/>
      <c r="J16" s="10">
        <f t="shared" si="9"/>
        <v>1201</v>
      </c>
      <c r="K16" s="14">
        <v>661</v>
      </c>
      <c r="L16" s="14">
        <v>540</v>
      </c>
      <c r="M16" s="2"/>
      <c r="N16" s="10">
        <f t="shared" si="6"/>
        <v>1304</v>
      </c>
      <c r="O16" s="14">
        <v>711</v>
      </c>
      <c r="P16" s="14">
        <v>593</v>
      </c>
      <c r="R16" s="10">
        <f t="shared" si="7"/>
        <v>1289</v>
      </c>
      <c r="S16" s="14">
        <v>700</v>
      </c>
      <c r="T16" s="14">
        <v>589</v>
      </c>
      <c r="V16" s="10">
        <v>1257</v>
      </c>
      <c r="W16" s="14">
        <v>643</v>
      </c>
      <c r="X16" s="14">
        <v>614</v>
      </c>
      <c r="Y16" s="14"/>
      <c r="Z16" s="10">
        <f t="shared" si="0"/>
        <v>1297</v>
      </c>
      <c r="AA16" s="14">
        <v>680</v>
      </c>
      <c r="AB16" s="14">
        <v>617</v>
      </c>
      <c r="AD16" s="10">
        <f t="shared" si="1"/>
        <v>1307</v>
      </c>
      <c r="AE16" s="30">
        <v>694</v>
      </c>
      <c r="AF16" s="30">
        <v>613</v>
      </c>
      <c r="AH16" s="10">
        <f t="shared" si="2"/>
        <v>1356</v>
      </c>
      <c r="AI16" s="30">
        <v>750</v>
      </c>
      <c r="AJ16" s="30">
        <v>606</v>
      </c>
    </row>
    <row r="17" spans="1:36" s="19" customFormat="1" ht="12.9" customHeight="1">
      <c r="A17" s="16" t="s">
        <v>12</v>
      </c>
      <c r="B17" s="22">
        <v>927</v>
      </c>
      <c r="C17" s="23">
        <v>491</v>
      </c>
      <c r="D17" s="23">
        <v>436</v>
      </c>
      <c r="E17" s="24"/>
      <c r="F17" s="17">
        <f t="shared" si="8"/>
        <v>1018</v>
      </c>
      <c r="G17" s="25">
        <v>542</v>
      </c>
      <c r="H17" s="25">
        <v>476</v>
      </c>
      <c r="I17" s="24"/>
      <c r="J17" s="10">
        <f t="shared" si="9"/>
        <v>1060</v>
      </c>
      <c r="K17" s="14">
        <v>577</v>
      </c>
      <c r="L17" s="14">
        <v>483</v>
      </c>
      <c r="M17" s="2"/>
      <c r="N17" s="10">
        <f t="shared" si="6"/>
        <v>1175</v>
      </c>
      <c r="O17" s="14">
        <v>673</v>
      </c>
      <c r="P17" s="14">
        <v>502</v>
      </c>
      <c r="R17" s="10">
        <f t="shared" si="7"/>
        <v>1112</v>
      </c>
      <c r="S17" s="14">
        <v>608</v>
      </c>
      <c r="T17" s="14">
        <v>504</v>
      </c>
      <c r="V17" s="10">
        <v>1094</v>
      </c>
      <c r="W17" s="14">
        <v>591</v>
      </c>
      <c r="X17" s="14">
        <v>503</v>
      </c>
      <c r="Y17" s="14"/>
      <c r="Z17" s="10">
        <f t="shared" si="0"/>
        <v>1125</v>
      </c>
      <c r="AA17" s="14">
        <v>627</v>
      </c>
      <c r="AB17" s="14">
        <v>498</v>
      </c>
      <c r="AD17" s="10">
        <f t="shared" si="1"/>
        <v>1160</v>
      </c>
      <c r="AE17" s="30">
        <v>665</v>
      </c>
      <c r="AF17" s="30">
        <v>495</v>
      </c>
      <c r="AH17" s="10">
        <f t="shared" si="2"/>
        <v>1168</v>
      </c>
      <c r="AI17" s="30">
        <v>684</v>
      </c>
      <c r="AJ17" s="30">
        <v>484</v>
      </c>
    </row>
    <row r="18" spans="1:36" s="19" customFormat="1" ht="12.9" customHeight="1">
      <c r="A18" s="16" t="s">
        <v>13</v>
      </c>
      <c r="B18" s="22">
        <v>2181</v>
      </c>
      <c r="C18" s="23">
        <v>1191</v>
      </c>
      <c r="D18" s="23">
        <v>990</v>
      </c>
      <c r="E18" s="24"/>
      <c r="F18" s="17">
        <f t="shared" si="8"/>
        <v>2371</v>
      </c>
      <c r="G18" s="25">
        <v>1284</v>
      </c>
      <c r="H18" s="25">
        <v>1087</v>
      </c>
      <c r="I18" s="24"/>
      <c r="J18" s="10">
        <f t="shared" si="9"/>
        <v>2498</v>
      </c>
      <c r="K18" s="14">
        <v>1378</v>
      </c>
      <c r="L18" s="14">
        <v>1120</v>
      </c>
      <c r="M18" s="2"/>
      <c r="N18" s="10">
        <f t="shared" si="6"/>
        <v>2852</v>
      </c>
      <c r="O18" s="14">
        <v>1616</v>
      </c>
      <c r="P18" s="14">
        <v>1236</v>
      </c>
      <c r="R18" s="10">
        <f t="shared" si="7"/>
        <v>2842</v>
      </c>
      <c r="S18" s="14">
        <v>1606</v>
      </c>
      <c r="T18" s="14">
        <v>1236</v>
      </c>
      <c r="V18" s="10">
        <v>3011</v>
      </c>
      <c r="W18" s="14">
        <v>1717</v>
      </c>
      <c r="X18" s="14">
        <v>1294</v>
      </c>
      <c r="Y18" s="14"/>
      <c r="Z18" s="10">
        <f t="shared" si="0"/>
        <v>3203</v>
      </c>
      <c r="AA18" s="14">
        <v>1861</v>
      </c>
      <c r="AB18" s="14">
        <v>1342</v>
      </c>
      <c r="AD18" s="10">
        <f t="shared" si="1"/>
        <v>3358</v>
      </c>
      <c r="AE18" s="30">
        <v>2009</v>
      </c>
      <c r="AF18" s="30">
        <v>1349</v>
      </c>
      <c r="AH18" s="10">
        <f t="shared" si="2"/>
        <v>3450</v>
      </c>
      <c r="AI18" s="30">
        <v>2090</v>
      </c>
      <c r="AJ18" s="30">
        <v>1360</v>
      </c>
    </row>
    <row r="19" spans="1:36" s="19" customFormat="1" ht="12.9" customHeight="1">
      <c r="A19" s="16" t="s">
        <v>14</v>
      </c>
      <c r="B19" s="22">
        <v>3288</v>
      </c>
      <c r="C19" s="23">
        <v>1622</v>
      </c>
      <c r="D19" s="23">
        <v>1666</v>
      </c>
      <c r="E19" s="24"/>
      <c r="F19" s="17">
        <f t="shared" si="8"/>
        <v>3458</v>
      </c>
      <c r="G19" s="25">
        <v>1718</v>
      </c>
      <c r="H19" s="25">
        <v>1740</v>
      </c>
      <c r="I19" s="24"/>
      <c r="J19" s="10">
        <f t="shared" si="9"/>
        <v>3489</v>
      </c>
      <c r="K19" s="14">
        <v>1733</v>
      </c>
      <c r="L19" s="14">
        <v>1756</v>
      </c>
      <c r="M19" s="2"/>
      <c r="N19" s="10">
        <f t="shared" si="6"/>
        <v>3519</v>
      </c>
      <c r="O19" s="14">
        <v>1773</v>
      </c>
      <c r="P19" s="14">
        <v>1746</v>
      </c>
      <c r="R19" s="10">
        <f t="shared" si="7"/>
        <v>3600</v>
      </c>
      <c r="S19" s="14">
        <v>1820</v>
      </c>
      <c r="T19" s="14">
        <v>1780</v>
      </c>
      <c r="V19" s="10">
        <v>3406</v>
      </c>
      <c r="W19" s="14">
        <v>1666</v>
      </c>
      <c r="X19" s="14">
        <v>1740</v>
      </c>
      <c r="Y19" s="14"/>
      <c r="Z19" s="10">
        <f t="shared" si="0"/>
        <v>3419</v>
      </c>
      <c r="AA19" s="14">
        <v>1666</v>
      </c>
      <c r="AB19" s="14">
        <v>1753</v>
      </c>
      <c r="AD19" s="10">
        <f t="shared" si="1"/>
        <v>3514</v>
      </c>
      <c r="AE19" s="30">
        <v>1765</v>
      </c>
      <c r="AF19" s="30">
        <v>1749</v>
      </c>
      <c r="AH19" s="10">
        <f t="shared" si="2"/>
        <v>3506</v>
      </c>
      <c r="AI19" s="30">
        <v>1823</v>
      </c>
      <c r="AJ19" s="30">
        <v>1683</v>
      </c>
    </row>
    <row r="20" spans="1:36" s="19" customFormat="1" ht="12.9" customHeight="1">
      <c r="A20" s="16" t="s">
        <v>15</v>
      </c>
      <c r="B20" s="22">
        <v>1535</v>
      </c>
      <c r="C20" s="23">
        <v>837</v>
      </c>
      <c r="D20" s="23">
        <v>698</v>
      </c>
      <c r="E20" s="24"/>
      <c r="F20" s="17">
        <f t="shared" si="8"/>
        <v>1592</v>
      </c>
      <c r="G20" s="25">
        <v>876</v>
      </c>
      <c r="H20" s="25">
        <v>716</v>
      </c>
      <c r="I20" s="24"/>
      <c r="J20" s="10">
        <f t="shared" si="9"/>
        <v>1645</v>
      </c>
      <c r="K20" s="14">
        <v>920</v>
      </c>
      <c r="L20" s="14">
        <v>725</v>
      </c>
      <c r="M20" s="2"/>
      <c r="N20" s="10">
        <f t="shared" si="6"/>
        <v>1630</v>
      </c>
      <c r="O20" s="14">
        <v>906</v>
      </c>
      <c r="P20" s="14">
        <v>724</v>
      </c>
      <c r="R20" s="10">
        <f t="shared" si="7"/>
        <v>1602</v>
      </c>
      <c r="S20" s="14">
        <v>902</v>
      </c>
      <c r="T20" s="14">
        <v>700</v>
      </c>
      <c r="V20" s="10">
        <v>1555</v>
      </c>
      <c r="W20" s="14">
        <v>854</v>
      </c>
      <c r="X20" s="14">
        <v>701</v>
      </c>
      <c r="Y20" s="14"/>
      <c r="Z20" s="10">
        <f t="shared" si="0"/>
        <v>1523</v>
      </c>
      <c r="AA20" s="14">
        <v>824</v>
      </c>
      <c r="AB20" s="14">
        <v>699</v>
      </c>
      <c r="AD20" s="10">
        <f t="shared" si="1"/>
        <v>4326</v>
      </c>
      <c r="AE20" s="30">
        <v>2287</v>
      </c>
      <c r="AF20" s="30">
        <v>2039</v>
      </c>
      <c r="AH20" s="10">
        <f t="shared" si="2"/>
        <v>1651</v>
      </c>
      <c r="AI20" s="30">
        <v>977</v>
      </c>
      <c r="AJ20" s="30">
        <v>674</v>
      </c>
    </row>
    <row r="21" spans="1:36" s="19" customFormat="1" ht="12.9" customHeight="1">
      <c r="A21" s="16" t="s">
        <v>16</v>
      </c>
      <c r="B21" s="22">
        <v>3434</v>
      </c>
      <c r="C21" s="23">
        <v>1816</v>
      </c>
      <c r="D21" s="23">
        <v>1618</v>
      </c>
      <c r="E21" s="24"/>
      <c r="F21" s="17">
        <f t="shared" si="8"/>
        <v>3506</v>
      </c>
      <c r="G21" s="25">
        <v>1820</v>
      </c>
      <c r="H21" s="25">
        <v>1686</v>
      </c>
      <c r="I21" s="24"/>
      <c r="J21" s="10">
        <f t="shared" si="9"/>
        <v>3639</v>
      </c>
      <c r="K21" s="14">
        <v>1873</v>
      </c>
      <c r="L21" s="14">
        <v>1766</v>
      </c>
      <c r="M21" s="2"/>
      <c r="N21" s="10">
        <f t="shared" si="6"/>
        <v>3923</v>
      </c>
      <c r="O21" s="14">
        <v>2011</v>
      </c>
      <c r="P21" s="14">
        <v>1912</v>
      </c>
      <c r="R21" s="10">
        <f t="shared" si="7"/>
        <v>3931</v>
      </c>
      <c r="S21" s="14">
        <v>2027</v>
      </c>
      <c r="T21" s="14">
        <v>1904</v>
      </c>
      <c r="V21" s="10">
        <v>3929</v>
      </c>
      <c r="W21" s="14">
        <v>2000</v>
      </c>
      <c r="X21" s="14">
        <v>1929</v>
      </c>
      <c r="Y21" s="14"/>
      <c r="Z21" s="10">
        <f t="shared" si="0"/>
        <v>4078</v>
      </c>
      <c r="AA21" s="14">
        <v>2099</v>
      </c>
      <c r="AB21" s="14">
        <v>1979</v>
      </c>
      <c r="AD21" s="10">
        <f t="shared" si="1"/>
        <v>1594</v>
      </c>
      <c r="AE21" s="30">
        <v>947</v>
      </c>
      <c r="AF21" s="30">
        <v>647</v>
      </c>
      <c r="AH21" s="10">
        <f t="shared" si="2"/>
        <v>4584</v>
      </c>
      <c r="AI21" s="30">
        <v>2525</v>
      </c>
      <c r="AJ21" s="30">
        <v>2059</v>
      </c>
    </row>
    <row r="22" spans="1:36" s="19" customFormat="1" ht="12.9" customHeight="1">
      <c r="A22" s="16" t="s">
        <v>17</v>
      </c>
      <c r="B22" s="22">
        <v>1576</v>
      </c>
      <c r="C22" s="23">
        <v>956</v>
      </c>
      <c r="D22" s="23">
        <v>620</v>
      </c>
      <c r="E22" s="24"/>
      <c r="F22" s="17">
        <f t="shared" si="8"/>
        <v>1670</v>
      </c>
      <c r="G22" s="25">
        <v>1005</v>
      </c>
      <c r="H22" s="25">
        <v>665</v>
      </c>
      <c r="I22" s="24"/>
      <c r="J22" s="10">
        <f t="shared" si="9"/>
        <v>1738</v>
      </c>
      <c r="K22" s="14">
        <v>1047</v>
      </c>
      <c r="L22" s="14">
        <v>691</v>
      </c>
      <c r="M22" s="2"/>
      <c r="N22" s="10">
        <f t="shared" si="6"/>
        <v>1735</v>
      </c>
      <c r="O22" s="14">
        <v>1050</v>
      </c>
      <c r="P22" s="14">
        <v>685</v>
      </c>
      <c r="R22" s="10">
        <f t="shared" si="7"/>
        <v>1661</v>
      </c>
      <c r="S22" s="14">
        <v>976</v>
      </c>
      <c r="T22" s="14">
        <v>685</v>
      </c>
      <c r="V22" s="10">
        <v>1710</v>
      </c>
      <c r="W22" s="14">
        <v>983</v>
      </c>
      <c r="X22" s="14">
        <v>727</v>
      </c>
      <c r="Y22" s="14"/>
      <c r="Z22" s="10">
        <f t="shared" si="0"/>
        <v>1730</v>
      </c>
      <c r="AA22" s="14">
        <v>992</v>
      </c>
      <c r="AB22" s="14">
        <v>738</v>
      </c>
      <c r="AD22" s="10">
        <f t="shared" si="1"/>
        <v>1513</v>
      </c>
      <c r="AE22" s="30">
        <v>865</v>
      </c>
      <c r="AF22" s="30">
        <v>648</v>
      </c>
      <c r="AH22" s="10">
        <f t="shared" si="2"/>
        <v>1773</v>
      </c>
      <c r="AI22" s="30">
        <v>1071</v>
      </c>
      <c r="AJ22" s="30">
        <v>702</v>
      </c>
    </row>
    <row r="23" spans="1:36" s="19" customFormat="1" ht="12.9" customHeight="1">
      <c r="A23" s="16" t="s">
        <v>18</v>
      </c>
      <c r="B23" s="22">
        <v>4827</v>
      </c>
      <c r="C23" s="23">
        <v>2393</v>
      </c>
      <c r="D23" s="23">
        <v>2434</v>
      </c>
      <c r="E23" s="24"/>
      <c r="F23" s="17">
        <f t="shared" si="8"/>
        <v>5011</v>
      </c>
      <c r="G23" s="25">
        <v>2517</v>
      </c>
      <c r="H23" s="25">
        <v>2494</v>
      </c>
      <c r="I23" s="24"/>
      <c r="J23" s="10">
        <f t="shared" si="9"/>
        <v>5180</v>
      </c>
      <c r="K23" s="14">
        <v>2627</v>
      </c>
      <c r="L23" s="14">
        <v>2553</v>
      </c>
      <c r="M23" s="2"/>
      <c r="N23" s="10">
        <f t="shared" si="6"/>
        <v>5319</v>
      </c>
      <c r="O23" s="14">
        <v>2738</v>
      </c>
      <c r="P23" s="14">
        <v>2581</v>
      </c>
      <c r="R23" s="10">
        <f t="shared" si="7"/>
        <v>5193</v>
      </c>
      <c r="S23" s="14">
        <v>2636</v>
      </c>
      <c r="T23" s="14">
        <v>2557</v>
      </c>
      <c r="V23" s="10">
        <v>5071</v>
      </c>
      <c r="W23" s="14">
        <v>2555</v>
      </c>
      <c r="X23" s="14">
        <v>2516</v>
      </c>
      <c r="Y23" s="14"/>
      <c r="Z23" s="10">
        <f t="shared" si="0"/>
        <v>5046</v>
      </c>
      <c r="AA23" s="14">
        <v>2546</v>
      </c>
      <c r="AB23" s="14">
        <v>2500</v>
      </c>
      <c r="AD23" s="10">
        <f t="shared" si="1"/>
        <v>5114</v>
      </c>
      <c r="AE23" s="30">
        <v>2644</v>
      </c>
      <c r="AF23" s="30">
        <v>2470</v>
      </c>
      <c r="AH23" s="10">
        <f t="shared" si="2"/>
        <v>5207</v>
      </c>
      <c r="AI23" s="30">
        <v>2732</v>
      </c>
      <c r="AJ23" s="30">
        <v>2475</v>
      </c>
    </row>
    <row r="24" spans="1:36" s="19" customFormat="1" ht="12.9" customHeight="1">
      <c r="A24" s="16" t="s">
        <v>19</v>
      </c>
      <c r="B24" s="22">
        <v>2113</v>
      </c>
      <c r="C24" s="23">
        <v>1196</v>
      </c>
      <c r="D24" s="23">
        <v>917</v>
      </c>
      <c r="E24" s="24"/>
      <c r="F24" s="17">
        <f t="shared" si="8"/>
        <v>2387</v>
      </c>
      <c r="G24" s="25">
        <v>1332</v>
      </c>
      <c r="H24" s="25">
        <v>1055</v>
      </c>
      <c r="I24" s="24"/>
      <c r="J24" s="10">
        <f t="shared" si="9"/>
        <v>2602</v>
      </c>
      <c r="K24" s="14">
        <v>1452</v>
      </c>
      <c r="L24" s="14">
        <v>1150</v>
      </c>
      <c r="M24" s="2"/>
      <c r="N24" s="10">
        <f t="shared" si="6"/>
        <v>2754</v>
      </c>
      <c r="O24" s="14">
        <v>1554</v>
      </c>
      <c r="P24" s="14">
        <v>1200</v>
      </c>
      <c r="R24" s="10">
        <f t="shared" si="7"/>
        <v>2839</v>
      </c>
      <c r="S24" s="14">
        <v>1595</v>
      </c>
      <c r="T24" s="14">
        <v>1244</v>
      </c>
      <c r="V24" s="10">
        <v>2961</v>
      </c>
      <c r="W24" s="14">
        <v>1577</v>
      </c>
      <c r="X24" s="14">
        <v>1384</v>
      </c>
      <c r="Y24" s="14"/>
      <c r="Z24" s="10">
        <f t="shared" si="0"/>
        <v>2994</v>
      </c>
      <c r="AA24" s="14">
        <v>1627</v>
      </c>
      <c r="AB24" s="14">
        <v>1367</v>
      </c>
      <c r="AD24" s="10">
        <f t="shared" si="1"/>
        <v>3047</v>
      </c>
      <c r="AE24" s="30">
        <v>1675</v>
      </c>
      <c r="AF24" s="30">
        <v>1372</v>
      </c>
      <c r="AH24" s="10">
        <f t="shared" si="2"/>
        <v>3137</v>
      </c>
      <c r="AI24" s="30">
        <v>1784</v>
      </c>
      <c r="AJ24" s="30">
        <v>1353</v>
      </c>
    </row>
    <row r="25" spans="1:36" s="19" customFormat="1" ht="12.9" customHeight="1">
      <c r="A25" s="16" t="s">
        <v>20</v>
      </c>
      <c r="B25" s="22">
        <v>2046</v>
      </c>
      <c r="C25" s="23">
        <v>1056</v>
      </c>
      <c r="D25" s="23">
        <v>990</v>
      </c>
      <c r="E25" s="24"/>
      <c r="F25" s="17">
        <f t="shared" si="8"/>
        <v>2163</v>
      </c>
      <c r="G25" s="25">
        <v>1125</v>
      </c>
      <c r="H25" s="25">
        <v>1038</v>
      </c>
      <c r="I25" s="24"/>
      <c r="J25" s="10">
        <f t="shared" si="9"/>
        <v>2258</v>
      </c>
      <c r="K25" s="14">
        <v>1197</v>
      </c>
      <c r="L25" s="14">
        <v>1061</v>
      </c>
      <c r="M25" s="2"/>
      <c r="N25" s="10">
        <f t="shared" si="6"/>
        <v>2316</v>
      </c>
      <c r="O25" s="14">
        <v>1250</v>
      </c>
      <c r="P25" s="14">
        <v>1066</v>
      </c>
      <c r="R25" s="10">
        <f t="shared" si="7"/>
        <v>2155</v>
      </c>
      <c r="S25" s="14">
        <v>1135</v>
      </c>
      <c r="T25" s="14">
        <v>1020</v>
      </c>
      <c r="V25" s="10">
        <v>2074</v>
      </c>
      <c r="W25" s="14">
        <v>1084</v>
      </c>
      <c r="X25" s="14">
        <v>990</v>
      </c>
      <c r="Y25" s="14"/>
      <c r="Z25" s="10">
        <f t="shared" si="0"/>
        <v>1990</v>
      </c>
      <c r="AA25" s="14">
        <v>1030</v>
      </c>
      <c r="AB25" s="14">
        <v>960</v>
      </c>
      <c r="AD25" s="10">
        <f t="shared" si="1"/>
        <v>1923</v>
      </c>
      <c r="AE25" s="30">
        <v>1039</v>
      </c>
      <c r="AF25" s="30">
        <v>884</v>
      </c>
      <c r="AH25" s="10">
        <f t="shared" si="2"/>
        <v>1931</v>
      </c>
      <c r="AI25" s="30">
        <v>1090</v>
      </c>
      <c r="AJ25" s="30">
        <v>841</v>
      </c>
    </row>
    <row r="26" spans="1:36" s="19" customFormat="1" ht="12.9" customHeight="1">
      <c r="A26" s="16" t="s">
        <v>21</v>
      </c>
      <c r="B26" s="22">
        <v>2902</v>
      </c>
      <c r="C26" s="23">
        <v>1531</v>
      </c>
      <c r="D26" s="23">
        <v>1371</v>
      </c>
      <c r="E26" s="24"/>
      <c r="F26" s="17">
        <f t="shared" si="8"/>
        <v>3049</v>
      </c>
      <c r="G26" s="25">
        <v>1614</v>
      </c>
      <c r="H26" s="25">
        <v>1435</v>
      </c>
      <c r="I26" s="24"/>
      <c r="J26" s="10">
        <f t="shared" si="9"/>
        <v>3135</v>
      </c>
      <c r="K26" s="14">
        <v>1696</v>
      </c>
      <c r="L26" s="14">
        <v>1439</v>
      </c>
      <c r="M26" s="2"/>
      <c r="N26" s="10">
        <f t="shared" si="6"/>
        <v>3387</v>
      </c>
      <c r="O26" s="14">
        <v>1867</v>
      </c>
      <c r="P26" s="14">
        <v>1520</v>
      </c>
      <c r="R26" s="10">
        <f t="shared" si="7"/>
        <v>3400</v>
      </c>
      <c r="S26" s="14">
        <v>1875</v>
      </c>
      <c r="T26" s="14">
        <v>1525</v>
      </c>
      <c r="V26" s="10">
        <v>3269</v>
      </c>
      <c r="W26" s="14">
        <v>1781</v>
      </c>
      <c r="X26" s="14">
        <v>1488</v>
      </c>
      <c r="Y26" s="14"/>
      <c r="Z26" s="10">
        <f t="shared" si="0"/>
        <v>3273</v>
      </c>
      <c r="AA26" s="14">
        <v>1786</v>
      </c>
      <c r="AB26" s="14">
        <v>1487</v>
      </c>
      <c r="AD26" s="10">
        <f t="shared" si="1"/>
        <v>3266</v>
      </c>
      <c r="AE26" s="30">
        <v>1818</v>
      </c>
      <c r="AF26" s="30">
        <v>1448</v>
      </c>
      <c r="AH26" s="10">
        <f t="shared" si="2"/>
        <v>3367</v>
      </c>
      <c r="AI26" s="30">
        <v>1952</v>
      </c>
      <c r="AJ26" s="30">
        <v>1415</v>
      </c>
    </row>
    <row r="27" spans="1:36" s="19" customFormat="1" ht="12.9" customHeight="1">
      <c r="A27" s="16" t="s">
        <v>22</v>
      </c>
      <c r="B27" s="22">
        <v>1306</v>
      </c>
      <c r="C27" s="23">
        <v>742</v>
      </c>
      <c r="D27" s="23">
        <v>564</v>
      </c>
      <c r="E27" s="24"/>
      <c r="F27" s="17">
        <f t="shared" si="8"/>
        <v>1380</v>
      </c>
      <c r="G27" s="25">
        <v>789</v>
      </c>
      <c r="H27" s="25">
        <v>591</v>
      </c>
      <c r="I27" s="24"/>
      <c r="J27" s="10">
        <f t="shared" si="9"/>
        <v>1378</v>
      </c>
      <c r="K27" s="14">
        <v>788</v>
      </c>
      <c r="L27" s="14">
        <v>590</v>
      </c>
      <c r="M27" s="2"/>
      <c r="N27" s="10">
        <f t="shared" si="6"/>
        <v>1423</v>
      </c>
      <c r="O27" s="14">
        <v>817</v>
      </c>
      <c r="P27" s="14">
        <v>606</v>
      </c>
      <c r="R27" s="10">
        <f t="shared" si="7"/>
        <v>1386</v>
      </c>
      <c r="S27" s="14">
        <v>797</v>
      </c>
      <c r="T27" s="14">
        <v>589</v>
      </c>
      <c r="V27" s="10">
        <v>1363</v>
      </c>
      <c r="W27" s="14">
        <v>780</v>
      </c>
      <c r="X27" s="14">
        <v>583</v>
      </c>
      <c r="Y27" s="14"/>
      <c r="Z27" s="10">
        <f t="shared" si="0"/>
        <v>1331</v>
      </c>
      <c r="AA27" s="14">
        <v>759</v>
      </c>
      <c r="AB27" s="14">
        <v>572</v>
      </c>
      <c r="AD27" s="10">
        <f t="shared" si="1"/>
        <v>1350</v>
      </c>
      <c r="AE27" s="30">
        <v>767</v>
      </c>
      <c r="AF27" s="30">
        <v>583</v>
      </c>
      <c r="AH27" s="10">
        <f t="shared" si="2"/>
        <v>1400</v>
      </c>
      <c r="AI27" s="30">
        <v>836</v>
      </c>
      <c r="AJ27" s="30">
        <v>564</v>
      </c>
    </row>
    <row r="28" spans="1:36" s="19" customFormat="1" ht="9.15" customHeight="1">
      <c r="A28" s="16"/>
      <c r="B28" s="28"/>
      <c r="C28" s="24"/>
      <c r="D28" s="24"/>
      <c r="E28" s="24"/>
      <c r="F28" s="22"/>
      <c r="G28" s="23"/>
      <c r="H28" s="23"/>
      <c r="I28" s="24"/>
      <c r="J28" s="17"/>
      <c r="K28" s="17"/>
      <c r="L28" s="17"/>
      <c r="M28" s="17"/>
    </row>
    <row r="29" spans="1:36" s="16" customFormat="1" ht="12">
      <c r="A29" s="7" t="s">
        <v>26</v>
      </c>
    </row>
    <row r="30" spans="1:36" ht="12.75" customHeight="1">
      <c r="A30" s="34" t="s">
        <v>29</v>
      </c>
      <c r="B30" s="34"/>
      <c r="C30" s="34"/>
      <c r="D30" s="34"/>
      <c r="E30" s="34"/>
      <c r="F30" s="34"/>
      <c r="G30" s="34"/>
      <c r="H30" s="3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6" ht="12.75" customHeight="1">
      <c r="A31" s="34" t="s">
        <v>30</v>
      </c>
      <c r="B31" s="34"/>
      <c r="C31" s="34"/>
      <c r="D31" s="3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6" s="19" customFormat="1"/>
    <row r="33" s="19" customFormat="1"/>
    <row r="34" s="19" customFormat="1"/>
    <row r="35" s="19" customFormat="1"/>
    <row r="36" s="19" customFormat="1"/>
    <row r="37" s="19" customFormat="1"/>
    <row r="38" s="19" customFormat="1"/>
    <row r="39" s="19" customFormat="1"/>
    <row r="40" s="19" customFormat="1"/>
    <row r="41" s="19" customFormat="1"/>
    <row r="42" s="19" customFormat="1"/>
    <row r="43" s="19" customFormat="1"/>
    <row r="44" s="19" customFormat="1"/>
    <row r="45" s="19" customFormat="1"/>
    <row r="46" s="19" customFormat="1"/>
    <row r="47" s="19" customFormat="1"/>
    <row r="48" s="19" customFormat="1"/>
    <row r="49" s="19" customFormat="1"/>
    <row r="50" s="19" customFormat="1"/>
    <row r="51" s="19" customFormat="1"/>
    <row r="52" s="19" customFormat="1"/>
    <row r="53" s="19" customFormat="1"/>
    <row r="54" s="19" customFormat="1"/>
    <row r="55" s="19" customFormat="1"/>
    <row r="56" s="19" customFormat="1"/>
    <row r="57" s="19" customFormat="1"/>
    <row r="58" s="19" customFormat="1"/>
    <row r="59" s="19" customFormat="1"/>
    <row r="60" s="19" customFormat="1"/>
    <row r="61" s="19" customFormat="1"/>
    <row r="62" s="19" customFormat="1"/>
    <row r="63" s="19" customFormat="1"/>
    <row r="64" s="19" customFormat="1"/>
    <row r="65" s="19" customFormat="1"/>
    <row r="66" s="19" customFormat="1"/>
    <row r="67" s="19" customFormat="1"/>
    <row r="68" s="19" customFormat="1"/>
    <row r="69" s="19" customFormat="1"/>
    <row r="70" s="19" customFormat="1"/>
    <row r="71" s="19" customFormat="1"/>
    <row r="72" s="19" customFormat="1"/>
    <row r="73" s="19" customFormat="1"/>
    <row r="74" s="19" customFormat="1"/>
    <row r="75" s="19" customFormat="1"/>
  </sheetData>
  <mergeCells count="12">
    <mergeCell ref="A30:H30"/>
    <mergeCell ref="A31:D31"/>
    <mergeCell ref="AH3:AJ3"/>
    <mergeCell ref="AD3:AF3"/>
    <mergeCell ref="Z3:AB3"/>
    <mergeCell ref="V3:X3"/>
    <mergeCell ref="R3:T3"/>
    <mergeCell ref="A3:A4"/>
    <mergeCell ref="B3:D3"/>
    <mergeCell ref="F3:H3"/>
    <mergeCell ref="J3:L3"/>
    <mergeCell ref="N3:P3"/>
  </mergeCells>
  <pageMargins left="0.7" right="0.7" top="0.75" bottom="0.75" header="0.3" footer="0.3"/>
  <pageSetup orientation="portrait" r:id="rId1"/>
  <ignoredErrors>
    <ignoredError sqref="Z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3.9.3</vt:lpstr>
      <vt:lpstr>Serie histórica</vt:lpstr>
      <vt:lpstr>'3.9.3'!Área_de_impresión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2019-06-13T16:02:39Z</cp:lastPrinted>
  <dcterms:created xsi:type="dcterms:W3CDTF">2017-10-06T18:03:23Z</dcterms:created>
  <dcterms:modified xsi:type="dcterms:W3CDTF">2025-08-19T17:44:27Z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3328fb25-d893-425b-b989-a82adf1924c1</vt:lpwstr>
  </property>
</Properties>
</file>