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992" yWindow="828" windowWidth="13656" windowHeight="8448" tabRatio="819"/>
  </bookViews>
  <sheets>
    <sheet name="3.9.1" sheetId="3" r:id="rId1"/>
    <sheet name="Serie histórica" sheetId="4" r:id="rId2"/>
  </sheets>
  <definedNames>
    <definedName name="_xlnm.Print_Area" localSheetId="0">'3.9.1'!$A$1:$D$32</definedName>
  </definedNames>
  <calcPr calcId="145621"/>
</workbook>
</file>

<file path=xl/calcChain.xml><?xml version="1.0" encoding="utf-8"?>
<calcChain xmlns="http://schemas.openxmlformats.org/spreadsheetml/2006/main">
  <c r="J5" i="4" l="1"/>
  <c r="D6" i="3"/>
  <c r="B9" i="3"/>
  <c r="B6" i="3" s="1"/>
  <c r="C9" i="3"/>
  <c r="C6" i="3" s="1"/>
  <c r="I8" i="4" l="1"/>
  <c r="I5" i="4"/>
  <c r="H8" i="4" l="1"/>
  <c r="G8" i="4"/>
  <c r="H5" i="4"/>
  <c r="G5" i="4"/>
  <c r="F8" i="4" l="1"/>
  <c r="F5" i="4" s="1"/>
  <c r="E8" i="4"/>
  <c r="E5" i="4" s="1"/>
  <c r="D8" i="4"/>
  <c r="D5" i="4" s="1"/>
  <c r="C8" i="4" l="1"/>
  <c r="C5" i="4" s="1"/>
  <c r="B8" i="4" l="1"/>
  <c r="B5" i="4" s="1"/>
</calcChain>
</file>

<file path=xl/sharedStrings.xml><?xml version="1.0" encoding="utf-8"?>
<sst xmlns="http://schemas.openxmlformats.org/spreadsheetml/2006/main" count="60" uniqueCount="29">
  <si>
    <t>Montevideo</t>
  </si>
  <si>
    <t>Servicio 0800</t>
  </si>
  <si>
    <t xml:space="preserve">  Artigas</t>
  </si>
  <si>
    <t xml:space="preserve"> Canelones</t>
  </si>
  <si>
    <t xml:space="preserve"> Cerro Largo</t>
  </si>
  <si>
    <t xml:space="preserve"> Colonia</t>
  </si>
  <si>
    <t xml:space="preserve"> Durazno</t>
  </si>
  <si>
    <t xml:space="preserve"> Flores</t>
  </si>
  <si>
    <t xml:space="preserve"> Florida</t>
  </si>
  <si>
    <t xml:space="preserve"> Lavalleja</t>
  </si>
  <si>
    <t xml:space="preserve"> Maldonado</t>
  </si>
  <si>
    <t xml:space="preserve"> Paysandú</t>
  </si>
  <si>
    <t xml:space="preserve"> Río Negro</t>
  </si>
  <si>
    <t xml:space="preserve"> Rivera</t>
  </si>
  <si>
    <t xml:space="preserve"> Rocha</t>
  </si>
  <si>
    <t xml:space="preserve"> Salto</t>
  </si>
  <si>
    <t xml:space="preserve"> San José</t>
  </si>
  <si>
    <t xml:space="preserve"> Soriano</t>
  </si>
  <si>
    <t xml:space="preserve"> Tacuarembó</t>
  </si>
  <si>
    <t xml:space="preserve"> Treinta y Tres</t>
  </si>
  <si>
    <t>Departamento y servicio 0800</t>
  </si>
  <si>
    <t>Resto País</t>
  </si>
  <si>
    <t>Total País</t>
  </si>
  <si>
    <t xml:space="preserve">Fuente: Ministerio de Desarrollo Social (MIDES) - Dirección Nacional de Información, Evaluación y Monitoreo (DINEM). </t>
  </si>
  <si>
    <t>…</t>
  </si>
  <si>
    <t>Sin dato</t>
  </si>
  <si>
    <t>-</t>
  </si>
  <si>
    <t>Fuente: Ministerio de Desarrollo Social (MIDES) - Dirección Nacional de Transferencias y Análisis de Datos (DINTAD)</t>
  </si>
  <si>
    <t>3.9.1 - Número de atenciones registradas, por año, según departamento y servicio 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</si>
</sst>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€_-;\-* #,##0.00\ _€_-;_-* &quot;-&quot;??\ _€_-;_-@_-"/>
    <numFmt numFmtId="165" formatCode="0_);\(0\)"/>
  </numFmts>
  <fonts count="14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7" fillId="0" borderId="0"/>
    <xf numFmtId="164" fontId="11" fillId="0" borderId="0" applyFont="0" applyFill="0" applyBorder="0" applyAlignment="0" applyProtection="0"/>
    <xf numFmtId="0" fontId="12" fillId="0" borderId="0"/>
    <xf numFmtId="0" fontId="12" fillId="0" borderId="0"/>
  </cellStyleXfs>
  <cellXfs count="33">
    <xf numFmtId="0" fontId="0" fillId="0" borderId="0" xfId="0"/>
    <xf numFmtId="0" fontId="4" fillId="0" borderId="0" xfId="0" applyFont="1" applyFill="1" applyBorder="1" applyAlignment="1" applyProtection="1">
      <alignment horizontal="center"/>
    </xf>
    <xf numFmtId="0" fontId="5" fillId="0" borderId="0" xfId="0" applyFont="1" applyFill="1" applyBorder="1"/>
    <xf numFmtId="0" fontId="4" fillId="0" borderId="0" xfId="0" applyFont="1" applyFill="1" applyBorder="1"/>
    <xf numFmtId="3" fontId="8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/>
    <xf numFmtId="0" fontId="4" fillId="0" borderId="0" xfId="0" applyFont="1" applyFill="1" applyBorder="1" applyAlignment="1" applyProtection="1"/>
    <xf numFmtId="3" fontId="9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165" fontId="10" fillId="2" borderId="0" xfId="0" applyNumberFormat="1" applyFont="1" applyFill="1" applyBorder="1" applyAlignment="1" applyProtection="1">
      <alignment horizontal="left"/>
    </xf>
    <xf numFmtId="3" fontId="0" fillId="0" borderId="0" xfId="0" applyNumberFormat="1" applyFill="1" applyBorder="1"/>
    <xf numFmtId="165" fontId="10" fillId="2" borderId="0" xfId="0" applyNumberFormat="1" applyFont="1" applyFill="1" applyBorder="1" applyAlignment="1" applyProtection="1">
      <alignment horizontal="left" vertical="center" wrapText="1"/>
    </xf>
    <xf numFmtId="0" fontId="4" fillId="3" borderId="0" xfId="0" applyFont="1" applyFill="1" applyBorder="1"/>
    <xf numFmtId="0" fontId="5" fillId="3" borderId="0" xfId="0" applyFont="1" applyFill="1" applyBorder="1"/>
    <xf numFmtId="3" fontId="8" fillId="3" borderId="0" xfId="0" applyNumberFormat="1" applyFont="1" applyFill="1" applyBorder="1" applyAlignment="1">
      <alignment horizontal="right" vertical="center"/>
    </xf>
    <xf numFmtId="0" fontId="0" fillId="3" borderId="0" xfId="0" applyFill="1" applyBorder="1"/>
    <xf numFmtId="0" fontId="4" fillId="3" borderId="0" xfId="0" applyFont="1" applyFill="1" applyBorder="1" applyAlignment="1" applyProtection="1"/>
    <xf numFmtId="3" fontId="9" fillId="3" borderId="0" xfId="0" applyNumberFormat="1" applyFont="1" applyFill="1" applyBorder="1" applyAlignment="1">
      <alignment horizontal="right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left"/>
    </xf>
    <xf numFmtId="165" fontId="10" fillId="2" borderId="0" xfId="0" applyNumberFormat="1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3" fontId="5" fillId="3" borderId="0" xfId="8" applyNumberFormat="1" applyFont="1" applyFill="1" applyAlignment="1">
      <alignment horizontal="right"/>
    </xf>
    <xf numFmtId="165" fontId="10" fillId="2" borderId="0" xfId="0" applyNumberFormat="1" applyFont="1" applyFill="1" applyBorder="1" applyAlignment="1" applyProtection="1">
      <alignment horizontal="left" vertical="center" wrapText="1"/>
    </xf>
    <xf numFmtId="165" fontId="10" fillId="2" borderId="0" xfId="0" applyNumberFormat="1" applyFont="1" applyFill="1" applyBorder="1" applyAlignment="1" applyProtection="1">
      <alignment vertical="center"/>
    </xf>
    <xf numFmtId="0" fontId="0" fillId="3" borderId="0" xfId="0" applyFill="1" applyBorder="1" applyAlignment="1">
      <alignment horizontal="right"/>
    </xf>
    <xf numFmtId="3" fontId="13" fillId="0" borderId="0" xfId="10" applyNumberFormat="1" applyFont="1" applyFill="1" applyBorder="1" applyAlignment="1" applyProtection="1">
      <alignment horizontal="right"/>
    </xf>
    <xf numFmtId="165" fontId="10" fillId="2" borderId="0" xfId="0" applyNumberFormat="1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wrapText="1"/>
    </xf>
  </cellXfs>
  <cellStyles count="11">
    <cellStyle name="Millares" xfId="8" builtinId="3"/>
    <cellStyle name="Normal" xfId="0" builtinId="0"/>
    <cellStyle name="Normal 11" xfId="3"/>
    <cellStyle name="Normal 11 2 2 3 2 3 3" xfId="10"/>
    <cellStyle name="Normal 11 2 2 3 2 5 3 2" xfId="9"/>
    <cellStyle name="Normal 2" xfId="5"/>
    <cellStyle name="Normal 2 2 2" xfId="6"/>
    <cellStyle name="Normal 3" xfId="2"/>
    <cellStyle name="Normal 4" xfId="1"/>
    <cellStyle name="Normal 4 2" xfId="7"/>
    <cellStyle name="TableStyleLight1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showGridLines="0" tabSelected="1" zoomScaleNormal="100" workbookViewId="0">
      <selection sqref="A1:D2"/>
    </sheetView>
  </sheetViews>
  <sheetFormatPr baseColWidth="10" defaultColWidth="17.88671875" defaultRowHeight="14.4"/>
  <cols>
    <col min="1" max="1" width="25.44140625" style="9" customWidth="1"/>
    <col min="2" max="2" width="18.109375" style="5" customWidth="1"/>
    <col min="3" max="3" width="17.88671875" style="5" customWidth="1"/>
    <col min="4" max="4" width="18" style="5" customWidth="1"/>
    <col min="5" max="16384" width="17.88671875" style="5"/>
  </cols>
  <sheetData>
    <row r="1" spans="1:12" s="2" customFormat="1" ht="15" customHeight="1">
      <c r="A1" s="30" t="s">
        <v>28</v>
      </c>
      <c r="B1" s="30"/>
      <c r="C1" s="30"/>
      <c r="D1" s="30"/>
      <c r="E1" s="1"/>
      <c r="F1" s="1"/>
      <c r="G1" s="1"/>
      <c r="H1" s="1"/>
      <c r="I1" s="1"/>
      <c r="J1" s="1"/>
      <c r="K1" s="1"/>
      <c r="L1" s="1"/>
    </row>
    <row r="2" spans="1:12" s="2" customFormat="1" ht="15" customHeight="1">
      <c r="A2" s="30"/>
      <c r="B2" s="30"/>
      <c r="C2" s="30"/>
      <c r="D2" s="30"/>
      <c r="E2" s="1"/>
      <c r="F2" s="1"/>
      <c r="G2" s="1"/>
      <c r="H2" s="1"/>
      <c r="I2" s="1"/>
      <c r="J2" s="1"/>
      <c r="K2" s="1"/>
      <c r="L2" s="1"/>
    </row>
    <row r="3" spans="1:12" s="2" customFormat="1" ht="9.15" customHeight="1">
      <c r="A3" s="10"/>
      <c r="B3" s="10"/>
      <c r="C3" s="10"/>
      <c r="D3" s="10"/>
      <c r="E3" s="1"/>
      <c r="F3" s="1"/>
      <c r="G3" s="1"/>
      <c r="H3" s="1"/>
      <c r="I3" s="1"/>
      <c r="J3" s="1"/>
      <c r="K3" s="1"/>
      <c r="L3" s="1"/>
    </row>
    <row r="4" spans="1:12" s="2" customFormat="1" ht="12.9" customHeight="1">
      <c r="A4" s="3" t="s">
        <v>20</v>
      </c>
      <c r="B4" s="3">
        <v>2022</v>
      </c>
      <c r="C4" s="3">
        <v>2023</v>
      </c>
      <c r="D4" s="3">
        <v>2024</v>
      </c>
    </row>
    <row r="5" spans="1:12" s="2" customFormat="1" ht="9.15" customHeight="1">
      <c r="A5" s="3"/>
      <c r="B5" s="3"/>
      <c r="C5" s="3"/>
      <c r="D5" s="3"/>
    </row>
    <row r="6" spans="1:12" ht="12.9" customHeight="1">
      <c r="A6" s="3" t="s">
        <v>22</v>
      </c>
      <c r="B6" s="4">
        <f>B8+B9+B28</f>
        <v>508819</v>
      </c>
      <c r="C6" s="4">
        <f>C8+C9+C28</f>
        <v>485658</v>
      </c>
      <c r="D6" s="4">
        <f>D8+D9+D28</f>
        <v>465988</v>
      </c>
      <c r="E6" s="11"/>
      <c r="F6" s="11"/>
    </row>
    <row r="7" spans="1:12" s="2" customFormat="1" ht="9.15" customHeight="1">
      <c r="A7" s="6"/>
      <c r="B7" s="4"/>
      <c r="C7" s="4"/>
      <c r="D7" s="4"/>
      <c r="E7" s="5"/>
      <c r="F7" s="5"/>
      <c r="G7" s="5"/>
      <c r="H7" s="5"/>
      <c r="I7" s="5"/>
      <c r="J7" s="5"/>
      <c r="K7" s="5"/>
      <c r="L7" s="5"/>
    </row>
    <row r="8" spans="1:12" ht="12.9" customHeight="1">
      <c r="A8" s="3" t="s">
        <v>0</v>
      </c>
      <c r="B8" s="7">
        <v>153287</v>
      </c>
      <c r="C8" s="7">
        <v>151609</v>
      </c>
      <c r="D8" s="7">
        <v>133442</v>
      </c>
    </row>
    <row r="9" spans="1:12" ht="12.9" customHeight="1">
      <c r="A9" s="3" t="s">
        <v>21</v>
      </c>
      <c r="B9" s="7">
        <f>SUM(B10:B27)</f>
        <v>324618</v>
      </c>
      <c r="C9" s="7">
        <f>SUM(C10:C27)</f>
        <v>306158</v>
      </c>
      <c r="D9" s="7">
        <v>300080</v>
      </c>
    </row>
    <row r="10" spans="1:12" ht="12.9" customHeight="1">
      <c r="A10" s="3" t="s">
        <v>2</v>
      </c>
      <c r="B10" s="7">
        <v>11840</v>
      </c>
      <c r="C10" s="7">
        <v>13470</v>
      </c>
      <c r="D10" s="29">
        <v>11830</v>
      </c>
    </row>
    <row r="11" spans="1:12" ht="12.9" customHeight="1">
      <c r="A11" s="3" t="s">
        <v>3</v>
      </c>
      <c r="B11" s="7">
        <v>68173</v>
      </c>
      <c r="C11" s="7">
        <v>64144</v>
      </c>
      <c r="D11" s="29">
        <v>58096</v>
      </c>
    </row>
    <row r="12" spans="1:12" ht="12.9" customHeight="1">
      <c r="A12" s="3" t="s">
        <v>4</v>
      </c>
      <c r="B12" s="7">
        <v>16263</v>
      </c>
      <c r="C12" s="7">
        <v>14619</v>
      </c>
      <c r="D12" s="29">
        <v>14436</v>
      </c>
    </row>
    <row r="13" spans="1:12" ht="12.9" customHeight="1">
      <c r="A13" s="3" t="s">
        <v>5</v>
      </c>
      <c r="B13" s="7">
        <v>18519</v>
      </c>
      <c r="C13" s="7">
        <v>16951</v>
      </c>
      <c r="D13" s="29">
        <v>19488</v>
      </c>
    </row>
    <row r="14" spans="1:12" ht="12.9" customHeight="1">
      <c r="A14" s="3" t="s">
        <v>6</v>
      </c>
      <c r="B14" s="7">
        <v>8039</v>
      </c>
      <c r="C14" s="7">
        <v>6672</v>
      </c>
      <c r="D14" s="29">
        <v>7338</v>
      </c>
      <c r="G14" s="11"/>
    </row>
    <row r="15" spans="1:12" ht="12.9" customHeight="1">
      <c r="A15" s="3" t="s">
        <v>7</v>
      </c>
      <c r="B15" s="7">
        <v>3836</v>
      </c>
      <c r="C15" s="7">
        <v>4098</v>
      </c>
      <c r="D15" s="29">
        <v>4351</v>
      </c>
    </row>
    <row r="16" spans="1:12" ht="12.9" customHeight="1">
      <c r="A16" s="3" t="s">
        <v>8</v>
      </c>
      <c r="B16" s="7">
        <v>4707</v>
      </c>
      <c r="C16" s="7">
        <v>4541</v>
      </c>
      <c r="D16" s="29">
        <v>5160</v>
      </c>
      <c r="F16" s="11"/>
    </row>
    <row r="17" spans="1:9" ht="12.9" customHeight="1">
      <c r="A17" s="3" t="s">
        <v>9</v>
      </c>
      <c r="B17" s="7">
        <v>10040</v>
      </c>
      <c r="C17" s="7">
        <v>9670</v>
      </c>
      <c r="D17" s="29">
        <v>10269</v>
      </c>
    </row>
    <row r="18" spans="1:9" ht="12.9" customHeight="1">
      <c r="A18" s="3" t="s">
        <v>10</v>
      </c>
      <c r="B18" s="7">
        <v>23762</v>
      </c>
      <c r="C18" s="7">
        <v>20029</v>
      </c>
      <c r="D18" s="29">
        <v>20917</v>
      </c>
    </row>
    <row r="19" spans="1:9" ht="12.9" customHeight="1">
      <c r="A19" s="3" t="s">
        <v>11</v>
      </c>
      <c r="B19" s="7">
        <v>19760</v>
      </c>
      <c r="C19" s="7">
        <v>16148</v>
      </c>
      <c r="D19" s="29">
        <v>14068</v>
      </c>
    </row>
    <row r="20" spans="1:9" ht="12.9" customHeight="1">
      <c r="A20" s="3" t="s">
        <v>12</v>
      </c>
      <c r="B20" s="7">
        <v>18235</v>
      </c>
      <c r="C20" s="7">
        <v>18554</v>
      </c>
      <c r="D20" s="29">
        <v>17625</v>
      </c>
    </row>
    <row r="21" spans="1:9" ht="12.9" customHeight="1">
      <c r="A21" s="3" t="s">
        <v>13</v>
      </c>
      <c r="B21" s="7">
        <v>26520</v>
      </c>
      <c r="C21" s="7">
        <v>27322</v>
      </c>
      <c r="D21" s="29">
        <v>28193</v>
      </c>
    </row>
    <row r="22" spans="1:9" ht="12.9" customHeight="1">
      <c r="A22" s="3" t="s">
        <v>14</v>
      </c>
      <c r="B22" s="7">
        <v>11363</v>
      </c>
      <c r="C22" s="7">
        <v>10663</v>
      </c>
      <c r="D22" s="29">
        <v>8743</v>
      </c>
    </row>
    <row r="23" spans="1:9" ht="12.9" customHeight="1">
      <c r="A23" s="3" t="s">
        <v>15</v>
      </c>
      <c r="B23" s="7">
        <v>24315</v>
      </c>
      <c r="C23" s="7">
        <v>22993</v>
      </c>
      <c r="D23" s="29">
        <v>24904</v>
      </c>
    </row>
    <row r="24" spans="1:9" ht="12.9" customHeight="1">
      <c r="A24" s="3" t="s">
        <v>16</v>
      </c>
      <c r="B24" s="7">
        <v>19578</v>
      </c>
      <c r="C24" s="7">
        <v>17510</v>
      </c>
      <c r="D24" s="29">
        <v>17794</v>
      </c>
    </row>
    <row r="25" spans="1:9" ht="12.9" customHeight="1">
      <c r="A25" s="3" t="s">
        <v>17</v>
      </c>
      <c r="B25" s="7">
        <v>16755</v>
      </c>
      <c r="C25" s="7">
        <v>14298</v>
      </c>
      <c r="D25" s="29">
        <v>13509</v>
      </c>
    </row>
    <row r="26" spans="1:9" ht="12.9" customHeight="1">
      <c r="A26" s="3" t="s">
        <v>18</v>
      </c>
      <c r="B26" s="7">
        <v>15834</v>
      </c>
      <c r="C26" s="7">
        <v>16039</v>
      </c>
      <c r="D26" s="29">
        <v>15234</v>
      </c>
    </row>
    <row r="27" spans="1:9" ht="12.9" customHeight="1">
      <c r="A27" s="3" t="s">
        <v>19</v>
      </c>
      <c r="B27" s="7">
        <v>7079</v>
      </c>
      <c r="C27" s="7">
        <v>8437</v>
      </c>
      <c r="D27" s="29">
        <v>8125</v>
      </c>
    </row>
    <row r="28" spans="1:9" ht="12.9" customHeight="1">
      <c r="A28" s="3" t="s">
        <v>1</v>
      </c>
      <c r="B28" s="7">
        <v>30914</v>
      </c>
      <c r="C28" s="7">
        <v>27891</v>
      </c>
      <c r="D28" s="7">
        <v>32466</v>
      </c>
    </row>
    <row r="29" spans="1:9" ht="12.9" customHeight="1">
      <c r="A29" s="3" t="s">
        <v>25</v>
      </c>
      <c r="B29" s="25" t="s">
        <v>26</v>
      </c>
      <c r="C29" s="25" t="s">
        <v>24</v>
      </c>
      <c r="D29" s="25" t="s">
        <v>24</v>
      </c>
    </row>
    <row r="30" spans="1:9" ht="9.15" customHeight="1">
      <c r="A30" s="2"/>
      <c r="B30" s="8"/>
      <c r="C30" s="8"/>
      <c r="D30" s="7"/>
    </row>
    <row r="31" spans="1:9" s="2" customFormat="1" ht="12.9" customHeight="1">
      <c r="A31" s="32" t="s">
        <v>27</v>
      </c>
      <c r="B31" s="32"/>
      <c r="C31" s="32"/>
      <c r="D31" s="32"/>
      <c r="E31" s="3"/>
      <c r="F31" s="3"/>
      <c r="G31" s="3"/>
      <c r="H31" s="3"/>
      <c r="I31" s="3"/>
    </row>
    <row r="32" spans="1:9" s="2" customFormat="1" ht="12.9" customHeight="1">
      <c r="A32" s="32"/>
      <c r="B32" s="32"/>
      <c r="C32" s="32"/>
      <c r="D32" s="32"/>
      <c r="E32" s="3"/>
      <c r="F32" s="3"/>
      <c r="G32" s="3"/>
      <c r="H32" s="3"/>
      <c r="I32" s="3"/>
    </row>
    <row r="33" spans="1:4" ht="9.15" customHeight="1"/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1"/>
      <c r="B36" s="31"/>
      <c r="C36" s="31"/>
      <c r="D36" s="31"/>
    </row>
    <row r="37" spans="1:4">
      <c r="A37" s="31"/>
      <c r="B37" s="31"/>
      <c r="C37" s="31"/>
      <c r="D37" s="31"/>
    </row>
  </sheetData>
  <mergeCells count="3">
    <mergeCell ref="A1:D2"/>
    <mergeCell ref="A36:D37"/>
    <mergeCell ref="A31:D32"/>
  </mergeCells>
  <pageMargins left="0.51181102362204722" right="0.31496062992125984" top="0.55118110236220474" bottom="0.74803149606299213" header="0.31496062992125984" footer="0.31496062992125984"/>
  <pageSetup paperSize="9" orientation="portrait" r:id="rId1"/>
  <ignoredErrors>
    <ignoredError sqref="B9:C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P150"/>
  <sheetViews>
    <sheetView showGridLines="0" workbookViewId="0">
      <selection activeCell="J3" sqref="J3"/>
    </sheetView>
  </sheetViews>
  <sheetFormatPr baseColWidth="10" defaultColWidth="17.88671875" defaultRowHeight="14.4"/>
  <cols>
    <col min="1" max="1" width="25.6640625" style="9" customWidth="1"/>
    <col min="2" max="4" width="12.88671875" style="5" customWidth="1"/>
    <col min="5" max="9" width="12.88671875" style="16" customWidth="1"/>
    <col min="10" max="10" width="10.77734375" style="16" customWidth="1"/>
    <col min="11" max="35" width="17.88671875" style="16"/>
    <col min="36" max="16384" width="17.88671875" style="5"/>
  </cols>
  <sheetData>
    <row r="1" spans="1:770" s="2" customFormat="1" ht="15" customHeight="1">
      <c r="A1" s="27" t="s">
        <v>28</v>
      </c>
      <c r="B1" s="27"/>
      <c r="C1" s="27"/>
      <c r="D1" s="27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</row>
    <row r="2" spans="1:770" s="2" customFormat="1" ht="9.15" customHeight="1">
      <c r="A2" s="10"/>
      <c r="B2" s="10"/>
      <c r="C2" s="10"/>
      <c r="D2" s="10"/>
      <c r="E2" s="12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  <c r="AAM2" s="21"/>
      <c r="AAN2" s="21"/>
      <c r="AAO2" s="21"/>
      <c r="AAP2" s="21"/>
      <c r="AAQ2" s="21"/>
      <c r="AAR2" s="21"/>
      <c r="AAS2" s="21"/>
      <c r="AAT2" s="21"/>
      <c r="AAU2" s="21"/>
      <c r="AAV2" s="21"/>
      <c r="AAW2" s="21"/>
      <c r="AAX2" s="21"/>
      <c r="AAY2" s="21"/>
      <c r="AAZ2" s="21"/>
      <c r="ABA2" s="21"/>
      <c r="ABB2" s="21"/>
      <c r="ABC2" s="21"/>
      <c r="ABD2" s="21"/>
      <c r="ABE2" s="21"/>
      <c r="ABF2" s="21"/>
      <c r="ABG2" s="21"/>
      <c r="ABH2" s="21"/>
      <c r="ABI2" s="21"/>
      <c r="ABJ2" s="21"/>
      <c r="ABK2" s="21"/>
      <c r="ABL2" s="21"/>
      <c r="ABM2" s="21"/>
      <c r="ABN2" s="21"/>
      <c r="ABO2" s="21"/>
      <c r="ABP2" s="21"/>
      <c r="ABQ2" s="21"/>
      <c r="ABR2" s="21"/>
      <c r="ABS2" s="21"/>
      <c r="ABT2" s="21"/>
      <c r="ABU2" s="21"/>
      <c r="ABV2" s="21"/>
      <c r="ABW2" s="21"/>
      <c r="ABX2" s="21"/>
      <c r="ABY2" s="21"/>
      <c r="ABZ2" s="21"/>
      <c r="ACA2" s="21"/>
      <c r="ACB2" s="21"/>
      <c r="ACC2" s="21"/>
      <c r="ACD2" s="21"/>
      <c r="ACE2" s="21"/>
      <c r="ACF2" s="21"/>
      <c r="ACG2" s="21"/>
      <c r="ACH2" s="21"/>
      <c r="ACI2" s="21"/>
      <c r="ACJ2" s="21"/>
      <c r="ACK2" s="21"/>
      <c r="ACL2" s="21"/>
      <c r="ACM2" s="21"/>
      <c r="ACN2" s="21"/>
      <c r="ACO2" s="21"/>
      <c r="ACP2" s="21"/>
    </row>
    <row r="3" spans="1:770" s="14" customFormat="1" ht="12.9" customHeight="1">
      <c r="A3" s="13" t="s">
        <v>20</v>
      </c>
      <c r="B3" s="13">
        <v>2016</v>
      </c>
      <c r="C3" s="3">
        <v>2017</v>
      </c>
      <c r="D3" s="3">
        <v>2018</v>
      </c>
      <c r="E3" s="3">
        <v>2019</v>
      </c>
      <c r="F3" s="3">
        <v>2020</v>
      </c>
      <c r="G3" s="3">
        <v>2021</v>
      </c>
      <c r="H3" s="3">
        <v>2022</v>
      </c>
      <c r="I3" s="3">
        <v>2023</v>
      </c>
      <c r="J3" s="3">
        <v>2024</v>
      </c>
    </row>
    <row r="4" spans="1:770" s="14" customFormat="1" ht="9.15" customHeight="1">
      <c r="A4" s="13"/>
      <c r="B4" s="13"/>
      <c r="C4" s="3"/>
      <c r="D4" s="3"/>
      <c r="E4" s="3"/>
      <c r="F4" s="3"/>
      <c r="G4" s="3"/>
      <c r="J4" s="3"/>
    </row>
    <row r="5" spans="1:770" s="16" customFormat="1" ht="12.9" customHeight="1">
      <c r="A5" s="13" t="s">
        <v>22</v>
      </c>
      <c r="B5" s="15">
        <f>+B7+B8+B27</f>
        <v>278492</v>
      </c>
      <c r="C5" s="4">
        <f>+C7+C8+C27</f>
        <v>306600</v>
      </c>
      <c r="D5" s="4">
        <f>+D7+D8+D27</f>
        <v>309084</v>
      </c>
      <c r="E5" s="4">
        <f>+E7+E8+E27</f>
        <v>351055</v>
      </c>
      <c r="F5" s="4">
        <f>F7+F8+F27+F28</f>
        <v>565865</v>
      </c>
      <c r="G5" s="4">
        <f>G7+G8+G27+G28</f>
        <v>611332</v>
      </c>
      <c r="H5" s="4">
        <f>H7+H8+H27</f>
        <v>508819</v>
      </c>
      <c r="I5" s="4">
        <f>I7+I8+I27</f>
        <v>485658</v>
      </c>
      <c r="J5" s="4">
        <f>J7+J8+J27</f>
        <v>465988</v>
      </c>
    </row>
    <row r="6" spans="1:770" s="14" customFormat="1" ht="9.15" customHeight="1">
      <c r="A6" s="17"/>
      <c r="B6" s="15"/>
      <c r="C6" s="4"/>
      <c r="D6" s="4"/>
      <c r="E6" s="4"/>
      <c r="F6" s="4"/>
      <c r="G6" s="4"/>
      <c r="H6" s="4"/>
      <c r="I6" s="16"/>
      <c r="J6" s="4"/>
      <c r="K6" s="16"/>
    </row>
    <row r="7" spans="1:770" s="16" customFormat="1" ht="12.9" customHeight="1">
      <c r="A7" s="13" t="s">
        <v>0</v>
      </c>
      <c r="B7" s="18">
        <v>64786</v>
      </c>
      <c r="C7" s="7">
        <v>80713</v>
      </c>
      <c r="D7" s="7">
        <v>85143</v>
      </c>
      <c r="E7" s="7">
        <v>99471</v>
      </c>
      <c r="F7" s="7">
        <v>138182</v>
      </c>
      <c r="G7" s="7">
        <v>157942</v>
      </c>
      <c r="H7" s="7">
        <v>153287</v>
      </c>
      <c r="I7" s="7">
        <v>151609</v>
      </c>
      <c r="J7" s="7">
        <v>133442</v>
      </c>
    </row>
    <row r="8" spans="1:770" s="16" customFormat="1" ht="12.9" customHeight="1">
      <c r="A8" s="13" t="s">
        <v>21</v>
      </c>
      <c r="B8" s="18">
        <f t="shared" ref="B8:D8" si="0">SUM(B9:B26)</f>
        <v>172817</v>
      </c>
      <c r="C8" s="7">
        <f t="shared" si="0"/>
        <v>183414</v>
      </c>
      <c r="D8" s="7">
        <f t="shared" si="0"/>
        <v>191933</v>
      </c>
      <c r="E8" s="7">
        <f>SUM(E9:E26)</f>
        <v>209376</v>
      </c>
      <c r="F8" s="7">
        <f>SUM(F9:F26)</f>
        <v>343741</v>
      </c>
      <c r="G8" s="7">
        <f>SUM(G9:G26)</f>
        <v>415423</v>
      </c>
      <c r="H8" s="7">
        <f>SUM(H9:H26)</f>
        <v>324618</v>
      </c>
      <c r="I8" s="7">
        <f>SUM(I9:I26)</f>
        <v>306158</v>
      </c>
      <c r="J8" s="7">
        <v>300080</v>
      </c>
    </row>
    <row r="9" spans="1:770" s="16" customFormat="1" ht="12.9" customHeight="1">
      <c r="A9" s="13" t="s">
        <v>2</v>
      </c>
      <c r="B9" s="18">
        <v>14318</v>
      </c>
      <c r="C9" s="7">
        <v>7881</v>
      </c>
      <c r="D9" s="7">
        <v>5906</v>
      </c>
      <c r="E9" s="7">
        <v>9197</v>
      </c>
      <c r="F9" s="7">
        <v>17083</v>
      </c>
      <c r="G9" s="7">
        <v>14441</v>
      </c>
      <c r="H9" s="7">
        <v>11840</v>
      </c>
      <c r="I9" s="7">
        <v>13470</v>
      </c>
      <c r="J9" s="29">
        <v>11830</v>
      </c>
    </row>
    <row r="10" spans="1:770" s="16" customFormat="1" ht="12.9" customHeight="1">
      <c r="A10" s="13" t="s">
        <v>3</v>
      </c>
      <c r="B10" s="18">
        <v>34356</v>
      </c>
      <c r="C10" s="7">
        <v>43189</v>
      </c>
      <c r="D10" s="7">
        <v>41142</v>
      </c>
      <c r="E10" s="7">
        <v>43697</v>
      </c>
      <c r="F10" s="7">
        <v>67431</v>
      </c>
      <c r="G10" s="7">
        <v>92761</v>
      </c>
      <c r="H10" s="7">
        <v>68173</v>
      </c>
      <c r="I10" s="7">
        <v>64144</v>
      </c>
      <c r="J10" s="29">
        <v>58096</v>
      </c>
    </row>
    <row r="11" spans="1:770" s="16" customFormat="1" ht="12.9" customHeight="1">
      <c r="A11" s="13" t="s">
        <v>4</v>
      </c>
      <c r="B11" s="18">
        <v>12091</v>
      </c>
      <c r="C11" s="7">
        <v>11409</v>
      </c>
      <c r="D11" s="7">
        <v>11807</v>
      </c>
      <c r="E11" s="7">
        <v>11117</v>
      </c>
      <c r="F11" s="7">
        <v>22612</v>
      </c>
      <c r="G11" s="7">
        <v>26426</v>
      </c>
      <c r="H11" s="7">
        <v>16263</v>
      </c>
      <c r="I11" s="7">
        <v>14619</v>
      </c>
      <c r="J11" s="29">
        <v>14436</v>
      </c>
    </row>
    <row r="12" spans="1:770" s="16" customFormat="1" ht="12.9" customHeight="1">
      <c r="A12" s="13" t="s">
        <v>5</v>
      </c>
      <c r="B12" s="18">
        <v>6414</v>
      </c>
      <c r="C12" s="7">
        <v>6831</v>
      </c>
      <c r="D12" s="7">
        <v>7815</v>
      </c>
      <c r="E12" s="7">
        <v>9211</v>
      </c>
      <c r="F12" s="7">
        <v>19182</v>
      </c>
      <c r="G12" s="7">
        <v>20634</v>
      </c>
      <c r="H12" s="7">
        <v>18519</v>
      </c>
      <c r="I12" s="7">
        <v>16951</v>
      </c>
      <c r="J12" s="29">
        <v>19488</v>
      </c>
    </row>
    <row r="13" spans="1:770" s="16" customFormat="1" ht="12.9" customHeight="1">
      <c r="A13" s="13" t="s">
        <v>6</v>
      </c>
      <c r="B13" s="18">
        <v>1709</v>
      </c>
      <c r="C13" s="7">
        <v>1815</v>
      </c>
      <c r="D13" s="7">
        <v>2301</v>
      </c>
      <c r="E13" s="7">
        <v>2714</v>
      </c>
      <c r="F13" s="7">
        <v>11052</v>
      </c>
      <c r="G13" s="7">
        <v>15161</v>
      </c>
      <c r="H13" s="7">
        <v>8039</v>
      </c>
      <c r="I13" s="7">
        <v>6672</v>
      </c>
      <c r="J13" s="29">
        <v>7338</v>
      </c>
    </row>
    <row r="14" spans="1:770" s="16" customFormat="1" ht="12.9" customHeight="1">
      <c r="A14" s="13" t="s">
        <v>7</v>
      </c>
      <c r="B14" s="18">
        <v>3225</v>
      </c>
      <c r="C14" s="7">
        <v>3012</v>
      </c>
      <c r="D14" s="7">
        <v>3144</v>
      </c>
      <c r="E14" s="7">
        <v>3391</v>
      </c>
      <c r="F14" s="7">
        <v>4645</v>
      </c>
      <c r="G14" s="7">
        <v>5039</v>
      </c>
      <c r="H14" s="7">
        <v>3836</v>
      </c>
      <c r="I14" s="7">
        <v>4098</v>
      </c>
      <c r="J14" s="29">
        <v>4351</v>
      </c>
    </row>
    <row r="15" spans="1:770" s="16" customFormat="1" ht="12.9" customHeight="1">
      <c r="A15" s="13" t="s">
        <v>8</v>
      </c>
      <c r="B15" s="18">
        <v>2520</v>
      </c>
      <c r="C15" s="7">
        <v>3808</v>
      </c>
      <c r="D15" s="7">
        <v>4159</v>
      </c>
      <c r="E15" s="7">
        <v>4239</v>
      </c>
      <c r="F15" s="7">
        <v>3972</v>
      </c>
      <c r="G15" s="7">
        <v>6129</v>
      </c>
      <c r="H15" s="7">
        <v>4707</v>
      </c>
      <c r="I15" s="7">
        <v>4541</v>
      </c>
      <c r="J15" s="29">
        <v>5160</v>
      </c>
    </row>
    <row r="16" spans="1:770" s="16" customFormat="1" ht="12.9" customHeight="1">
      <c r="A16" s="13" t="s">
        <v>9</v>
      </c>
      <c r="B16" s="18">
        <v>5532</v>
      </c>
      <c r="C16" s="7">
        <v>4488</v>
      </c>
      <c r="D16" s="7">
        <v>6519</v>
      </c>
      <c r="E16" s="7">
        <v>7265</v>
      </c>
      <c r="F16" s="7">
        <v>8724</v>
      </c>
      <c r="G16" s="7">
        <v>11779</v>
      </c>
      <c r="H16" s="7">
        <v>10040</v>
      </c>
      <c r="I16" s="7">
        <v>9670</v>
      </c>
      <c r="J16" s="29">
        <v>10269</v>
      </c>
    </row>
    <row r="17" spans="1:10" s="16" customFormat="1" ht="12.9" customHeight="1">
      <c r="A17" s="13" t="s">
        <v>10</v>
      </c>
      <c r="B17" s="18">
        <v>8748</v>
      </c>
      <c r="C17" s="7">
        <v>9093</v>
      </c>
      <c r="D17" s="7">
        <v>11151</v>
      </c>
      <c r="E17" s="7">
        <v>16806</v>
      </c>
      <c r="F17" s="7">
        <v>34854</v>
      </c>
      <c r="G17" s="7">
        <v>42417</v>
      </c>
      <c r="H17" s="7">
        <v>23762</v>
      </c>
      <c r="I17" s="7">
        <v>20029</v>
      </c>
      <c r="J17" s="29">
        <v>20917</v>
      </c>
    </row>
    <row r="18" spans="1:10" s="16" customFormat="1" ht="12.9" customHeight="1">
      <c r="A18" s="13" t="s">
        <v>11</v>
      </c>
      <c r="B18" s="18">
        <v>7727</v>
      </c>
      <c r="C18" s="7">
        <v>10040</v>
      </c>
      <c r="D18" s="7">
        <v>11307</v>
      </c>
      <c r="E18" s="7">
        <v>12319</v>
      </c>
      <c r="F18" s="7">
        <v>23698</v>
      </c>
      <c r="G18" s="7">
        <v>23604</v>
      </c>
      <c r="H18" s="7">
        <v>19760</v>
      </c>
      <c r="I18" s="7">
        <v>16148</v>
      </c>
      <c r="J18" s="29">
        <v>14068</v>
      </c>
    </row>
    <row r="19" spans="1:10" s="16" customFormat="1" ht="12.9" customHeight="1">
      <c r="A19" s="13" t="s">
        <v>12</v>
      </c>
      <c r="B19" s="18">
        <v>7986</v>
      </c>
      <c r="C19" s="7">
        <v>7821</v>
      </c>
      <c r="D19" s="7">
        <v>9044</v>
      </c>
      <c r="E19" s="7">
        <v>9625</v>
      </c>
      <c r="F19" s="7">
        <v>14160</v>
      </c>
      <c r="G19" s="7">
        <v>22518</v>
      </c>
      <c r="H19" s="7">
        <v>18235</v>
      </c>
      <c r="I19" s="7">
        <v>18554</v>
      </c>
      <c r="J19" s="29">
        <v>17625</v>
      </c>
    </row>
    <row r="20" spans="1:10" s="16" customFormat="1" ht="12.9" customHeight="1">
      <c r="A20" s="13" t="s">
        <v>13</v>
      </c>
      <c r="B20" s="18">
        <v>11649</v>
      </c>
      <c r="C20" s="7">
        <v>11763</v>
      </c>
      <c r="D20" s="7">
        <v>11336</v>
      </c>
      <c r="E20" s="7">
        <v>9732</v>
      </c>
      <c r="F20" s="7">
        <v>14577</v>
      </c>
      <c r="G20" s="7">
        <v>28929</v>
      </c>
      <c r="H20" s="7">
        <v>26520</v>
      </c>
      <c r="I20" s="7">
        <v>27322</v>
      </c>
      <c r="J20" s="29">
        <v>28193</v>
      </c>
    </row>
    <row r="21" spans="1:10" s="16" customFormat="1" ht="12.9" customHeight="1">
      <c r="A21" s="13" t="s">
        <v>14</v>
      </c>
      <c r="B21" s="18">
        <v>2901</v>
      </c>
      <c r="C21" s="7">
        <v>2702</v>
      </c>
      <c r="D21" s="7">
        <v>2985</v>
      </c>
      <c r="E21" s="7">
        <v>5571</v>
      </c>
      <c r="F21" s="7">
        <v>8732</v>
      </c>
      <c r="G21" s="7">
        <v>11628</v>
      </c>
      <c r="H21" s="7">
        <v>11363</v>
      </c>
      <c r="I21" s="7">
        <v>10663</v>
      </c>
      <c r="J21" s="29">
        <v>8743</v>
      </c>
    </row>
    <row r="22" spans="1:10" s="16" customFormat="1" ht="12.9" customHeight="1">
      <c r="A22" s="13" t="s">
        <v>15</v>
      </c>
      <c r="B22" s="18">
        <v>16157</v>
      </c>
      <c r="C22" s="7">
        <v>15849</v>
      </c>
      <c r="D22" s="7">
        <v>15017</v>
      </c>
      <c r="E22" s="7">
        <v>14394</v>
      </c>
      <c r="F22" s="7">
        <v>20238</v>
      </c>
      <c r="G22" s="7">
        <v>24746</v>
      </c>
      <c r="H22" s="7">
        <v>24315</v>
      </c>
      <c r="I22" s="7">
        <v>22993</v>
      </c>
      <c r="J22" s="29">
        <v>24904</v>
      </c>
    </row>
    <row r="23" spans="1:10" s="16" customFormat="1" ht="12.9" customHeight="1">
      <c r="A23" s="13" t="s">
        <v>16</v>
      </c>
      <c r="B23" s="18">
        <v>14930</v>
      </c>
      <c r="C23" s="7">
        <v>17096</v>
      </c>
      <c r="D23" s="7">
        <v>20030</v>
      </c>
      <c r="E23" s="7">
        <v>19140</v>
      </c>
      <c r="F23" s="7">
        <v>26475</v>
      </c>
      <c r="G23" s="7">
        <v>24269</v>
      </c>
      <c r="H23" s="7">
        <v>19578</v>
      </c>
      <c r="I23" s="7">
        <v>17510</v>
      </c>
      <c r="J23" s="29">
        <v>17794</v>
      </c>
    </row>
    <row r="24" spans="1:10" s="16" customFormat="1" ht="12.9" customHeight="1">
      <c r="A24" s="13" t="s">
        <v>17</v>
      </c>
      <c r="B24" s="18">
        <v>11059</v>
      </c>
      <c r="C24" s="7">
        <v>11360</v>
      </c>
      <c r="D24" s="7">
        <v>12164</v>
      </c>
      <c r="E24" s="7">
        <v>13436</v>
      </c>
      <c r="F24" s="7">
        <v>22852</v>
      </c>
      <c r="G24" s="7">
        <v>19733</v>
      </c>
      <c r="H24" s="7">
        <v>16755</v>
      </c>
      <c r="I24" s="7">
        <v>14298</v>
      </c>
      <c r="J24" s="29">
        <v>13509</v>
      </c>
    </row>
    <row r="25" spans="1:10" s="16" customFormat="1" ht="12.9" customHeight="1">
      <c r="A25" s="13" t="s">
        <v>18</v>
      </c>
      <c r="B25" s="18">
        <v>8592</v>
      </c>
      <c r="C25" s="7">
        <v>10089</v>
      </c>
      <c r="D25" s="7">
        <v>11308</v>
      </c>
      <c r="E25" s="7">
        <v>12983</v>
      </c>
      <c r="F25" s="7">
        <v>19793</v>
      </c>
      <c r="G25" s="7">
        <v>20853</v>
      </c>
      <c r="H25" s="7">
        <v>15834</v>
      </c>
      <c r="I25" s="7">
        <v>16039</v>
      </c>
      <c r="J25" s="29">
        <v>15234</v>
      </c>
    </row>
    <row r="26" spans="1:10" s="16" customFormat="1" ht="12.9" customHeight="1">
      <c r="A26" s="13" t="s">
        <v>19</v>
      </c>
      <c r="B26" s="18">
        <v>2903</v>
      </c>
      <c r="C26" s="7">
        <v>5168</v>
      </c>
      <c r="D26" s="7">
        <v>4798</v>
      </c>
      <c r="E26" s="7">
        <v>4539</v>
      </c>
      <c r="F26" s="7">
        <v>3661</v>
      </c>
      <c r="G26" s="7">
        <v>4356</v>
      </c>
      <c r="H26" s="7">
        <v>7079</v>
      </c>
      <c r="I26" s="7">
        <v>8437</v>
      </c>
      <c r="J26" s="29">
        <v>8125</v>
      </c>
    </row>
    <row r="27" spans="1:10" s="16" customFormat="1" ht="12.9" customHeight="1">
      <c r="A27" s="13" t="s">
        <v>1</v>
      </c>
      <c r="B27" s="18">
        <v>40889</v>
      </c>
      <c r="C27" s="7">
        <v>42473</v>
      </c>
      <c r="D27" s="7">
        <v>32008</v>
      </c>
      <c r="E27" s="7">
        <v>42208</v>
      </c>
      <c r="F27" s="7">
        <v>59340</v>
      </c>
      <c r="G27" s="7">
        <v>37965</v>
      </c>
      <c r="H27" s="7">
        <v>30914</v>
      </c>
      <c r="I27" s="7">
        <v>27891</v>
      </c>
      <c r="J27" s="7">
        <v>32466</v>
      </c>
    </row>
    <row r="28" spans="1:10" s="16" customFormat="1" ht="12.9" customHeight="1">
      <c r="A28" s="3" t="s">
        <v>25</v>
      </c>
      <c r="B28" s="19"/>
      <c r="C28" s="19"/>
      <c r="D28" s="23" t="s">
        <v>24</v>
      </c>
      <c r="E28" s="24" t="s">
        <v>24</v>
      </c>
      <c r="F28" s="7">
        <v>24602</v>
      </c>
      <c r="G28" s="7">
        <v>2</v>
      </c>
      <c r="H28" s="25" t="s">
        <v>26</v>
      </c>
      <c r="I28" s="28" t="s">
        <v>24</v>
      </c>
      <c r="J28" s="28" t="s">
        <v>24</v>
      </c>
    </row>
    <row r="29" spans="1:10" s="16" customFormat="1" ht="9.15" customHeight="1">
      <c r="A29" s="14"/>
      <c r="B29" s="19"/>
      <c r="C29" s="19"/>
      <c r="D29" s="23"/>
      <c r="E29" s="23"/>
      <c r="F29" s="7"/>
    </row>
    <row r="30" spans="1:10" s="14" customFormat="1">
      <c r="A30" s="3" t="s">
        <v>23</v>
      </c>
      <c r="B30" s="3"/>
      <c r="C30" s="3"/>
      <c r="D30" s="8"/>
      <c r="E30" s="8"/>
      <c r="F30" s="7"/>
      <c r="G30" s="13"/>
      <c r="H30" s="13"/>
    </row>
    <row r="31" spans="1:10" s="14" customFormat="1" ht="9.75" customHeight="1">
      <c r="A31" s="22"/>
      <c r="B31" s="22"/>
      <c r="C31" s="22"/>
      <c r="D31" s="22"/>
    </row>
    <row r="32" spans="1:10" s="16" customFormat="1">
      <c r="A32" s="20"/>
    </row>
    <row r="33" spans="1:1" s="16" customFormat="1">
      <c r="A33" s="20"/>
    </row>
    <row r="34" spans="1:1" s="16" customFormat="1">
      <c r="A34" s="20"/>
    </row>
    <row r="35" spans="1:1" s="16" customFormat="1">
      <c r="A35" s="20"/>
    </row>
    <row r="36" spans="1:1" s="16" customFormat="1">
      <c r="A36" s="20"/>
    </row>
    <row r="37" spans="1:1" s="16" customFormat="1">
      <c r="A37" s="20"/>
    </row>
    <row r="38" spans="1:1" s="16" customFormat="1">
      <c r="A38" s="20"/>
    </row>
    <row r="39" spans="1:1" s="16" customFormat="1">
      <c r="A39" s="20"/>
    </row>
    <row r="40" spans="1:1" s="16" customFormat="1">
      <c r="A40" s="20"/>
    </row>
    <row r="41" spans="1:1" s="16" customFormat="1">
      <c r="A41" s="20"/>
    </row>
    <row r="42" spans="1:1" s="16" customFormat="1">
      <c r="A42" s="20"/>
    </row>
    <row r="43" spans="1:1" s="16" customFormat="1">
      <c r="A43" s="20"/>
    </row>
    <row r="44" spans="1:1" s="16" customFormat="1">
      <c r="A44" s="20"/>
    </row>
    <row r="45" spans="1:1" s="16" customFormat="1">
      <c r="A45" s="20"/>
    </row>
    <row r="46" spans="1:1" s="16" customFormat="1">
      <c r="A46" s="20"/>
    </row>
    <row r="47" spans="1:1" s="16" customFormat="1">
      <c r="A47" s="20"/>
    </row>
    <row r="48" spans="1:1" s="16" customFormat="1">
      <c r="A48" s="20"/>
    </row>
    <row r="49" spans="1:1" s="16" customFormat="1">
      <c r="A49" s="20"/>
    </row>
    <row r="50" spans="1:1" s="16" customFormat="1">
      <c r="A50" s="20"/>
    </row>
    <row r="51" spans="1:1" s="16" customFormat="1">
      <c r="A51" s="20"/>
    </row>
    <row r="52" spans="1:1" s="16" customFormat="1">
      <c r="A52" s="20"/>
    </row>
    <row r="53" spans="1:1" s="16" customFormat="1">
      <c r="A53" s="20"/>
    </row>
    <row r="54" spans="1:1" s="16" customFormat="1">
      <c r="A54" s="20"/>
    </row>
    <row r="55" spans="1:1" s="16" customFormat="1">
      <c r="A55" s="20"/>
    </row>
    <row r="56" spans="1:1" s="16" customFormat="1">
      <c r="A56" s="20"/>
    </row>
    <row r="57" spans="1:1" s="16" customFormat="1">
      <c r="A57" s="20"/>
    </row>
    <row r="58" spans="1:1" s="16" customFormat="1">
      <c r="A58" s="20"/>
    </row>
    <row r="59" spans="1:1" s="16" customFormat="1">
      <c r="A59" s="20"/>
    </row>
    <row r="60" spans="1:1" s="16" customFormat="1">
      <c r="A60" s="20"/>
    </row>
    <row r="61" spans="1:1" s="16" customFormat="1">
      <c r="A61" s="20"/>
    </row>
    <row r="62" spans="1:1" s="16" customFormat="1">
      <c r="A62" s="20"/>
    </row>
    <row r="63" spans="1:1" s="16" customFormat="1">
      <c r="A63" s="20"/>
    </row>
    <row r="64" spans="1:1" s="16" customFormat="1">
      <c r="A64" s="20"/>
    </row>
    <row r="65" spans="1:1" s="16" customFormat="1">
      <c r="A65" s="20"/>
    </row>
    <row r="66" spans="1:1" s="16" customFormat="1">
      <c r="A66" s="20"/>
    </row>
    <row r="67" spans="1:1" s="16" customFormat="1">
      <c r="A67" s="20"/>
    </row>
    <row r="68" spans="1:1" s="16" customFormat="1">
      <c r="A68" s="20"/>
    </row>
    <row r="69" spans="1:1" s="16" customFormat="1">
      <c r="A69" s="20"/>
    </row>
    <row r="70" spans="1:1" s="16" customFormat="1">
      <c r="A70" s="20"/>
    </row>
    <row r="71" spans="1:1" s="16" customFormat="1">
      <c r="A71" s="20"/>
    </row>
    <row r="72" spans="1:1" s="16" customFormat="1">
      <c r="A72" s="20"/>
    </row>
    <row r="73" spans="1:1" s="16" customFormat="1">
      <c r="A73" s="20"/>
    </row>
    <row r="74" spans="1:1" s="16" customFormat="1">
      <c r="A74" s="20"/>
    </row>
    <row r="75" spans="1:1" s="16" customFormat="1">
      <c r="A75" s="20"/>
    </row>
    <row r="76" spans="1:1" s="16" customFormat="1">
      <c r="A76" s="20"/>
    </row>
    <row r="77" spans="1:1" s="16" customFormat="1">
      <c r="A77" s="20"/>
    </row>
    <row r="78" spans="1:1" s="16" customFormat="1">
      <c r="A78" s="20"/>
    </row>
    <row r="79" spans="1:1" s="16" customFormat="1">
      <c r="A79" s="20"/>
    </row>
    <row r="80" spans="1:1" s="16" customFormat="1">
      <c r="A80" s="20"/>
    </row>
    <row r="81" spans="1:1" s="16" customFormat="1">
      <c r="A81" s="20"/>
    </row>
    <row r="82" spans="1:1" s="16" customFormat="1">
      <c r="A82" s="20"/>
    </row>
    <row r="83" spans="1:1" s="16" customFormat="1">
      <c r="A83" s="20"/>
    </row>
    <row r="84" spans="1:1" s="16" customFormat="1">
      <c r="A84" s="20"/>
    </row>
    <row r="85" spans="1:1" s="16" customFormat="1">
      <c r="A85" s="20"/>
    </row>
    <row r="86" spans="1:1" s="16" customFormat="1">
      <c r="A86" s="20"/>
    </row>
    <row r="87" spans="1:1" s="16" customFormat="1">
      <c r="A87" s="20"/>
    </row>
    <row r="88" spans="1:1" s="16" customFormat="1">
      <c r="A88" s="20"/>
    </row>
    <row r="89" spans="1:1" s="16" customFormat="1">
      <c r="A89" s="20"/>
    </row>
    <row r="90" spans="1:1" s="16" customFormat="1">
      <c r="A90" s="20"/>
    </row>
    <row r="91" spans="1:1" s="16" customFormat="1">
      <c r="A91" s="20"/>
    </row>
    <row r="92" spans="1:1" s="16" customFormat="1">
      <c r="A92" s="20"/>
    </row>
    <row r="93" spans="1:1" s="16" customFormat="1">
      <c r="A93" s="20"/>
    </row>
    <row r="94" spans="1:1" s="16" customFormat="1">
      <c r="A94" s="20"/>
    </row>
    <row r="95" spans="1:1" s="16" customFormat="1">
      <c r="A95" s="20"/>
    </row>
    <row r="96" spans="1:1" s="16" customFormat="1">
      <c r="A96" s="20"/>
    </row>
    <row r="97" spans="1:1" s="16" customFormat="1">
      <c r="A97" s="20"/>
    </row>
    <row r="98" spans="1:1" s="16" customFormat="1">
      <c r="A98" s="20"/>
    </row>
    <row r="99" spans="1:1" s="16" customFormat="1">
      <c r="A99" s="20"/>
    </row>
    <row r="100" spans="1:1" s="16" customFormat="1">
      <c r="A100" s="20"/>
    </row>
    <row r="101" spans="1:1" s="16" customFormat="1">
      <c r="A101" s="20"/>
    </row>
    <row r="102" spans="1:1" s="16" customFormat="1">
      <c r="A102" s="20"/>
    </row>
    <row r="103" spans="1:1" s="16" customFormat="1">
      <c r="A103" s="20"/>
    </row>
    <row r="104" spans="1:1" s="16" customFormat="1">
      <c r="A104" s="20"/>
    </row>
    <row r="105" spans="1:1" s="16" customFormat="1">
      <c r="A105" s="20"/>
    </row>
    <row r="106" spans="1:1" s="16" customFormat="1">
      <c r="A106" s="20"/>
    </row>
    <row r="107" spans="1:1" s="16" customFormat="1">
      <c r="A107" s="20"/>
    </row>
    <row r="108" spans="1:1" s="16" customFormat="1">
      <c r="A108" s="20"/>
    </row>
    <row r="109" spans="1:1" s="16" customFormat="1">
      <c r="A109" s="20"/>
    </row>
    <row r="110" spans="1:1" s="16" customFormat="1">
      <c r="A110" s="20"/>
    </row>
    <row r="111" spans="1:1" s="16" customFormat="1">
      <c r="A111" s="20"/>
    </row>
    <row r="112" spans="1:1" s="16" customFormat="1">
      <c r="A112" s="20"/>
    </row>
    <row r="113" spans="1:1" s="16" customFormat="1">
      <c r="A113" s="20"/>
    </row>
    <row r="114" spans="1:1" s="16" customFormat="1">
      <c r="A114" s="20"/>
    </row>
    <row r="115" spans="1:1" s="16" customFormat="1">
      <c r="A115" s="20"/>
    </row>
    <row r="116" spans="1:1" s="16" customFormat="1">
      <c r="A116" s="20"/>
    </row>
    <row r="117" spans="1:1" s="16" customFormat="1">
      <c r="A117" s="20"/>
    </row>
    <row r="118" spans="1:1" s="16" customFormat="1">
      <c r="A118" s="20"/>
    </row>
    <row r="119" spans="1:1" s="16" customFormat="1">
      <c r="A119" s="20"/>
    </row>
    <row r="120" spans="1:1" s="16" customFormat="1">
      <c r="A120" s="20"/>
    </row>
    <row r="121" spans="1:1" s="16" customFormat="1">
      <c r="A121" s="20"/>
    </row>
    <row r="122" spans="1:1" s="16" customFormat="1">
      <c r="A122" s="20"/>
    </row>
    <row r="123" spans="1:1" s="16" customFormat="1">
      <c r="A123" s="20"/>
    </row>
    <row r="124" spans="1:1" s="16" customFormat="1">
      <c r="A124" s="20"/>
    </row>
    <row r="125" spans="1:1" s="16" customFormat="1">
      <c r="A125" s="20"/>
    </row>
    <row r="126" spans="1:1" s="16" customFormat="1">
      <c r="A126" s="20"/>
    </row>
    <row r="127" spans="1:1" s="16" customFormat="1">
      <c r="A127" s="20"/>
    </row>
    <row r="128" spans="1:1" s="16" customFormat="1">
      <c r="A128" s="20"/>
    </row>
    <row r="129" spans="1:1" s="16" customFormat="1">
      <c r="A129" s="20"/>
    </row>
    <row r="130" spans="1:1" s="16" customFormat="1">
      <c r="A130" s="20"/>
    </row>
    <row r="131" spans="1:1" s="16" customFormat="1">
      <c r="A131" s="20"/>
    </row>
    <row r="132" spans="1:1" s="16" customFormat="1">
      <c r="A132" s="20"/>
    </row>
    <row r="133" spans="1:1" s="16" customFormat="1">
      <c r="A133" s="20"/>
    </row>
    <row r="134" spans="1:1" s="16" customFormat="1">
      <c r="A134" s="20"/>
    </row>
    <row r="135" spans="1:1" s="16" customFormat="1">
      <c r="A135" s="20"/>
    </row>
    <row r="136" spans="1:1" s="16" customFormat="1">
      <c r="A136" s="20"/>
    </row>
    <row r="137" spans="1:1" s="16" customFormat="1">
      <c r="A137" s="20"/>
    </row>
    <row r="138" spans="1:1" s="16" customFormat="1">
      <c r="A138" s="20"/>
    </row>
    <row r="139" spans="1:1" s="16" customFormat="1">
      <c r="A139" s="20"/>
    </row>
    <row r="140" spans="1:1" s="16" customFormat="1">
      <c r="A140" s="20"/>
    </row>
    <row r="141" spans="1:1" s="16" customFormat="1">
      <c r="A141" s="20"/>
    </row>
    <row r="142" spans="1:1" s="16" customFormat="1">
      <c r="A142" s="20"/>
    </row>
    <row r="143" spans="1:1" s="16" customFormat="1">
      <c r="A143" s="20"/>
    </row>
    <row r="144" spans="1:1" s="16" customFormat="1">
      <c r="A144" s="20"/>
    </row>
    <row r="145" spans="1:1" s="16" customFormat="1">
      <c r="A145" s="20"/>
    </row>
    <row r="146" spans="1:1" s="16" customFormat="1">
      <c r="A146" s="20"/>
    </row>
    <row r="147" spans="1:1" s="16" customFormat="1">
      <c r="A147" s="20"/>
    </row>
    <row r="148" spans="1:1" s="16" customFormat="1">
      <c r="A148" s="20"/>
    </row>
    <row r="149" spans="1:1" s="16" customFormat="1">
      <c r="A149" s="20"/>
    </row>
    <row r="150" spans="1:1" s="16" customFormat="1">
      <c r="A150" s="20"/>
    </row>
  </sheetData>
  <pageMargins left="0.7" right="0.7" top="0.75" bottom="0.75" header="0.3" footer="0.3"/>
  <pageSetup paperSize="9" orientation="portrait" r:id="rId1"/>
  <ignoredErrors>
    <ignoredError sqref="B8:C8 D8:I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3.9.1</vt:lpstr>
      <vt:lpstr>Serie histórica</vt:lpstr>
      <vt:lpstr>'3.9.1'!Área_de_impresión</vt:lpstr>
    </vt:vector>
  </TitlesOfParts>
  <Company>MIDES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Casotti</dc:creator>
  <cp:lastModifiedBy>Stella Landeira</cp:lastModifiedBy>
  <cp:lastPrinted>2021-08-09T17:33:07Z</cp:lastPrinted>
  <dcterms:created xsi:type="dcterms:W3CDTF">2017-10-06T18:03:23Z</dcterms:created>
  <dcterms:modified xsi:type="dcterms:W3CDTF">2025-08-19T17:42:18Z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05ccb60b-a1c1-44ad-bded-15c75d73f4a8</vt:lpwstr>
  </property>
</Properties>
</file>