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2" yWindow="92" windowWidth="20114" windowHeight="9274"/>
  </bookViews>
  <sheets>
    <sheet name="3.6.6" sheetId="33" r:id="rId1"/>
  </sheets>
  <definedNames>
    <definedName name="_xlnm.Print_Area" localSheetId="0">'3.6.6'!$A$1:$G$34</definedName>
  </definedNames>
  <calcPr calcId="145621"/>
</workbook>
</file>

<file path=xl/calcChain.xml><?xml version="1.0" encoding="utf-8"?>
<calcChain xmlns="http://schemas.openxmlformats.org/spreadsheetml/2006/main">
  <c r="B27" i="33" l="1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9" i="33" s="1"/>
  <c r="B6" i="33" s="1"/>
  <c r="B10" i="33"/>
  <c r="G9" i="33"/>
  <c r="F9" i="33"/>
  <c r="E9" i="33"/>
  <c r="D9" i="33"/>
  <c r="C9" i="33"/>
  <c r="C6" i="33" s="1"/>
  <c r="B8" i="33"/>
  <c r="G6" i="33"/>
  <c r="F6" i="33"/>
  <c r="E6" i="33"/>
  <c r="D6" i="33"/>
</calcChain>
</file>

<file path=xl/sharedStrings.xml><?xml version="1.0" encoding="utf-8"?>
<sst xmlns="http://schemas.openxmlformats.org/spreadsheetml/2006/main" count="33" uniqueCount="33">
  <si>
    <t>Total</t>
  </si>
  <si>
    <t>Departamento</t>
  </si>
  <si>
    <t>Montevideo</t>
  </si>
  <si>
    <t>Faltas</t>
  </si>
  <si>
    <t>Penal</t>
  </si>
  <si>
    <t>Adolescentes</t>
  </si>
  <si>
    <t>Aduana</t>
  </si>
  <si>
    <t>Civil</t>
  </si>
  <si>
    <t>Fuente: Poder Judicial - Departamento de Estadísticas.</t>
  </si>
  <si>
    <t>Total País</t>
  </si>
  <si>
    <t>Resto País</t>
  </si>
  <si>
    <t xml:space="preserve">   Artigas</t>
  </si>
  <si>
    <t xml:space="preserve">   Canelones </t>
  </si>
  <si>
    <t xml:space="preserve">   Cerro Largo</t>
  </si>
  <si>
    <t xml:space="preserve">   Colonia</t>
  </si>
  <si>
    <t xml:space="preserve">   Durazno </t>
  </si>
  <si>
    <t xml:space="preserve">   Flores </t>
  </si>
  <si>
    <t xml:space="preserve">   Florida </t>
  </si>
  <si>
    <t xml:space="preserve">   Lavalleja </t>
  </si>
  <si>
    <t xml:space="preserve">   Maldonado </t>
  </si>
  <si>
    <t xml:space="preserve">   Paysandú</t>
  </si>
  <si>
    <t xml:space="preserve">   Río Negro </t>
  </si>
  <si>
    <t xml:space="preserve">   Rivera </t>
  </si>
  <si>
    <t xml:space="preserve">   Rocha</t>
  </si>
  <si>
    <t xml:space="preserve">   Salto </t>
  </si>
  <si>
    <t xml:space="preserve">   San José</t>
  </si>
  <si>
    <t xml:space="preserve">   Soriano </t>
  </si>
  <si>
    <t xml:space="preserve">   Tacuarembó </t>
  </si>
  <si>
    <t xml:space="preserve">   Treinta y Tres </t>
  </si>
  <si>
    <t>Nota 1: Civil hace referencia a las materias incluidas en el Código General del Proceso: Civil, Familia, Familia Especializado, Laboral, Contencioso Administrativo y Concurso.</t>
  </si>
  <si>
    <t>Nota 2: Los asuntos en materia de Aduanas de Canelones son competencia de los Juzgados Letrados de Aduana de Montevideo.</t>
  </si>
  <si>
    <t>3.6.6 - Asuntos iniciados, por materia, según departamento - 2024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</si>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</sst>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#."/>
    <numFmt numFmtId="166" formatCode="0_);\(0\)"/>
  </numFmts>
  <fonts count="12" x14ac:knownFonts="1">
    <font>
      <sz val="11"/>
      <color theme="1"/>
      <name val="Calibri"/>
      <family val="2"/>
      <scheme val="minor"/>
    </font>
    <font>
      <sz val="12"/>
      <name val="Courier"/>
      <family val="3"/>
    </font>
    <font>
      <sz val="10"/>
      <name val="Arial"/>
      <family val="2"/>
    </font>
    <font>
      <b/>
      <i/>
      <sz val="1"/>
      <color indexed="16"/>
      <name val="Courier"/>
      <family val="3"/>
    </font>
    <font>
      <b/>
      <sz val="1"/>
      <color indexed="16"/>
      <name val="Courier"/>
      <family val="3"/>
    </font>
    <font>
      <sz val="1"/>
      <color indexed="16"/>
      <name val="Courier"/>
      <family val="3"/>
    </font>
    <font>
      <i/>
      <sz val="1"/>
      <color indexed="16"/>
      <name val="Courier"/>
      <family val="3"/>
    </font>
    <font>
      <b/>
      <sz val="9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12"/>
      <color theme="0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06B91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/>
    <xf numFmtId="165" fontId="3" fillId="0" borderId="0">
      <protection locked="0"/>
    </xf>
    <xf numFmtId="165" fontId="4" fillId="0" borderId="0">
      <protection locked="0"/>
    </xf>
    <xf numFmtId="165" fontId="5" fillId="0" borderId="0">
      <protection locked="0"/>
    </xf>
    <xf numFmtId="165" fontId="5" fillId="0" borderId="0">
      <protection locked="0"/>
    </xf>
    <xf numFmtId="165" fontId="5" fillId="0" borderId="0">
      <protection locked="0"/>
    </xf>
    <xf numFmtId="165" fontId="5" fillId="0" borderId="0">
      <protection locked="0"/>
    </xf>
    <xf numFmtId="165" fontId="6" fillId="0" borderId="0">
      <protection locked="0"/>
    </xf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7" fillId="0" borderId="0" xfId="0" applyFont="1" applyFill="1" applyBorder="1"/>
    <xf numFmtId="0" fontId="0" fillId="0" borderId="0" xfId="0" applyFill="1"/>
    <xf numFmtId="0" fontId="7" fillId="0" borderId="0" xfId="0" applyFont="1" applyFill="1" applyBorder="1" applyAlignment="1">
      <alignment horizontal="right"/>
    </xf>
    <xf numFmtId="0" fontId="7" fillId="0" borderId="0" xfId="0" applyFont="1" applyFill="1" applyBorder="1" applyAlignment="1"/>
    <xf numFmtId="0" fontId="8" fillId="0" borderId="0" xfId="0" applyFont="1" applyFill="1" applyBorder="1" applyAlignment="1" applyProtection="1">
      <alignment vertical="center"/>
      <protection locked="0"/>
    </xf>
    <xf numFmtId="2" fontId="8" fillId="0" borderId="0" xfId="0" applyNumberFormat="1" applyFont="1" applyFill="1" applyBorder="1" applyAlignment="1" applyProtection="1">
      <alignment vertical="center"/>
      <protection locked="0"/>
    </xf>
    <xf numFmtId="0" fontId="7" fillId="0" borderId="0" xfId="0" applyFont="1" applyFill="1" applyBorder="1" applyAlignment="1" applyProtection="1">
      <alignment horizontal="left"/>
    </xf>
    <xf numFmtId="10" fontId="9" fillId="0" borderId="0" xfId="0" applyNumberFormat="1" applyFont="1" applyFill="1" applyBorder="1" applyAlignment="1" applyProtection="1">
      <alignment vertical="center"/>
      <protection locked="0"/>
    </xf>
    <xf numFmtId="0" fontId="9" fillId="0" borderId="0" xfId="0" applyFont="1" applyFill="1" applyBorder="1" applyAlignment="1" applyProtection="1">
      <alignment vertical="center"/>
      <protection locked="0"/>
    </xf>
    <xf numFmtId="0" fontId="0" fillId="0" borderId="0" xfId="0" applyFill="1" applyBorder="1" applyAlignment="1"/>
    <xf numFmtId="0" fontId="8" fillId="0" borderId="0" xfId="0" applyFont="1" applyFill="1" applyBorder="1" applyAlignment="1">
      <alignment vertical="center"/>
    </xf>
    <xf numFmtId="166" fontId="10" fillId="2" borderId="0" xfId="0" applyNumberFormat="1" applyFont="1" applyFill="1" applyBorder="1" applyAlignment="1" applyProtection="1">
      <alignment horizontal="left"/>
    </xf>
    <xf numFmtId="3" fontId="7" fillId="0" borderId="0" xfId="0" applyNumberFormat="1" applyFont="1" applyFill="1" applyBorder="1" applyAlignment="1" applyProtection="1">
      <alignment horizontal="right"/>
    </xf>
    <xf numFmtId="3" fontId="7" fillId="0" borderId="0" xfId="0" applyNumberFormat="1" applyFont="1" applyFill="1" applyBorder="1" applyAlignment="1"/>
    <xf numFmtId="0" fontId="8" fillId="0" borderId="0" xfId="0" applyFont="1" applyFill="1"/>
    <xf numFmtId="0" fontId="11" fillId="0" borderId="0" xfId="0" applyFont="1" applyFill="1"/>
    <xf numFmtId="3" fontId="11" fillId="0" borderId="0" xfId="0" applyNumberFormat="1" applyFont="1" applyFill="1"/>
    <xf numFmtId="166" fontId="10" fillId="2" borderId="0" xfId="0" applyNumberFormat="1" applyFont="1" applyFill="1" applyBorder="1" applyAlignment="1" applyProtection="1">
      <alignment horizontal="left" wrapText="1"/>
    </xf>
    <xf numFmtId="0" fontId="7" fillId="0" borderId="0" xfId="0" applyFont="1" applyFill="1" applyBorder="1" applyAlignment="1">
      <alignment horizontal="left" wrapText="1"/>
    </xf>
    <xf numFmtId="3" fontId="0" fillId="0" borderId="0" xfId="0" applyNumberFormat="1" applyFill="1"/>
    <xf numFmtId="3" fontId="7" fillId="0" borderId="0" xfId="0" applyNumberFormat="1" applyFont="1" applyFill="1" applyBorder="1"/>
  </cellXfs>
  <cellStyles count="11">
    <cellStyle name="F2" xfId="2"/>
    <cellStyle name="F3" xfId="3"/>
    <cellStyle name="F4" xfId="4"/>
    <cellStyle name="F5" xfId="5"/>
    <cellStyle name="F6" xfId="6"/>
    <cellStyle name="F7" xfId="7"/>
    <cellStyle name="F8" xfId="8"/>
    <cellStyle name="Millares 2" xfId="9"/>
    <cellStyle name="Normal" xfId="0" builtinId="0"/>
    <cellStyle name="Normal 2" xfId="1"/>
    <cellStyle name="Porcentaje 2" xfId="1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XCZ39"/>
  <sheetViews>
    <sheetView showGridLines="0" tabSelected="1" zoomScaleNormal="100" workbookViewId="0">
      <selection activeCell="K25" sqref="K25"/>
    </sheetView>
  </sheetViews>
  <sheetFormatPr baseColWidth="10" defaultColWidth="11.3984375" defaultRowHeight="14.4" x14ac:dyDescent="0.3"/>
  <cols>
    <col min="1" max="1" width="18.69921875" style="2" customWidth="1"/>
    <col min="2" max="4" width="10.69921875" style="2" customWidth="1"/>
    <col min="5" max="5" width="12.59765625" style="2" customWidth="1"/>
    <col min="6" max="7" width="10.69921875" style="2" customWidth="1"/>
    <col min="8" max="8" width="11.3984375" style="2" customWidth="1"/>
    <col min="9" max="16384" width="11.3984375" style="2"/>
  </cols>
  <sheetData>
    <row r="1" spans="1:16328" ht="15" customHeight="1" x14ac:dyDescent="0.3">
      <c r="A1" s="18" t="s">
        <v>31</v>
      </c>
      <c r="B1" s="18"/>
      <c r="C1" s="18"/>
      <c r="D1" s="18"/>
      <c r="E1" s="18"/>
      <c r="F1" s="18"/>
      <c r="G1" s="1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</row>
    <row r="2" spans="1:16328" ht="9.25" customHeight="1" x14ac:dyDescent="0.3">
      <c r="A2" s="12"/>
      <c r="B2" s="12"/>
      <c r="C2" s="12"/>
      <c r="D2" s="12"/>
      <c r="E2" s="12"/>
      <c r="F2" s="12"/>
      <c r="G2" s="1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</row>
    <row r="3" spans="1:16328" ht="13" customHeight="1" x14ac:dyDescent="0.3">
      <c r="A3" s="1" t="s">
        <v>1</v>
      </c>
      <c r="B3" s="3" t="s">
        <v>0</v>
      </c>
      <c r="C3" s="3" t="s">
        <v>7</v>
      </c>
      <c r="D3" s="3" t="s">
        <v>4</v>
      </c>
      <c r="E3" s="3" t="s">
        <v>5</v>
      </c>
      <c r="F3" s="3" t="s">
        <v>6</v>
      </c>
      <c r="G3" s="3" t="s">
        <v>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</row>
    <row r="4" spans="1:16328" ht="9.2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</row>
    <row r="5" spans="1:16328" ht="9.25" customHeight="1" x14ac:dyDescent="0.3">
      <c r="A5" s="7"/>
      <c r="B5" s="4"/>
      <c r="C5" s="5"/>
      <c r="D5" s="6"/>
      <c r="E5" s="5"/>
      <c r="F5" s="5"/>
      <c r="G5" s="6"/>
      <c r="H5" s="5"/>
    </row>
    <row r="6" spans="1:16328" ht="13" customHeight="1" x14ac:dyDescent="0.3">
      <c r="A6" s="7" t="s">
        <v>9</v>
      </c>
      <c r="B6" s="14">
        <f>SUM(B8:B9)</f>
        <v>182741.00000000003</v>
      </c>
      <c r="C6" s="14">
        <f t="shared" ref="C6:E6" si="0">SUM(C8:C9)</f>
        <v>130610.00000000001</v>
      </c>
      <c r="D6" s="14">
        <f t="shared" si="0"/>
        <v>20826</v>
      </c>
      <c r="E6" s="14">
        <f t="shared" si="0"/>
        <v>1029.0000000000005</v>
      </c>
      <c r="F6" s="14">
        <f>SUM(F8,F9)</f>
        <v>11505</v>
      </c>
      <c r="G6" s="14">
        <f>SUM(G8,G9)</f>
        <v>18771</v>
      </c>
      <c r="H6" s="5"/>
    </row>
    <row r="7" spans="1:16328" ht="9.25" customHeight="1" x14ac:dyDescent="0.3">
      <c r="A7" s="7"/>
      <c r="B7" s="16"/>
      <c r="C7" s="15"/>
      <c r="D7" s="15"/>
      <c r="E7" s="15"/>
      <c r="F7" s="15"/>
      <c r="G7" s="15"/>
      <c r="H7" s="4"/>
    </row>
    <row r="8" spans="1:16328" ht="13" customHeight="1" x14ac:dyDescent="0.3">
      <c r="A8" s="7" t="s">
        <v>2</v>
      </c>
      <c r="B8" s="13">
        <f>+SUM(C8:G8)</f>
        <v>67237.000000000015</v>
      </c>
      <c r="C8" s="20">
        <v>54900.000000000015</v>
      </c>
      <c r="D8" s="20">
        <v>7661</v>
      </c>
      <c r="E8" s="20">
        <v>442.00000000000045</v>
      </c>
      <c r="F8" s="20">
        <v>792.00000000000011</v>
      </c>
      <c r="G8" s="20">
        <v>3442.0000000000005</v>
      </c>
      <c r="H8" s="5"/>
    </row>
    <row r="9" spans="1:16328" ht="13" customHeight="1" x14ac:dyDescent="0.3">
      <c r="A9" s="7" t="s">
        <v>10</v>
      </c>
      <c r="B9" s="17">
        <f>SUM(B10:B27)</f>
        <v>115504.00000000001</v>
      </c>
      <c r="C9" s="17">
        <f t="shared" ref="C9:G9" si="1">SUM(C10:C27)</f>
        <v>75710</v>
      </c>
      <c r="D9" s="17">
        <f t="shared" si="1"/>
        <v>13165</v>
      </c>
      <c r="E9" s="17">
        <f t="shared" si="1"/>
        <v>587</v>
      </c>
      <c r="F9" s="17">
        <f t="shared" si="1"/>
        <v>10713</v>
      </c>
      <c r="G9" s="17">
        <f t="shared" si="1"/>
        <v>15329</v>
      </c>
      <c r="H9" s="8"/>
    </row>
    <row r="10" spans="1:16328" ht="13" customHeight="1" x14ac:dyDescent="0.3">
      <c r="A10" s="7" t="s">
        <v>11</v>
      </c>
      <c r="B10" s="13">
        <f t="shared" ref="B10:B27" si="2">+SUM(C10:G10)</f>
        <v>3987.9999999999995</v>
      </c>
      <c r="C10" s="21">
        <v>2813.9999999999995</v>
      </c>
      <c r="D10" s="21">
        <v>572.00000000000011</v>
      </c>
      <c r="E10" s="21">
        <v>12</v>
      </c>
      <c r="F10" s="21">
        <v>418.99999999999994</v>
      </c>
      <c r="G10" s="21">
        <v>171</v>
      </c>
      <c r="H10" s="8"/>
    </row>
    <row r="11" spans="1:16328" ht="13" customHeight="1" x14ac:dyDescent="0.3">
      <c r="A11" s="7" t="s">
        <v>12</v>
      </c>
      <c r="B11" s="13">
        <f t="shared" si="2"/>
        <v>25965.000000000007</v>
      </c>
      <c r="C11" s="21">
        <v>16405.000000000007</v>
      </c>
      <c r="D11" s="21">
        <v>3416.9999999999995</v>
      </c>
      <c r="E11" s="21">
        <v>157</v>
      </c>
      <c r="F11" s="21" t="s">
        <v>32</v>
      </c>
      <c r="G11" s="21">
        <v>5985.9999999999991</v>
      </c>
      <c r="H11" s="8"/>
    </row>
    <row r="12" spans="1:16328" ht="13" customHeight="1" x14ac:dyDescent="0.3">
      <c r="A12" s="7" t="s">
        <v>13</v>
      </c>
      <c r="B12" s="13">
        <f t="shared" si="2"/>
        <v>4842</v>
      </c>
      <c r="C12" s="20">
        <v>3022.9999999999995</v>
      </c>
      <c r="D12" s="20">
        <v>1037</v>
      </c>
      <c r="E12" s="20">
        <v>83</v>
      </c>
      <c r="F12" s="20">
        <v>518.00000000000011</v>
      </c>
      <c r="G12" s="20">
        <v>180.99999999999994</v>
      </c>
      <c r="H12" s="8"/>
    </row>
    <row r="13" spans="1:16328" ht="13" customHeight="1" x14ac:dyDescent="0.3">
      <c r="A13" s="7" t="s">
        <v>14</v>
      </c>
      <c r="B13" s="13">
        <f t="shared" si="2"/>
        <v>9141</v>
      </c>
      <c r="C13" s="20">
        <v>5385</v>
      </c>
      <c r="D13" s="20">
        <v>527</v>
      </c>
      <c r="E13" s="20">
        <v>35</v>
      </c>
      <c r="F13" s="20">
        <v>909</v>
      </c>
      <c r="G13" s="20">
        <v>2285</v>
      </c>
      <c r="H13" s="8"/>
    </row>
    <row r="14" spans="1:16328" ht="13" customHeight="1" x14ac:dyDescent="0.3">
      <c r="A14" s="7" t="s">
        <v>15</v>
      </c>
      <c r="B14" s="13">
        <f t="shared" si="2"/>
        <v>2811.9999999999991</v>
      </c>
      <c r="C14" s="20">
        <v>2172.9999999999991</v>
      </c>
      <c r="D14" s="20">
        <v>427</v>
      </c>
      <c r="E14" s="20">
        <v>21</v>
      </c>
      <c r="F14" s="20">
        <v>6</v>
      </c>
      <c r="G14" s="20">
        <v>184.99999999999997</v>
      </c>
      <c r="H14" s="8"/>
    </row>
    <row r="15" spans="1:16328" ht="13" customHeight="1" x14ac:dyDescent="0.3">
      <c r="A15" s="7" t="s">
        <v>16</v>
      </c>
      <c r="B15" s="13">
        <f t="shared" si="2"/>
        <v>1228</v>
      </c>
      <c r="C15" s="20">
        <v>850.99999999999989</v>
      </c>
      <c r="D15" s="20">
        <v>163</v>
      </c>
      <c r="E15" s="20">
        <v>6</v>
      </c>
      <c r="F15" s="20">
        <v>0</v>
      </c>
      <c r="G15" s="20">
        <v>208.00000000000003</v>
      </c>
      <c r="H15" s="8"/>
    </row>
    <row r="16" spans="1:16328" ht="13" customHeight="1" x14ac:dyDescent="0.3">
      <c r="A16" s="7" t="s">
        <v>17</v>
      </c>
      <c r="B16" s="13">
        <f t="shared" si="2"/>
        <v>3242</v>
      </c>
      <c r="C16" s="20">
        <v>2764</v>
      </c>
      <c r="D16" s="20">
        <v>301</v>
      </c>
      <c r="E16" s="20">
        <v>10.000000000000002</v>
      </c>
      <c r="F16" s="20">
        <v>6</v>
      </c>
      <c r="G16" s="20">
        <v>161.00000000000003</v>
      </c>
      <c r="H16" s="8"/>
    </row>
    <row r="17" spans="1:8" ht="12.85" customHeight="1" x14ac:dyDescent="0.3">
      <c r="A17" s="7" t="s">
        <v>18</v>
      </c>
      <c r="B17" s="13">
        <f t="shared" si="2"/>
        <v>2881</v>
      </c>
      <c r="C17" s="20">
        <v>2217</v>
      </c>
      <c r="D17" s="20">
        <v>421</v>
      </c>
      <c r="E17" s="20">
        <v>22</v>
      </c>
      <c r="F17" s="20">
        <v>20</v>
      </c>
      <c r="G17" s="20">
        <v>200.99999999999994</v>
      </c>
      <c r="H17" s="8"/>
    </row>
    <row r="18" spans="1:8" ht="12.85" customHeight="1" x14ac:dyDescent="0.3">
      <c r="A18" s="7" t="s">
        <v>19</v>
      </c>
      <c r="B18" s="13">
        <f t="shared" si="2"/>
        <v>12997.000000000002</v>
      </c>
      <c r="C18" s="20">
        <v>8307.0000000000018</v>
      </c>
      <c r="D18" s="20">
        <v>1257.9999999999998</v>
      </c>
      <c r="E18" s="20">
        <v>45</v>
      </c>
      <c r="F18" s="20">
        <v>44.999999999999993</v>
      </c>
      <c r="G18" s="20">
        <v>3342</v>
      </c>
    </row>
    <row r="19" spans="1:8" ht="12.85" customHeight="1" x14ac:dyDescent="0.3">
      <c r="A19" s="7" t="s">
        <v>20</v>
      </c>
      <c r="B19" s="13">
        <f t="shared" si="2"/>
        <v>8440</v>
      </c>
      <c r="C19" s="20">
        <v>3908.9999999999991</v>
      </c>
      <c r="D19" s="20">
        <v>720</v>
      </c>
      <c r="E19" s="20">
        <v>11</v>
      </c>
      <c r="F19" s="20">
        <v>3217</v>
      </c>
      <c r="G19" s="20">
        <v>583</v>
      </c>
      <c r="H19" s="8"/>
    </row>
    <row r="20" spans="1:8" ht="12.85" customHeight="1" x14ac:dyDescent="0.3">
      <c r="A20" s="7" t="s">
        <v>21</v>
      </c>
      <c r="B20" s="13">
        <f t="shared" si="2"/>
        <v>4691</v>
      </c>
      <c r="C20" s="20">
        <v>2605.0000000000005</v>
      </c>
      <c r="D20" s="20">
        <v>371</v>
      </c>
      <c r="E20" s="20">
        <v>31</v>
      </c>
      <c r="F20" s="20">
        <v>1322</v>
      </c>
      <c r="G20" s="20">
        <v>362.00000000000006</v>
      </c>
      <c r="H20" s="8"/>
    </row>
    <row r="21" spans="1:8" ht="12.85" customHeight="1" x14ac:dyDescent="0.3">
      <c r="A21" s="7" t="s">
        <v>22</v>
      </c>
      <c r="B21" s="13">
        <f t="shared" si="2"/>
        <v>5959</v>
      </c>
      <c r="C21" s="20">
        <v>3990</v>
      </c>
      <c r="D21" s="20">
        <v>554</v>
      </c>
      <c r="E21" s="20">
        <v>27</v>
      </c>
      <c r="F21" s="20">
        <v>1021.0000000000002</v>
      </c>
      <c r="G21" s="20">
        <v>367</v>
      </c>
      <c r="H21" s="9"/>
    </row>
    <row r="22" spans="1:8" ht="12.85" customHeight="1" x14ac:dyDescent="0.3">
      <c r="A22" s="7" t="s">
        <v>23</v>
      </c>
      <c r="B22" s="13">
        <f t="shared" si="2"/>
        <v>4742</v>
      </c>
      <c r="C22" s="20">
        <v>3423</v>
      </c>
      <c r="D22" s="20">
        <v>431</v>
      </c>
      <c r="E22" s="20">
        <v>2</v>
      </c>
      <c r="F22" s="20">
        <v>696.99999999999989</v>
      </c>
      <c r="G22" s="20">
        <v>188.99999999999997</v>
      </c>
      <c r="H22" s="9"/>
    </row>
    <row r="23" spans="1:8" ht="12.85" customHeight="1" x14ac:dyDescent="0.3">
      <c r="A23" s="7" t="s">
        <v>24</v>
      </c>
      <c r="B23" s="13">
        <f t="shared" si="2"/>
        <v>8446</v>
      </c>
      <c r="C23" s="20">
        <v>4897</v>
      </c>
      <c r="D23" s="20">
        <v>658</v>
      </c>
      <c r="E23" s="20">
        <v>36</v>
      </c>
      <c r="F23" s="20">
        <v>2445.9999999999995</v>
      </c>
      <c r="G23" s="20">
        <v>408.99999999999994</v>
      </c>
      <c r="H23" s="9"/>
    </row>
    <row r="24" spans="1:8" ht="12.85" customHeight="1" x14ac:dyDescent="0.3">
      <c r="A24" s="7" t="s">
        <v>25</v>
      </c>
      <c r="B24" s="13">
        <f t="shared" si="2"/>
        <v>5383.9999999999991</v>
      </c>
      <c r="C24" s="20">
        <v>4407.9999999999991</v>
      </c>
      <c r="D24" s="20">
        <v>788.00000000000011</v>
      </c>
      <c r="E24" s="20">
        <v>44</v>
      </c>
      <c r="F24" s="20">
        <v>1</v>
      </c>
      <c r="G24" s="20">
        <v>143</v>
      </c>
      <c r="H24" s="8"/>
    </row>
    <row r="25" spans="1:8" ht="12.85" customHeight="1" x14ac:dyDescent="0.3">
      <c r="A25" s="7" t="s">
        <v>26</v>
      </c>
      <c r="B25" s="13">
        <f t="shared" si="2"/>
        <v>3834.9999999999991</v>
      </c>
      <c r="C25" s="20">
        <v>3063.9999999999991</v>
      </c>
      <c r="D25" s="20">
        <v>600</v>
      </c>
      <c r="E25" s="20">
        <v>23</v>
      </c>
      <c r="F25" s="20">
        <v>30</v>
      </c>
      <c r="G25" s="20">
        <v>118</v>
      </c>
      <c r="H25" s="8"/>
    </row>
    <row r="26" spans="1:8" ht="12.85" customHeight="1" x14ac:dyDescent="0.3">
      <c r="A26" s="7" t="s">
        <v>27</v>
      </c>
      <c r="B26" s="13">
        <f t="shared" si="2"/>
        <v>4457.0000000000009</v>
      </c>
      <c r="C26" s="20">
        <v>3471.0000000000009</v>
      </c>
      <c r="D26" s="20">
        <v>616</v>
      </c>
      <c r="E26" s="20">
        <v>13</v>
      </c>
      <c r="F26" s="20">
        <v>30.000000000000004</v>
      </c>
      <c r="G26" s="20">
        <v>327.00000000000006</v>
      </c>
      <c r="H26" s="8"/>
    </row>
    <row r="27" spans="1:8" ht="12.85" customHeight="1" x14ac:dyDescent="0.3">
      <c r="A27" s="7" t="s">
        <v>28</v>
      </c>
      <c r="B27" s="13">
        <f t="shared" si="2"/>
        <v>2454</v>
      </c>
      <c r="C27" s="20">
        <v>2004</v>
      </c>
      <c r="D27" s="20">
        <v>304</v>
      </c>
      <c r="E27" s="20">
        <v>9</v>
      </c>
      <c r="F27" s="20">
        <v>26</v>
      </c>
      <c r="G27" s="20">
        <v>111</v>
      </c>
      <c r="H27" s="8"/>
    </row>
    <row r="28" spans="1:8" ht="9.1" customHeight="1" x14ac:dyDescent="0.3">
      <c r="A28" s="1"/>
      <c r="B28" s="10"/>
      <c r="C28" s="10"/>
      <c r="D28" s="10"/>
      <c r="E28" s="10"/>
      <c r="F28" s="10"/>
      <c r="G28" s="10"/>
      <c r="H28" s="11"/>
    </row>
    <row r="29" spans="1:8" s="1" customFormat="1" ht="13.55" customHeight="1" x14ac:dyDescent="0.25">
      <c r="A29" s="19" t="s">
        <v>8</v>
      </c>
      <c r="B29" s="19"/>
      <c r="C29" s="19"/>
      <c r="D29" s="19"/>
      <c r="E29" s="19"/>
      <c r="F29" s="19"/>
      <c r="G29" s="19"/>
    </row>
    <row r="30" spans="1:8" s="1" customFormat="1" ht="13.55" customHeight="1" x14ac:dyDescent="0.25">
      <c r="A30" s="19" t="s">
        <v>29</v>
      </c>
      <c r="B30" s="19"/>
      <c r="C30" s="19"/>
      <c r="D30" s="19"/>
      <c r="E30" s="19"/>
      <c r="F30" s="19"/>
      <c r="G30" s="19"/>
    </row>
    <row r="31" spans="1:8" s="1" customFormat="1" ht="13.55" customHeight="1" x14ac:dyDescent="0.25">
      <c r="A31" s="19"/>
      <c r="B31" s="19"/>
      <c r="C31" s="19"/>
      <c r="D31" s="19"/>
      <c r="E31" s="19"/>
      <c r="F31" s="19"/>
      <c r="G31" s="19"/>
    </row>
    <row r="32" spans="1:8" ht="13.55" customHeight="1" x14ac:dyDescent="0.3">
      <c r="A32" s="19" t="s">
        <v>30</v>
      </c>
      <c r="B32" s="19"/>
      <c r="C32" s="19"/>
      <c r="D32" s="19"/>
      <c r="E32" s="19"/>
      <c r="F32" s="19"/>
      <c r="G32" s="19"/>
    </row>
    <row r="33" spans="1:7" s="1" customFormat="1" ht="13.55" customHeight="1" x14ac:dyDescent="0.25">
      <c r="A33" s="19"/>
      <c r="B33" s="19"/>
      <c r="C33" s="19"/>
      <c r="D33" s="19"/>
      <c r="E33" s="19"/>
      <c r="F33" s="19"/>
      <c r="G33" s="19"/>
    </row>
    <row r="34" spans="1:7" ht="9.1" customHeight="1" x14ac:dyDescent="0.3"/>
    <row r="35" spans="1:7" x14ac:dyDescent="0.3">
      <c r="A35" s="1"/>
    </row>
    <row r="36" spans="1:7" x14ac:dyDescent="0.3">
      <c r="A36" s="1"/>
    </row>
    <row r="37" spans="1:7" x14ac:dyDescent="0.3">
      <c r="A37" s="1"/>
    </row>
    <row r="38" spans="1:7" x14ac:dyDescent="0.3">
      <c r="A38" s="1"/>
    </row>
    <row r="39" spans="1:7" x14ac:dyDescent="0.3">
      <c r="A39" s="1"/>
    </row>
  </sheetData>
  <mergeCells count="4">
    <mergeCell ref="A1:G1"/>
    <mergeCell ref="A30:G31"/>
    <mergeCell ref="A32:G33"/>
    <mergeCell ref="A29:G29"/>
  </mergeCells>
  <pageMargins left="0.70866141732283472" right="0.70866141732283472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3.6.6</vt:lpstr>
      <vt:lpstr>'3.6.6'!Área_de_impresión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pyp</dc:creator>
  <cp:lastModifiedBy>María Eugenia Torres</cp:lastModifiedBy>
  <cp:lastPrinted>2022-08-18T20:54:21Z</cp:lastPrinted>
  <dcterms:created xsi:type="dcterms:W3CDTF">2016-08-23T21:24:31Z</dcterms:created>
  <dcterms:modified xsi:type="dcterms:W3CDTF">2025-08-22T18:50:04Z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420291a6-dd3a-435b-8f2a-5b45a9dadab1</vt:lpwstr>
  </property>
</Properties>
</file>