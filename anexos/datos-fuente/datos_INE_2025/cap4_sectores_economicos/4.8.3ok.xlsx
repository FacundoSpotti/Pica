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6" tabRatio="500"/>
  </bookViews>
  <sheets>
    <sheet name="4.8.3" sheetId="1" r:id="rId1"/>
    <sheet name="serie histórica" sheetId="2" r:id="rId2"/>
  </sheets>
  <definedNames>
    <definedName name="_xlnm.Print_Area" localSheetId="0">'4.8.3'!$A$1:$G$19</definedName>
  </definedNames>
  <calcPr calcId="14562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7" i="1" l="1"/>
  <c r="G7" i="1" s="1"/>
  <c r="E7" i="1"/>
  <c r="B7" i="1"/>
  <c r="E73" i="2" l="1"/>
  <c r="B73" i="2"/>
  <c r="F73" i="2" l="1"/>
  <c r="G73" i="2" s="1"/>
  <c r="F69" i="2"/>
  <c r="G69" i="2" s="1"/>
  <c r="F68" i="2"/>
  <c r="G68" i="2" s="1"/>
  <c r="F67" i="2"/>
  <c r="G67" i="2" s="1"/>
  <c r="F66" i="2"/>
  <c r="G66" i="2" s="1"/>
  <c r="F65" i="2"/>
  <c r="G65" i="2" s="1"/>
  <c r="F64" i="2"/>
  <c r="G64" i="2" s="1"/>
  <c r="F63" i="2"/>
  <c r="G63" i="2" s="1"/>
  <c r="F62" i="2"/>
  <c r="G62" i="2" s="1"/>
  <c r="F61" i="2"/>
  <c r="G61" i="2" s="1"/>
  <c r="E59" i="2"/>
  <c r="B59" i="2"/>
  <c r="F59" i="2" s="1"/>
  <c r="G59" i="2" s="1"/>
  <c r="F56" i="2"/>
  <c r="G56" i="2" s="1"/>
  <c r="F55" i="2"/>
  <c r="G55" i="2" s="1"/>
  <c r="F54" i="2"/>
  <c r="G54" i="2" s="1"/>
  <c r="F53" i="2"/>
  <c r="G53" i="2" s="1"/>
  <c r="F52" i="2"/>
  <c r="G52" i="2" s="1"/>
  <c r="F51" i="2"/>
  <c r="G51" i="2" s="1"/>
  <c r="F50" i="2"/>
  <c r="G50" i="2" s="1"/>
  <c r="F49" i="2"/>
  <c r="G49" i="2" s="1"/>
  <c r="F48" i="2"/>
  <c r="G48" i="2" s="1"/>
  <c r="F46" i="2"/>
  <c r="G46" i="2" s="1"/>
  <c r="E46" i="2"/>
  <c r="B46" i="2"/>
  <c r="F43" i="2"/>
  <c r="G43" i="2" s="1"/>
  <c r="E43" i="2"/>
  <c r="C43" i="2"/>
  <c r="B43" i="2"/>
  <c r="G42" i="2"/>
  <c r="F42" i="2"/>
  <c r="E41" i="2"/>
  <c r="F41" i="2" s="1"/>
  <c r="G41" i="2" s="1"/>
  <c r="B41" i="2"/>
  <c r="C41" i="2" s="1"/>
  <c r="F40" i="2"/>
  <c r="G40" i="2" s="1"/>
  <c r="E40" i="2"/>
  <c r="C40" i="2"/>
  <c r="B40" i="2"/>
  <c r="E39" i="2"/>
  <c r="F39" i="2" s="1"/>
  <c r="G39" i="2" s="1"/>
  <c r="B39" i="2"/>
  <c r="C39" i="2" s="1"/>
  <c r="F38" i="2"/>
  <c r="G38" i="2" s="1"/>
  <c r="E38" i="2"/>
  <c r="C38" i="2"/>
  <c r="B38" i="2"/>
  <c r="E37" i="2"/>
  <c r="F37" i="2" s="1"/>
  <c r="G37" i="2" s="1"/>
  <c r="B37" i="2"/>
  <c r="C37" i="2" s="1"/>
  <c r="F36" i="2"/>
  <c r="G36" i="2" s="1"/>
  <c r="E36" i="2"/>
  <c r="C36" i="2"/>
  <c r="B36" i="2"/>
  <c r="E35" i="2"/>
  <c r="F35" i="2" s="1"/>
  <c r="G35" i="2" s="1"/>
  <c r="B35" i="2"/>
  <c r="C35" i="2" s="1"/>
  <c r="B33" i="2"/>
  <c r="E20" i="2"/>
  <c r="B20" i="2"/>
  <c r="E7" i="2"/>
  <c r="B7" i="2"/>
  <c r="E33" i="2" l="1"/>
  <c r="F33" i="2" s="1"/>
  <c r="G33" i="2" s="1"/>
</calcChain>
</file>

<file path=xl/sharedStrings.xml><?xml version="1.0" encoding="utf-8"?>
<sst xmlns="http://schemas.openxmlformats.org/spreadsheetml/2006/main" count="91" uniqueCount="23">
  <si>
    <t>Zona de destino</t>
  </si>
  <si>
    <t>Total de visitantes</t>
  </si>
  <si>
    <t>Días de estadía</t>
  </si>
  <si>
    <t>Gasto en  U$S corrientes</t>
  </si>
  <si>
    <t xml:space="preserve">Total U$S </t>
  </si>
  <si>
    <t>P/persona</t>
  </si>
  <si>
    <t>P/p día</t>
  </si>
  <si>
    <t>Total</t>
  </si>
  <si>
    <t>Punta del Este</t>
  </si>
  <si>
    <t>Colonia</t>
  </si>
  <si>
    <t>Montevideo</t>
  </si>
  <si>
    <t>Costa de Oro</t>
  </si>
  <si>
    <t>Piriápolis</t>
  </si>
  <si>
    <t>Costa de Rocha</t>
  </si>
  <si>
    <t>Litoral Termal</t>
  </si>
  <si>
    <t>Tránsito</t>
  </si>
  <si>
    <t>Otros - sin datos</t>
  </si>
  <si>
    <t>Fuente: Ministerio de Turismo.</t>
  </si>
  <si>
    <t>4.8.3 - Visitantes ingresados a Uruguay, días de estadía y gasto, según zona de</t>
  </si>
  <si>
    <t xml:space="preserve">destino - </t>
  </si>
  <si>
    <t xml:space="preserve">Nota: Debido a la pandemia y el consiguiente cierre de fronteras, las Encuestas de Turismo Receptivo fueron </t>
  </si>
  <si>
    <t xml:space="preserve">suspendidas a partir del 13 de marzo del 2020. </t>
  </si>
  <si>
    <t>4.8.3 - Visitantes ingresados a Uruguay, días de estadía y gasto, según zona de destino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</si>
</sst>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 &quot;$U &quot;* #,##0.00_ ;_ &quot;$U &quot;* \-#,##0.00_ ;_ &quot;$U &quot;* \-??_ ;_ @_ "/>
    <numFmt numFmtId="165" formatCode="0\ %"/>
    <numFmt numFmtId="166" formatCode="#,##0.0"/>
  </numFmts>
  <fonts count="11" x14ac:knownFonts="1"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sz val="11"/>
      <name val="Calibri"/>
      <family val="2"/>
      <charset val="1"/>
    </font>
    <font>
      <b/>
      <sz val="12"/>
      <color theme="0"/>
      <name val="Arial"/>
      <family val="2"/>
      <charset val="1"/>
    </font>
    <font>
      <b/>
      <sz val="9"/>
      <name val="Arial"/>
      <family val="2"/>
      <charset val="1"/>
    </font>
    <font>
      <sz val="9"/>
      <name val="Arial"/>
      <family val="2"/>
      <charset val="1"/>
    </font>
    <font>
      <i/>
      <sz val="11"/>
      <color rgb="FF808080"/>
      <name val="Calibri"/>
      <family val="2"/>
      <charset val="1"/>
    </font>
    <font>
      <i/>
      <sz val="11"/>
      <color rgb="FF7F7F7F"/>
      <name val="Calibri"/>
      <family val="2"/>
      <charset val="1"/>
    </font>
    <font>
      <sz val="9"/>
      <name val="Calibri"/>
      <family val="2"/>
      <charset val="1"/>
    </font>
    <font>
      <sz val="10"/>
      <color rgb="FF000000"/>
      <name val="Arial"/>
      <family val="2"/>
      <charset val="1"/>
    </font>
    <font>
      <sz val="9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7D5494"/>
        <bgColor rgb="FF993366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FFFFFF"/>
      </top>
      <bottom style="thin">
        <color rgb="FFFFFFFF"/>
      </bottom>
      <diagonal/>
    </border>
  </borders>
  <cellStyleXfs count="8">
    <xf numFmtId="0" fontId="0" fillId="0" borderId="0"/>
    <xf numFmtId="164" fontId="1" fillId="0" borderId="0" applyBorder="0" applyProtection="0"/>
    <xf numFmtId="0" fontId="1" fillId="0" borderId="0"/>
    <xf numFmtId="165" fontId="1" fillId="0" borderId="0" applyBorder="0" applyProtection="0"/>
    <xf numFmtId="0" fontId="6" fillId="0" borderId="0" applyBorder="0" applyProtection="0"/>
    <xf numFmtId="0" fontId="6" fillId="0" borderId="0" applyBorder="0" applyProtection="0"/>
    <xf numFmtId="0" fontId="7" fillId="0" borderId="0" applyBorder="0" applyProtection="0"/>
    <xf numFmtId="0" fontId="9" fillId="0" borderId="0" applyBorder="0" applyProtection="0"/>
  </cellStyleXfs>
  <cellXfs count="56">
    <xf numFmtId="0" fontId="0" fillId="0" borderId="0" xfId="0"/>
    <xf numFmtId="0" fontId="2" fillId="0" borderId="0" xfId="0" applyFont="1" applyAlignment="1" applyProtection="1"/>
    <xf numFmtId="0" fontId="2" fillId="0" borderId="0" xfId="0" applyFont="1" applyBorder="1" applyAlignment="1" applyProtection="1"/>
    <xf numFmtId="0" fontId="3" fillId="2" borderId="0" xfId="2" applyFont="1" applyFill="1" applyBorder="1" applyAlignment="1" applyProtection="1">
      <alignment horizontal="left"/>
    </xf>
    <xf numFmtId="0" fontId="4" fillId="0" borderId="0" xfId="2" applyFont="1" applyBorder="1" applyAlignment="1" applyProtection="1">
      <alignment horizontal="right" vertical="center"/>
    </xf>
    <xf numFmtId="0" fontId="5" fillId="0" borderId="0" xfId="2" applyFont="1" applyBorder="1" applyAlignment="1" applyProtection="1"/>
    <xf numFmtId="0" fontId="4" fillId="0" borderId="0" xfId="2" applyFont="1" applyBorder="1" applyAlignment="1" applyProtection="1">
      <alignment horizontal="center" vertical="center"/>
    </xf>
    <xf numFmtId="0" fontId="4" fillId="0" borderId="0" xfId="2" applyFont="1" applyBorder="1" applyAlignment="1" applyProtection="1">
      <alignment horizontal="left" vertical="center"/>
    </xf>
    <xf numFmtId="0" fontId="5" fillId="0" borderId="0" xfId="2" applyFont="1" applyAlignment="1" applyProtection="1"/>
    <xf numFmtId="3" fontId="4" fillId="0" borderId="2" xfId="4" applyNumberFormat="1" applyFont="1" applyBorder="1" applyAlignment="1" applyProtection="1"/>
    <xf numFmtId="166" fontId="4" fillId="0" borderId="2" xfId="5" applyNumberFormat="1" applyFont="1" applyBorder="1" applyAlignment="1" applyProtection="1"/>
    <xf numFmtId="166" fontId="4" fillId="0" borderId="2" xfId="6" applyNumberFormat="1" applyFont="1" applyBorder="1" applyAlignment="1" applyProtection="1"/>
    <xf numFmtId="166" fontId="4" fillId="0" borderId="2" xfId="4" applyNumberFormat="1" applyFont="1" applyBorder="1" applyAlignment="1" applyProtection="1"/>
    <xf numFmtId="0" fontId="4" fillId="0" borderId="0" xfId="4" applyFont="1" applyBorder="1" applyAlignment="1" applyProtection="1">
      <alignment horizontal="center" vertical="center"/>
    </xf>
    <xf numFmtId="0" fontId="4" fillId="0" borderId="0" xfId="6" applyFont="1" applyBorder="1" applyAlignment="1" applyProtection="1">
      <alignment horizontal="center" vertical="center"/>
    </xf>
    <xf numFmtId="166" fontId="4" fillId="0" borderId="0" xfId="5" applyNumberFormat="1" applyFont="1" applyBorder="1" applyAlignment="1" applyProtection="1">
      <alignment horizontal="center" vertical="center"/>
    </xf>
    <xf numFmtId="0" fontId="4" fillId="0" borderId="0" xfId="5" applyFont="1" applyBorder="1" applyAlignment="1" applyProtection="1">
      <alignment horizontal="center" vertical="center"/>
    </xf>
    <xf numFmtId="0" fontId="4" fillId="0" borderId="0" xfId="2" applyFont="1" applyBorder="1" applyAlignment="1" applyProtection="1">
      <alignment horizontal="left"/>
    </xf>
    <xf numFmtId="3" fontId="5" fillId="0" borderId="0" xfId="5" applyNumberFormat="1" applyFont="1" applyBorder="1" applyAlignment="1" applyProtection="1"/>
    <xf numFmtId="166" fontId="5" fillId="0" borderId="0" xfId="5" applyNumberFormat="1" applyFont="1" applyBorder="1" applyAlignment="1" applyProtection="1"/>
    <xf numFmtId="166" fontId="5" fillId="0" borderId="0" xfId="6" applyNumberFormat="1" applyFont="1" applyBorder="1" applyAlignment="1" applyProtection="1"/>
    <xf numFmtId="166" fontId="5" fillId="0" borderId="0" xfId="4" applyNumberFormat="1" applyFont="1" applyBorder="1" applyAlignment="1" applyProtection="1"/>
    <xf numFmtId="0" fontId="8" fillId="0" borderId="0" xfId="0" applyFont="1" applyAlignment="1" applyProtection="1"/>
    <xf numFmtId="0" fontId="1" fillId="0" borderId="0" xfId="2" applyFont="1" applyAlignment="1" applyProtection="1"/>
    <xf numFmtId="0" fontId="1" fillId="0" borderId="0" xfId="2" applyFont="1" applyBorder="1" applyAlignment="1" applyProtection="1"/>
    <xf numFmtId="3" fontId="4" fillId="0" borderId="2" xfId="6" applyNumberFormat="1" applyFont="1" applyBorder="1" applyAlignment="1" applyProtection="1"/>
    <xf numFmtId="3" fontId="5" fillId="0" borderId="0" xfId="6" applyNumberFormat="1" applyFont="1" applyBorder="1" applyAlignment="1" applyProtection="1"/>
    <xf numFmtId="0" fontId="4" fillId="0" borderId="0" xfId="2" applyFont="1" applyBorder="1" applyAlignment="1" applyProtection="1"/>
    <xf numFmtId="166" fontId="4" fillId="0" borderId="0" xfId="6" applyNumberFormat="1" applyFont="1" applyBorder="1" applyAlignment="1" applyProtection="1"/>
    <xf numFmtId="3" fontId="5" fillId="0" borderId="0" xfId="4" applyNumberFormat="1" applyFont="1" applyBorder="1" applyAlignment="1" applyProtection="1"/>
    <xf numFmtId="4" fontId="5" fillId="0" borderId="0" xfId="4" applyNumberFormat="1" applyFont="1" applyBorder="1" applyAlignment="1" applyProtection="1"/>
    <xf numFmtId="0" fontId="0" fillId="0" borderId="0" xfId="0" applyAlignment="1" applyProtection="1"/>
    <xf numFmtId="4" fontId="5" fillId="0" borderId="0" xfId="5" applyNumberFormat="1" applyFont="1" applyBorder="1" applyAlignment="1" applyProtection="1"/>
    <xf numFmtId="0" fontId="4" fillId="0" borderId="0" xfId="2" applyFont="1" applyBorder="1" applyAlignment="1" applyProtection="1">
      <alignment horizontal="right"/>
    </xf>
    <xf numFmtId="0" fontId="4" fillId="0" borderId="0" xfId="0" applyFont="1" applyBorder="1" applyAlignment="1" applyProtection="1"/>
    <xf numFmtId="0" fontId="4" fillId="0" borderId="0" xfId="2" applyFont="1" applyBorder="1" applyAlignment="1" applyProtection="1">
      <alignment horizontal="left" vertical="center"/>
    </xf>
    <xf numFmtId="0" fontId="4" fillId="0" borderId="0" xfId="2" applyFont="1" applyBorder="1" applyAlignment="1" applyProtection="1">
      <alignment horizontal="left" vertical="center"/>
    </xf>
    <xf numFmtId="0" fontId="4" fillId="0" borderId="0" xfId="2" applyFont="1" applyBorder="1" applyAlignment="1" applyProtection="1">
      <alignment horizontal="right" vertical="center"/>
    </xf>
    <xf numFmtId="0" fontId="4" fillId="0" borderId="0" xfId="2" applyFont="1" applyBorder="1" applyAlignment="1" applyProtection="1">
      <alignment horizontal="center" vertical="center"/>
    </xf>
    <xf numFmtId="0" fontId="4" fillId="0" borderId="0" xfId="2" applyFont="1" applyBorder="1" applyAlignment="1" applyProtection="1">
      <alignment horizontal="left" wrapText="1"/>
    </xf>
    <xf numFmtId="0" fontId="3" fillId="2" borderId="0" xfId="2" applyFont="1" applyFill="1" applyBorder="1" applyAlignment="1" applyProtection="1">
      <alignment horizontal="left" wrapText="1"/>
    </xf>
    <xf numFmtId="0" fontId="4" fillId="0" borderId="0" xfId="2" applyFont="1" applyBorder="1" applyAlignment="1" applyProtection="1">
      <alignment horizontal="left" vertical="center" wrapText="1"/>
    </xf>
    <xf numFmtId="0" fontId="4" fillId="0" borderId="1" xfId="2" applyFont="1" applyBorder="1" applyAlignment="1" applyProtection="1">
      <alignment horizontal="center" vertical="center"/>
    </xf>
    <xf numFmtId="0" fontId="4" fillId="0" borderId="0" xfId="2" applyFont="1" applyBorder="1" applyAlignment="1" applyProtection="1">
      <alignment horizontal="left" vertical="center"/>
    </xf>
    <xf numFmtId="3" fontId="4" fillId="0" borderId="2" xfId="4" applyNumberFormat="1" applyFont="1" applyBorder="1" applyAlignment="1" applyProtection="1">
      <alignment horizontal="right"/>
    </xf>
    <xf numFmtId="166" fontId="4" fillId="0" borderId="2" xfId="5" applyNumberFormat="1" applyFont="1" applyBorder="1" applyAlignment="1" applyProtection="1">
      <alignment horizontal="right"/>
    </xf>
    <xf numFmtId="166" fontId="4" fillId="0" borderId="2" xfId="6" applyNumberFormat="1" applyFont="1" applyBorder="1" applyAlignment="1" applyProtection="1">
      <alignment horizontal="right"/>
    </xf>
    <xf numFmtId="166" fontId="4" fillId="0" borderId="2" xfId="4" applyNumberFormat="1" applyFont="1" applyBorder="1" applyAlignment="1" applyProtection="1">
      <alignment horizontal="right"/>
    </xf>
    <xf numFmtId="0" fontId="4" fillId="0" borderId="0" xfId="4" applyFont="1" applyBorder="1" applyAlignment="1" applyProtection="1">
      <alignment horizontal="right" vertical="center"/>
    </xf>
    <xf numFmtId="0" fontId="4" fillId="0" borderId="0" xfId="6" applyFont="1" applyBorder="1" applyAlignment="1" applyProtection="1">
      <alignment horizontal="right" vertical="center"/>
    </xf>
    <xf numFmtId="166" fontId="5" fillId="0" borderId="0" xfId="6" applyNumberFormat="1" applyFont="1" applyBorder="1" applyAlignment="1" applyProtection="1">
      <alignment horizontal="right"/>
    </xf>
    <xf numFmtId="3" fontId="10" fillId="0" borderId="0" xfId="7" applyNumberFormat="1" applyFont="1" applyBorder="1" applyAlignment="1" applyProtection="1">
      <alignment horizontal="right"/>
    </xf>
    <xf numFmtId="166" fontId="10" fillId="0" borderId="0" xfId="7" applyNumberFormat="1" applyFont="1" applyBorder="1" applyAlignment="1" applyProtection="1">
      <alignment horizontal="right"/>
    </xf>
    <xf numFmtId="4" fontId="2" fillId="0" borderId="0" xfId="0" applyNumberFormat="1" applyFont="1" applyAlignment="1" applyProtection="1"/>
    <xf numFmtId="166" fontId="2" fillId="0" borderId="0" xfId="0" applyNumberFormat="1" applyFont="1" applyAlignment="1" applyProtection="1"/>
    <xf numFmtId="166" fontId="5" fillId="0" borderId="0" xfId="2" applyNumberFormat="1" applyFont="1" applyAlignment="1" applyProtection="1"/>
  </cellXfs>
  <cellStyles count="8">
    <cellStyle name="Excel Built-in Explanatory Text" xfId="6"/>
    <cellStyle name="Excel Built-in Explanatory Text 1" xfId="5"/>
    <cellStyle name="Excel Built-in Explanatory Text 2" xfId="4"/>
    <cellStyle name="Moneda 2" xfId="1"/>
    <cellStyle name="Normal" xfId="0" builtinId="0"/>
    <cellStyle name="Normal 2" xfId="2"/>
    <cellStyle name="Normal 3" xfId="7"/>
    <cellStyle name="Porcentaje 2" xfId="3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7D5494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0"/>
  <sheetViews>
    <sheetView showGridLines="0" tabSelected="1" zoomScaleNormal="100" workbookViewId="0">
      <selection sqref="A1:G2"/>
    </sheetView>
  </sheetViews>
  <sheetFormatPr baseColWidth="10" defaultColWidth="11.44140625" defaultRowHeight="14.4" x14ac:dyDescent="0.3"/>
  <cols>
    <col min="1" max="1" width="15.88671875" style="1" customWidth="1"/>
    <col min="2" max="2" width="16.5546875" style="1" customWidth="1"/>
    <col min="3" max="3" width="14.6640625" style="1" customWidth="1"/>
    <col min="4" max="4" width="1.6640625" style="1" customWidth="1"/>
    <col min="5" max="5" width="15.88671875" style="1" customWidth="1"/>
    <col min="6" max="6" width="10.88671875" style="1" customWidth="1"/>
    <col min="7" max="7" width="10.33203125" style="1" customWidth="1"/>
    <col min="8" max="10" width="11.44140625" style="1"/>
    <col min="11" max="11" width="10.6640625" style="1" customWidth="1"/>
    <col min="12" max="12" width="12.44140625" style="1" customWidth="1"/>
    <col min="13" max="16384" width="11.44140625" style="1"/>
  </cols>
  <sheetData>
    <row r="1" spans="1:14" ht="15" customHeight="1" x14ac:dyDescent="0.3">
      <c r="A1" s="40" t="s">
        <v>22</v>
      </c>
      <c r="B1" s="40"/>
      <c r="C1" s="40"/>
      <c r="D1" s="40"/>
      <c r="E1" s="40"/>
      <c r="F1" s="40"/>
      <c r="G1" s="40"/>
      <c r="H1" s="2"/>
      <c r="I1" s="2"/>
      <c r="J1" s="2"/>
      <c r="K1" s="2"/>
      <c r="L1" s="2"/>
      <c r="M1" s="2"/>
      <c r="N1" s="2"/>
    </row>
    <row r="2" spans="1:14" ht="15" customHeight="1" x14ac:dyDescent="0.3">
      <c r="A2" s="40"/>
      <c r="B2" s="40"/>
      <c r="C2" s="40"/>
      <c r="D2" s="40"/>
      <c r="E2" s="40"/>
      <c r="F2" s="40"/>
      <c r="G2" s="40"/>
      <c r="H2" s="2"/>
      <c r="I2" s="2"/>
      <c r="J2" s="2"/>
      <c r="K2" s="2"/>
      <c r="L2" s="2"/>
      <c r="M2" s="2"/>
      <c r="N2" s="2"/>
    </row>
    <row r="3" spans="1:14" ht="9.15" customHeight="1" x14ac:dyDescent="0.3">
      <c r="A3" s="3"/>
      <c r="B3" s="3"/>
      <c r="C3" s="3"/>
      <c r="D3" s="3"/>
      <c r="E3" s="3"/>
      <c r="F3" s="3"/>
      <c r="G3" s="3"/>
      <c r="H3" s="2"/>
      <c r="I3" s="2"/>
      <c r="J3" s="2"/>
      <c r="K3" s="2"/>
      <c r="L3" s="2"/>
      <c r="M3" s="2"/>
      <c r="N3" s="2"/>
    </row>
    <row r="4" spans="1:14" ht="12.75" customHeight="1" x14ac:dyDescent="0.3">
      <c r="A4" s="41" t="s">
        <v>0</v>
      </c>
      <c r="B4" s="37" t="s">
        <v>1</v>
      </c>
      <c r="C4" s="37" t="s">
        <v>2</v>
      </c>
      <c r="D4" s="4"/>
      <c r="E4" s="42" t="s">
        <v>3</v>
      </c>
      <c r="F4" s="42"/>
      <c r="G4" s="42"/>
      <c r="H4" s="5"/>
      <c r="I4" s="37"/>
      <c r="J4" s="37"/>
      <c r="K4" s="4"/>
      <c r="L4" s="38"/>
      <c r="M4" s="38"/>
      <c r="N4" s="38"/>
    </row>
    <row r="5" spans="1:14" ht="12.75" customHeight="1" x14ac:dyDescent="0.3">
      <c r="A5" s="41"/>
      <c r="B5" s="37"/>
      <c r="C5" s="37"/>
      <c r="D5" s="4"/>
      <c r="E5" s="4" t="s">
        <v>4</v>
      </c>
      <c r="F5" s="4" t="s">
        <v>5</v>
      </c>
      <c r="G5" s="4" t="s">
        <v>6</v>
      </c>
      <c r="H5" s="5"/>
      <c r="I5" s="37"/>
      <c r="J5" s="37"/>
      <c r="K5" s="4"/>
      <c r="L5" s="4"/>
      <c r="M5" s="4"/>
      <c r="N5" s="4"/>
    </row>
    <row r="6" spans="1:14" ht="9.15" customHeight="1" x14ac:dyDescent="0.3">
      <c r="A6" s="7"/>
      <c r="B6" s="6"/>
      <c r="C6" s="6"/>
      <c r="D6" s="6"/>
      <c r="E6" s="6"/>
      <c r="F6" s="6"/>
      <c r="G6" s="6"/>
      <c r="H6" s="8"/>
      <c r="I6" s="6"/>
      <c r="J6" s="6"/>
      <c r="K6" s="6"/>
      <c r="L6" s="6"/>
      <c r="M6" s="6"/>
      <c r="N6" s="6"/>
    </row>
    <row r="7" spans="1:14" ht="12.75" customHeight="1" x14ac:dyDescent="0.3">
      <c r="A7" s="7" t="s">
        <v>7</v>
      </c>
      <c r="B7" s="44">
        <f>SUM(B9:B17)</f>
        <v>3341829.1876888457</v>
      </c>
      <c r="C7" s="45">
        <v>5.6</v>
      </c>
      <c r="D7" s="46"/>
      <c r="E7" s="44">
        <f>SUM(E9:E17)</f>
        <v>1750290148.3330579</v>
      </c>
      <c r="F7" s="47">
        <f>+E7/B7</f>
        <v>523.75212796065432</v>
      </c>
      <c r="G7" s="47">
        <f>+F7/C7</f>
        <v>93.527165707259712</v>
      </c>
      <c r="H7" s="55"/>
      <c r="I7" s="10"/>
      <c r="J7" s="10"/>
      <c r="K7" s="12"/>
      <c r="L7" s="10"/>
      <c r="M7" s="10"/>
      <c r="N7" s="10"/>
    </row>
    <row r="8" spans="1:14" ht="9.15" customHeight="1" x14ac:dyDescent="0.3">
      <c r="A8" s="7"/>
      <c r="B8" s="48"/>
      <c r="C8" s="48"/>
      <c r="D8" s="49"/>
      <c r="E8" s="48"/>
      <c r="F8" s="48"/>
      <c r="G8" s="48"/>
      <c r="H8" s="8"/>
      <c r="I8" s="15"/>
      <c r="J8" s="15"/>
      <c r="K8" s="13"/>
      <c r="L8" s="16"/>
      <c r="M8" s="16"/>
      <c r="N8" s="16"/>
    </row>
    <row r="9" spans="1:14" ht="12.75" customHeight="1" x14ac:dyDescent="0.3">
      <c r="A9" s="17" t="s">
        <v>8</v>
      </c>
      <c r="B9" s="51">
        <v>647839.45644271001</v>
      </c>
      <c r="C9" s="52">
        <v>9.0514816565439293</v>
      </c>
      <c r="D9" s="50"/>
      <c r="E9" s="51">
        <v>711135291.125893</v>
      </c>
      <c r="F9" s="52">
        <v>1097.7029633711099</v>
      </c>
      <c r="G9" s="52">
        <v>121.273290387492</v>
      </c>
      <c r="H9" s="8"/>
      <c r="I9" s="19"/>
      <c r="J9" s="19"/>
      <c r="K9" s="21"/>
      <c r="L9" s="19"/>
      <c r="M9" s="19"/>
      <c r="N9" s="19"/>
    </row>
    <row r="10" spans="1:14" ht="12.75" customHeight="1" x14ac:dyDescent="0.3">
      <c r="A10" s="17" t="s">
        <v>9</v>
      </c>
      <c r="B10" s="51">
        <v>397185.86522809701</v>
      </c>
      <c r="C10" s="52">
        <v>2.3845623376390002</v>
      </c>
      <c r="D10" s="50"/>
      <c r="E10" s="51">
        <v>75725204.229877397</v>
      </c>
      <c r="F10" s="52">
        <v>190.65432800935599</v>
      </c>
      <c r="G10" s="52">
        <v>79.953593579829402</v>
      </c>
      <c r="H10" s="8"/>
      <c r="I10" s="19"/>
      <c r="J10" s="19"/>
      <c r="K10" s="21"/>
      <c r="L10" s="19"/>
      <c r="M10" s="19"/>
      <c r="N10" s="19"/>
    </row>
    <row r="11" spans="1:14" ht="12.75" customHeight="1" x14ac:dyDescent="0.3">
      <c r="A11" s="17" t="s">
        <v>10</v>
      </c>
      <c r="B11" s="51">
        <v>898297.20939108403</v>
      </c>
      <c r="C11" s="52">
        <v>6.10317565311757</v>
      </c>
      <c r="D11" s="50"/>
      <c r="E11" s="51">
        <v>508733037.96707499</v>
      </c>
      <c r="F11" s="52">
        <v>566.33042232416994</v>
      </c>
      <c r="G11" s="52">
        <v>92.7927450416542</v>
      </c>
      <c r="H11" s="8"/>
      <c r="I11" s="19"/>
      <c r="J11" s="19"/>
      <c r="K11" s="21"/>
      <c r="L11" s="19"/>
      <c r="M11" s="19"/>
      <c r="N11" s="19"/>
    </row>
    <row r="12" spans="1:14" ht="12.75" customHeight="1" x14ac:dyDescent="0.3">
      <c r="A12" s="17" t="s">
        <v>11</v>
      </c>
      <c r="B12" s="51">
        <v>165180.78723471001</v>
      </c>
      <c r="C12" s="52">
        <v>8.0950807331613301</v>
      </c>
      <c r="D12" s="50"/>
      <c r="E12" s="51">
        <v>69311655.577352807</v>
      </c>
      <c r="F12" s="52">
        <v>419.61088052490101</v>
      </c>
      <c r="G12" s="52">
        <v>51.835292859523101</v>
      </c>
      <c r="H12" s="8"/>
      <c r="I12" s="19"/>
      <c r="J12" s="19"/>
      <c r="K12" s="21"/>
      <c r="L12" s="19"/>
      <c r="M12" s="19"/>
      <c r="N12" s="19"/>
    </row>
    <row r="13" spans="1:14" ht="12.75" customHeight="1" x14ac:dyDescent="0.3">
      <c r="A13" s="17" t="s">
        <v>12</v>
      </c>
      <c r="B13" s="51">
        <v>145320.264219112</v>
      </c>
      <c r="C13" s="52">
        <v>9.3204580631078304</v>
      </c>
      <c r="D13" s="50"/>
      <c r="E13" s="51">
        <v>128248051.58209901</v>
      </c>
      <c r="F13" s="52">
        <v>882.52008259996103</v>
      </c>
      <c r="G13" s="52">
        <v>94.686342304692701</v>
      </c>
      <c r="H13" s="8"/>
      <c r="I13" s="19"/>
      <c r="J13" s="19"/>
      <c r="K13" s="21"/>
      <c r="L13" s="19"/>
      <c r="M13" s="19"/>
      <c r="N13" s="19"/>
    </row>
    <row r="14" spans="1:14" ht="12.75" customHeight="1" x14ac:dyDescent="0.3">
      <c r="A14" s="17" t="s">
        <v>13</v>
      </c>
      <c r="B14" s="51">
        <v>109252.53346774</v>
      </c>
      <c r="C14" s="52">
        <v>8.3156533324759891</v>
      </c>
      <c r="D14" s="50"/>
      <c r="E14" s="51">
        <v>61775306.5371795</v>
      </c>
      <c r="F14" s="52">
        <v>565.435917835449</v>
      </c>
      <c r="G14" s="52">
        <v>67.996571673712396</v>
      </c>
      <c r="H14" s="8"/>
      <c r="I14" s="19"/>
      <c r="J14" s="19"/>
      <c r="K14" s="21"/>
      <c r="L14" s="19"/>
      <c r="M14" s="19"/>
      <c r="N14" s="19"/>
    </row>
    <row r="15" spans="1:14" ht="12.75" customHeight="1" x14ac:dyDescent="0.3">
      <c r="A15" s="17" t="s">
        <v>14</v>
      </c>
      <c r="B15" s="51">
        <v>521129.24144348502</v>
      </c>
      <c r="C15" s="52">
        <v>4.0596020879876198</v>
      </c>
      <c r="D15" s="50"/>
      <c r="E15" s="51">
        <v>101289770.80173901</v>
      </c>
      <c r="F15" s="52">
        <v>194.365932184451</v>
      </c>
      <c r="G15" s="52">
        <v>47.878074740275601</v>
      </c>
      <c r="H15" s="8"/>
      <c r="I15" s="19"/>
      <c r="J15" s="19"/>
      <c r="K15" s="21"/>
      <c r="L15" s="19"/>
      <c r="M15" s="19"/>
      <c r="N15" s="19"/>
    </row>
    <row r="16" spans="1:14" ht="12.75" customHeight="1" x14ac:dyDescent="0.3">
      <c r="A16" s="17" t="s">
        <v>15</v>
      </c>
      <c r="B16" s="51">
        <v>174573.51438032</v>
      </c>
      <c r="C16" s="52">
        <v>0.81982260560549103</v>
      </c>
      <c r="D16" s="50"/>
      <c r="E16" s="51">
        <v>7854339.5577463098</v>
      </c>
      <c r="F16" s="52">
        <v>44.991587559124902</v>
      </c>
      <c r="G16" s="52">
        <v>54.879662077500001</v>
      </c>
      <c r="H16" s="8"/>
      <c r="I16" s="19"/>
      <c r="J16" s="19"/>
      <c r="K16" s="21"/>
      <c r="L16" s="19"/>
      <c r="M16" s="19"/>
      <c r="N16" s="19"/>
    </row>
    <row r="17" spans="1:14" ht="12.75" customHeight="1" x14ac:dyDescent="0.3">
      <c r="A17" s="17" t="s">
        <v>16</v>
      </c>
      <c r="B17" s="51">
        <v>283050.31588158797</v>
      </c>
      <c r="C17" s="52">
        <v>5.8827039201832099</v>
      </c>
      <c r="D17" s="50"/>
      <c r="E17" s="51">
        <v>86217490.954095796</v>
      </c>
      <c r="F17" s="52">
        <v>304.60128859267701</v>
      </c>
      <c r="G17" s="52">
        <v>51.779129584884899</v>
      </c>
      <c r="H17" s="8"/>
      <c r="I17" s="19"/>
      <c r="J17" s="19"/>
      <c r="K17" s="21"/>
      <c r="L17" s="19"/>
      <c r="M17" s="19"/>
      <c r="N17" s="19"/>
    </row>
    <row r="18" spans="1:14" ht="9.15" customHeight="1" x14ac:dyDescent="0.3">
      <c r="A18" s="17"/>
      <c r="B18" s="22"/>
      <c r="C18" s="22"/>
      <c r="D18" s="22"/>
      <c r="E18" s="22"/>
      <c r="F18" s="22"/>
      <c r="G18" s="22"/>
      <c r="H18" s="8"/>
      <c r="I18" s="23"/>
      <c r="J18" s="23"/>
      <c r="K18" s="23"/>
    </row>
    <row r="19" spans="1:14" ht="12.75" customHeight="1" x14ac:dyDescent="0.3">
      <c r="A19" s="39" t="s">
        <v>17</v>
      </c>
      <c r="B19" s="39"/>
      <c r="C19" s="39"/>
      <c r="D19" s="39"/>
      <c r="E19" s="39"/>
      <c r="F19" s="39"/>
      <c r="G19" s="39"/>
      <c r="H19" s="22"/>
    </row>
    <row r="20" spans="1:14" ht="9.15" customHeight="1" x14ac:dyDescent="0.3"/>
  </sheetData>
  <mergeCells count="9">
    <mergeCell ref="I4:I5"/>
    <mergeCell ref="J4:J5"/>
    <mergeCell ref="L4:N4"/>
    <mergeCell ref="A19:G19"/>
    <mergeCell ref="A1:G2"/>
    <mergeCell ref="A4:A5"/>
    <mergeCell ref="B4:B5"/>
    <mergeCell ref="C4:C5"/>
    <mergeCell ref="E4:G4"/>
  </mergeCells>
  <pageMargins left="0.51180555555555596" right="0.51180555555555596" top="0.47222222222222199" bottom="0.74791666666666701" header="0.511811023622047" footer="0.511811023622047"/>
  <pageSetup paperSize="9" scale="9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L99"/>
  <sheetViews>
    <sheetView showGridLines="0" zoomScaleNormal="100" workbookViewId="0">
      <pane ySplit="4" topLeftCell="A62" activePane="bottomLeft" state="frozen"/>
      <selection pane="bottomLeft" activeCell="A71" sqref="A71"/>
    </sheetView>
  </sheetViews>
  <sheetFormatPr baseColWidth="10" defaultColWidth="11.44140625" defaultRowHeight="14.4" x14ac:dyDescent="0.3"/>
  <cols>
    <col min="1" max="1" width="15.88671875" style="1" customWidth="1"/>
    <col min="2" max="2" width="16.5546875" style="1" customWidth="1"/>
    <col min="3" max="3" width="15.88671875" style="1" customWidth="1"/>
    <col min="4" max="4" width="1.6640625" style="1" customWidth="1"/>
    <col min="5" max="5" width="18.33203125" style="1" customWidth="1"/>
    <col min="6" max="6" width="12.109375" style="1" customWidth="1"/>
    <col min="7" max="7" width="9.5546875" style="1" customWidth="1"/>
    <col min="8" max="11" width="11.44140625" style="1"/>
    <col min="12" max="12" width="14.6640625" style="1" customWidth="1"/>
    <col min="13" max="13" width="11.44140625" style="1"/>
    <col min="14" max="14" width="14.6640625" style="1" customWidth="1"/>
    <col min="15" max="16384" width="11.44140625" style="1"/>
  </cols>
  <sheetData>
    <row r="1" spans="1:1806" ht="15" customHeight="1" x14ac:dyDescent="0.3">
      <c r="A1" s="3" t="s">
        <v>18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3"/>
      <c r="MD1" s="3"/>
      <c r="ME1" s="3"/>
      <c r="MF1" s="3"/>
      <c r="MG1" s="3"/>
      <c r="MH1" s="3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3"/>
      <c r="MW1" s="3"/>
      <c r="MX1" s="3"/>
      <c r="MY1" s="3"/>
      <c r="MZ1" s="3"/>
      <c r="NA1" s="3"/>
      <c r="NB1" s="3"/>
      <c r="NC1" s="3"/>
      <c r="ND1" s="3"/>
      <c r="NE1" s="3"/>
      <c r="NF1" s="3"/>
      <c r="NG1" s="3"/>
      <c r="NH1" s="3"/>
      <c r="NI1" s="3"/>
      <c r="NJ1" s="3"/>
      <c r="NK1" s="3"/>
      <c r="NL1" s="3"/>
      <c r="NM1" s="3"/>
      <c r="NN1" s="3"/>
      <c r="NO1" s="3"/>
      <c r="NP1" s="3"/>
      <c r="NQ1" s="3"/>
      <c r="NR1" s="3"/>
      <c r="NS1" s="3"/>
      <c r="NT1" s="3"/>
      <c r="NU1" s="3"/>
      <c r="NV1" s="3"/>
      <c r="NW1" s="3"/>
      <c r="NX1" s="3"/>
      <c r="NY1" s="3"/>
      <c r="NZ1" s="3"/>
      <c r="OA1" s="3"/>
      <c r="OB1" s="3"/>
      <c r="OC1" s="3"/>
      <c r="OD1" s="3"/>
      <c r="OE1" s="3"/>
      <c r="OF1" s="3"/>
      <c r="OG1" s="3"/>
      <c r="OH1" s="3"/>
      <c r="OI1" s="3"/>
      <c r="OJ1" s="3"/>
      <c r="OK1" s="3"/>
      <c r="OL1" s="3"/>
      <c r="OM1" s="3"/>
      <c r="ON1" s="3"/>
      <c r="OO1" s="3"/>
      <c r="OP1" s="3"/>
      <c r="OQ1" s="3"/>
      <c r="OR1" s="3"/>
      <c r="OS1" s="3"/>
      <c r="OT1" s="3"/>
      <c r="OU1" s="3"/>
      <c r="OV1" s="3"/>
      <c r="OW1" s="3"/>
      <c r="OX1" s="3"/>
      <c r="OY1" s="3"/>
      <c r="OZ1" s="3"/>
      <c r="PA1" s="3"/>
      <c r="PB1" s="3"/>
      <c r="PC1" s="3"/>
      <c r="PD1" s="3"/>
      <c r="PE1" s="3"/>
      <c r="PF1" s="3"/>
      <c r="PG1" s="3"/>
      <c r="PH1" s="3"/>
      <c r="PI1" s="3"/>
      <c r="PJ1" s="3"/>
      <c r="PK1" s="3"/>
      <c r="PL1" s="3"/>
      <c r="PM1" s="3"/>
      <c r="PN1" s="3"/>
      <c r="PO1" s="3"/>
      <c r="PP1" s="3"/>
      <c r="PQ1" s="3"/>
      <c r="PR1" s="3"/>
      <c r="PS1" s="3"/>
      <c r="PT1" s="3"/>
      <c r="PU1" s="3"/>
      <c r="PV1" s="3"/>
      <c r="PW1" s="3"/>
      <c r="PX1" s="3"/>
      <c r="PY1" s="3"/>
      <c r="PZ1" s="3"/>
      <c r="QA1" s="3"/>
      <c r="QB1" s="3"/>
      <c r="QC1" s="3"/>
      <c r="QD1" s="3"/>
      <c r="QE1" s="3"/>
      <c r="QF1" s="3"/>
      <c r="QG1" s="3"/>
      <c r="QH1" s="3"/>
      <c r="QI1" s="3"/>
      <c r="QJ1" s="3"/>
      <c r="QK1" s="3"/>
      <c r="QL1" s="3"/>
      <c r="QM1" s="3"/>
      <c r="QN1" s="3"/>
      <c r="QO1" s="3"/>
      <c r="QP1" s="3"/>
      <c r="QQ1" s="3"/>
      <c r="QR1" s="3"/>
      <c r="QS1" s="3"/>
      <c r="QT1" s="3"/>
      <c r="QU1" s="3"/>
      <c r="QV1" s="3"/>
      <c r="QW1" s="3"/>
      <c r="QX1" s="3"/>
      <c r="QY1" s="3"/>
      <c r="QZ1" s="3"/>
      <c r="RA1" s="3"/>
      <c r="RB1" s="3"/>
      <c r="RC1" s="3"/>
      <c r="RD1" s="3"/>
      <c r="RE1" s="3"/>
      <c r="RF1" s="3"/>
      <c r="RG1" s="3"/>
      <c r="RH1" s="3"/>
      <c r="RI1" s="3"/>
      <c r="RJ1" s="3"/>
      <c r="RK1" s="3"/>
      <c r="RL1" s="3"/>
      <c r="RM1" s="3"/>
      <c r="RN1" s="3"/>
      <c r="RO1" s="3"/>
      <c r="RP1" s="3"/>
      <c r="RQ1" s="3"/>
      <c r="RR1" s="3"/>
      <c r="RS1" s="3"/>
      <c r="RT1" s="3"/>
      <c r="RU1" s="3"/>
      <c r="RV1" s="3"/>
      <c r="RW1" s="3"/>
      <c r="RX1" s="3"/>
      <c r="RY1" s="3"/>
      <c r="RZ1" s="3"/>
      <c r="SA1" s="3"/>
      <c r="SB1" s="3"/>
      <c r="SC1" s="3"/>
      <c r="SD1" s="3"/>
      <c r="SE1" s="3"/>
      <c r="SF1" s="3"/>
      <c r="SG1" s="3"/>
      <c r="SH1" s="3"/>
      <c r="SI1" s="3"/>
      <c r="SJ1" s="3"/>
      <c r="SK1" s="3"/>
      <c r="SL1" s="3"/>
      <c r="SM1" s="3"/>
      <c r="SN1" s="3"/>
      <c r="SO1" s="3"/>
      <c r="SP1" s="3"/>
      <c r="SQ1" s="3"/>
      <c r="SR1" s="3"/>
      <c r="SS1" s="3"/>
      <c r="ST1" s="3"/>
      <c r="SU1" s="3"/>
      <c r="SV1" s="3"/>
      <c r="SW1" s="3"/>
      <c r="SX1" s="3"/>
      <c r="SY1" s="3"/>
      <c r="SZ1" s="3"/>
      <c r="TA1" s="3"/>
      <c r="TB1" s="3"/>
      <c r="TC1" s="3"/>
      <c r="TD1" s="3"/>
      <c r="TE1" s="3"/>
      <c r="TF1" s="3"/>
      <c r="TG1" s="3"/>
      <c r="TH1" s="3"/>
      <c r="TI1" s="3"/>
      <c r="TJ1" s="3"/>
      <c r="TK1" s="3"/>
      <c r="TL1" s="3"/>
      <c r="TM1" s="3"/>
      <c r="TN1" s="3"/>
      <c r="TO1" s="3"/>
      <c r="TP1" s="3"/>
      <c r="TQ1" s="3"/>
      <c r="TR1" s="3"/>
      <c r="TS1" s="3"/>
      <c r="TT1" s="3"/>
      <c r="TU1" s="3"/>
      <c r="TV1" s="3"/>
      <c r="TW1" s="3"/>
      <c r="TX1" s="3"/>
      <c r="TY1" s="3"/>
      <c r="TZ1" s="3"/>
      <c r="UA1" s="3"/>
      <c r="UB1" s="3"/>
      <c r="UC1" s="3"/>
      <c r="UD1" s="3"/>
      <c r="UE1" s="3"/>
      <c r="UF1" s="3"/>
      <c r="UG1" s="3"/>
      <c r="UH1" s="3"/>
      <c r="UI1" s="3"/>
      <c r="UJ1" s="3"/>
      <c r="UK1" s="3"/>
      <c r="UL1" s="3"/>
      <c r="UM1" s="3"/>
      <c r="UN1" s="3"/>
      <c r="UO1" s="3"/>
      <c r="UP1" s="3"/>
      <c r="UQ1" s="3"/>
      <c r="UR1" s="3"/>
      <c r="US1" s="3"/>
      <c r="UT1" s="3"/>
      <c r="UU1" s="3"/>
      <c r="UV1" s="3"/>
      <c r="UW1" s="3"/>
      <c r="UX1" s="3"/>
      <c r="UY1" s="3"/>
      <c r="UZ1" s="3"/>
      <c r="VA1" s="3"/>
      <c r="VB1" s="3"/>
      <c r="VC1" s="3"/>
      <c r="VD1" s="3"/>
      <c r="VE1" s="3"/>
      <c r="VF1" s="3"/>
      <c r="VG1" s="3"/>
      <c r="VH1" s="3"/>
      <c r="VI1" s="3"/>
      <c r="VJ1" s="3"/>
      <c r="VK1" s="3"/>
      <c r="VL1" s="3"/>
      <c r="VM1" s="3"/>
      <c r="VN1" s="3"/>
      <c r="VO1" s="3"/>
      <c r="VP1" s="3"/>
      <c r="VQ1" s="3"/>
      <c r="VR1" s="3"/>
      <c r="VS1" s="3"/>
      <c r="VT1" s="3"/>
      <c r="VU1" s="3"/>
      <c r="VV1" s="3"/>
      <c r="VW1" s="3"/>
      <c r="VX1" s="3"/>
      <c r="VY1" s="3"/>
      <c r="VZ1" s="3"/>
      <c r="WA1" s="3"/>
      <c r="WB1" s="3"/>
      <c r="WC1" s="3"/>
      <c r="WD1" s="3"/>
      <c r="WE1" s="3"/>
      <c r="WF1" s="3"/>
      <c r="WG1" s="3"/>
      <c r="WH1" s="3"/>
      <c r="WI1" s="3"/>
      <c r="WJ1" s="3"/>
      <c r="WK1" s="3"/>
      <c r="WL1" s="3"/>
      <c r="WM1" s="3"/>
      <c r="WN1" s="3"/>
      <c r="WO1" s="3"/>
      <c r="WP1" s="3"/>
      <c r="WQ1" s="3"/>
      <c r="WR1" s="3"/>
      <c r="WS1" s="3"/>
      <c r="WT1" s="3"/>
      <c r="WU1" s="3"/>
      <c r="WV1" s="3"/>
      <c r="WW1" s="3"/>
      <c r="WX1" s="3"/>
      <c r="WY1" s="3"/>
      <c r="WZ1" s="3"/>
      <c r="XA1" s="3"/>
      <c r="XB1" s="3"/>
      <c r="XC1" s="3"/>
      <c r="XD1" s="3"/>
      <c r="XE1" s="3"/>
      <c r="XF1" s="3"/>
      <c r="XG1" s="3"/>
      <c r="XH1" s="3"/>
      <c r="XI1" s="3"/>
      <c r="XJ1" s="3"/>
      <c r="XK1" s="3"/>
      <c r="XL1" s="3"/>
      <c r="XM1" s="3"/>
      <c r="XN1" s="3"/>
      <c r="XO1" s="3"/>
      <c r="XP1" s="3"/>
      <c r="XQ1" s="3"/>
      <c r="XR1" s="3"/>
      <c r="XS1" s="3"/>
      <c r="XT1" s="3"/>
      <c r="XU1" s="3"/>
      <c r="XV1" s="3"/>
      <c r="XW1" s="3"/>
      <c r="XX1" s="3"/>
      <c r="XY1" s="3"/>
      <c r="XZ1" s="3"/>
      <c r="YA1" s="3"/>
      <c r="YB1" s="3"/>
      <c r="YC1" s="3"/>
      <c r="YD1" s="3"/>
      <c r="YE1" s="3"/>
      <c r="YF1" s="3"/>
      <c r="YG1" s="3"/>
      <c r="YH1" s="3"/>
      <c r="YI1" s="3"/>
      <c r="YJ1" s="3"/>
      <c r="YK1" s="3"/>
      <c r="YL1" s="3"/>
      <c r="YM1" s="3"/>
      <c r="YN1" s="3"/>
      <c r="YO1" s="3"/>
      <c r="YP1" s="3"/>
      <c r="YQ1" s="3"/>
      <c r="YR1" s="3"/>
      <c r="YS1" s="3"/>
      <c r="YT1" s="3"/>
      <c r="YU1" s="3"/>
      <c r="YV1" s="3"/>
      <c r="YW1" s="3"/>
      <c r="YX1" s="3"/>
      <c r="YY1" s="3"/>
      <c r="YZ1" s="3"/>
      <c r="ZA1" s="3"/>
      <c r="ZB1" s="3"/>
      <c r="ZC1" s="3"/>
      <c r="ZD1" s="3"/>
      <c r="ZE1" s="3"/>
      <c r="ZF1" s="3"/>
      <c r="ZG1" s="3"/>
      <c r="ZH1" s="3"/>
      <c r="ZI1" s="3"/>
      <c r="ZJ1" s="3"/>
      <c r="ZK1" s="3"/>
      <c r="ZL1" s="3"/>
      <c r="ZM1" s="3"/>
      <c r="ZN1" s="3"/>
      <c r="ZO1" s="3"/>
      <c r="ZP1" s="3"/>
      <c r="ZQ1" s="3"/>
      <c r="ZR1" s="3"/>
      <c r="ZS1" s="3"/>
      <c r="ZT1" s="3"/>
      <c r="ZU1" s="3"/>
      <c r="ZV1" s="3"/>
      <c r="ZW1" s="3"/>
      <c r="ZX1" s="3"/>
      <c r="ZY1" s="3"/>
      <c r="ZZ1" s="3"/>
      <c r="AAA1" s="3"/>
      <c r="AAB1" s="3"/>
      <c r="AAC1" s="3"/>
      <c r="AAD1" s="3"/>
      <c r="AAE1" s="3"/>
      <c r="AAF1" s="3"/>
      <c r="AAG1" s="3"/>
      <c r="AAH1" s="3"/>
      <c r="AAI1" s="3"/>
      <c r="AAJ1" s="3"/>
      <c r="AAK1" s="3"/>
      <c r="AAL1" s="3"/>
      <c r="AAM1" s="3"/>
      <c r="AAN1" s="3"/>
      <c r="AAO1" s="3"/>
      <c r="AAP1" s="3"/>
      <c r="AAQ1" s="3"/>
      <c r="AAR1" s="3"/>
      <c r="AAS1" s="3"/>
      <c r="AAT1" s="3"/>
      <c r="AAU1" s="3"/>
      <c r="AAV1" s="3"/>
      <c r="AAW1" s="3"/>
      <c r="AAX1" s="3"/>
      <c r="AAY1" s="3"/>
      <c r="AAZ1" s="3"/>
      <c r="ABA1" s="3"/>
      <c r="ABB1" s="3"/>
      <c r="ABC1" s="3"/>
      <c r="ABD1" s="3"/>
      <c r="ABE1" s="3"/>
      <c r="ABF1" s="3"/>
      <c r="ABG1" s="3"/>
      <c r="ABH1" s="3"/>
      <c r="ABI1" s="3"/>
      <c r="ABJ1" s="3"/>
      <c r="ABK1" s="3"/>
      <c r="ABL1" s="3"/>
      <c r="ABM1" s="3"/>
      <c r="ABN1" s="3"/>
      <c r="ABO1" s="3"/>
      <c r="ABP1" s="3"/>
      <c r="ABQ1" s="3"/>
      <c r="ABR1" s="3"/>
      <c r="ABS1" s="3"/>
      <c r="ABT1" s="3"/>
      <c r="ABU1" s="3"/>
      <c r="ABV1" s="3"/>
      <c r="ABW1" s="3"/>
      <c r="ABX1" s="3"/>
      <c r="ABY1" s="3"/>
      <c r="ABZ1" s="3"/>
      <c r="ACA1" s="3"/>
      <c r="ACB1" s="3"/>
      <c r="ACC1" s="3"/>
      <c r="ACD1" s="3"/>
      <c r="ACE1" s="3"/>
      <c r="ACF1" s="3"/>
      <c r="ACG1" s="3"/>
      <c r="ACH1" s="3"/>
      <c r="ACI1" s="3"/>
      <c r="ACJ1" s="3"/>
      <c r="ACK1" s="3"/>
      <c r="ACL1" s="3"/>
      <c r="ACM1" s="3"/>
      <c r="ACN1" s="3"/>
      <c r="ACO1" s="3"/>
      <c r="ACP1" s="3"/>
      <c r="ACQ1" s="3"/>
      <c r="ACR1" s="3"/>
      <c r="ACS1" s="3"/>
      <c r="ACT1" s="3"/>
      <c r="ACU1" s="3"/>
      <c r="ACV1" s="3"/>
      <c r="ACW1" s="3"/>
      <c r="ACX1" s="3"/>
      <c r="ACY1" s="3"/>
      <c r="ACZ1" s="3"/>
      <c r="ADA1" s="3"/>
      <c r="ADB1" s="3"/>
      <c r="ADC1" s="3"/>
      <c r="ADD1" s="3"/>
      <c r="ADE1" s="3"/>
      <c r="ADF1" s="3"/>
      <c r="ADG1" s="3"/>
      <c r="ADH1" s="3"/>
      <c r="ADI1" s="3"/>
      <c r="ADJ1" s="3"/>
      <c r="ADK1" s="3"/>
      <c r="ADL1" s="3"/>
      <c r="ADM1" s="3"/>
      <c r="ADN1" s="3"/>
      <c r="ADO1" s="3"/>
      <c r="ADP1" s="3"/>
      <c r="ADQ1" s="3"/>
      <c r="ADR1" s="3"/>
      <c r="ADS1" s="3"/>
      <c r="ADT1" s="3"/>
      <c r="ADU1" s="3"/>
      <c r="ADV1" s="3"/>
      <c r="ADW1" s="3"/>
      <c r="ADX1" s="3"/>
      <c r="ADY1" s="3"/>
      <c r="ADZ1" s="3"/>
      <c r="AEA1" s="3"/>
      <c r="AEB1" s="3"/>
      <c r="AEC1" s="3"/>
      <c r="AED1" s="3"/>
      <c r="AEE1" s="3"/>
      <c r="AEF1" s="3"/>
      <c r="AEG1" s="3"/>
      <c r="AEH1" s="3"/>
      <c r="AEI1" s="3"/>
      <c r="AEJ1" s="3"/>
      <c r="AEK1" s="3"/>
      <c r="AEL1" s="3"/>
      <c r="AEM1" s="3"/>
      <c r="AEN1" s="3"/>
      <c r="AEO1" s="3"/>
      <c r="AEP1" s="3"/>
      <c r="AEQ1" s="3"/>
      <c r="AER1" s="3"/>
      <c r="AES1" s="3"/>
      <c r="AET1" s="3"/>
      <c r="AEU1" s="3"/>
      <c r="AEV1" s="3"/>
      <c r="AEW1" s="3"/>
      <c r="AEX1" s="3"/>
      <c r="AEY1" s="3"/>
      <c r="AEZ1" s="3"/>
      <c r="AFA1" s="3"/>
      <c r="AFB1" s="3"/>
      <c r="AFC1" s="3"/>
      <c r="AFD1" s="3"/>
      <c r="AFE1" s="3"/>
      <c r="AFF1" s="3"/>
      <c r="AFG1" s="3"/>
      <c r="AFH1" s="3"/>
      <c r="AFI1" s="3"/>
      <c r="AFJ1" s="3"/>
      <c r="AFK1" s="3"/>
      <c r="AFL1" s="3"/>
      <c r="AFM1" s="3"/>
      <c r="AFN1" s="3"/>
      <c r="AFO1" s="3"/>
      <c r="AFP1" s="3"/>
      <c r="AFQ1" s="3"/>
      <c r="AFR1" s="3"/>
      <c r="AFS1" s="3"/>
      <c r="AFT1" s="3"/>
      <c r="AFU1" s="3"/>
      <c r="AFV1" s="3"/>
      <c r="AFW1" s="3"/>
      <c r="AFX1" s="3"/>
      <c r="AFY1" s="3"/>
      <c r="AFZ1" s="3"/>
      <c r="AGA1" s="3"/>
      <c r="AGB1" s="3"/>
      <c r="AGC1" s="3"/>
      <c r="AGD1" s="3"/>
      <c r="AGE1" s="3"/>
      <c r="AGF1" s="3"/>
      <c r="AGG1" s="3"/>
      <c r="AGH1" s="3"/>
      <c r="AGI1" s="3"/>
      <c r="AGJ1" s="3"/>
      <c r="AGK1" s="3"/>
      <c r="AGL1" s="3"/>
      <c r="AGM1" s="3"/>
      <c r="AGN1" s="3"/>
      <c r="AGO1" s="3"/>
      <c r="AGP1" s="3"/>
      <c r="AGQ1" s="3"/>
      <c r="AGR1" s="3"/>
      <c r="AGS1" s="3"/>
      <c r="AGT1" s="3"/>
      <c r="AGU1" s="3"/>
      <c r="AGV1" s="3"/>
      <c r="AGW1" s="3"/>
      <c r="AGX1" s="3"/>
      <c r="AGY1" s="3"/>
      <c r="AGZ1" s="3"/>
      <c r="AHA1" s="3"/>
      <c r="AHB1" s="3"/>
      <c r="AHC1" s="3"/>
      <c r="AHD1" s="3"/>
      <c r="AHE1" s="3"/>
      <c r="AHF1" s="3"/>
      <c r="AHG1" s="3"/>
      <c r="AHH1" s="3"/>
      <c r="AHI1" s="3"/>
      <c r="AHJ1" s="3"/>
      <c r="AHK1" s="3"/>
      <c r="AHL1" s="3"/>
      <c r="AHM1" s="3"/>
      <c r="AHN1" s="3"/>
      <c r="AHO1" s="3"/>
      <c r="AHP1" s="3"/>
      <c r="AHQ1" s="3"/>
      <c r="AHR1" s="3"/>
      <c r="AHS1" s="3"/>
      <c r="AHT1" s="3"/>
      <c r="AHU1" s="3"/>
      <c r="AHV1" s="3"/>
      <c r="AHW1" s="3"/>
      <c r="AHX1" s="3"/>
      <c r="AHY1" s="3"/>
      <c r="AHZ1" s="3"/>
      <c r="AIA1" s="3"/>
      <c r="AIB1" s="3"/>
      <c r="AIC1" s="3"/>
      <c r="AID1" s="3"/>
      <c r="AIE1" s="3"/>
      <c r="AIF1" s="3"/>
      <c r="AIG1" s="3"/>
      <c r="AIH1" s="3"/>
      <c r="AII1" s="3"/>
      <c r="AIJ1" s="3"/>
      <c r="AIK1" s="3"/>
      <c r="AIL1" s="3"/>
      <c r="AIM1" s="3"/>
      <c r="AIN1" s="3"/>
      <c r="AIO1" s="3"/>
      <c r="AIP1" s="3"/>
      <c r="AIQ1" s="3"/>
      <c r="AIR1" s="3"/>
      <c r="AIS1" s="3"/>
      <c r="AIT1" s="3"/>
      <c r="AIU1" s="3"/>
      <c r="AIV1" s="3"/>
      <c r="AIW1" s="3"/>
      <c r="AIX1" s="3"/>
      <c r="AIY1" s="3"/>
      <c r="AIZ1" s="3"/>
      <c r="AJA1" s="3"/>
      <c r="AJB1" s="3"/>
      <c r="AJC1" s="3"/>
      <c r="AJD1" s="3"/>
      <c r="AJE1" s="3"/>
      <c r="AJF1" s="3"/>
      <c r="AJG1" s="3"/>
      <c r="AJH1" s="3"/>
      <c r="AJI1" s="3"/>
      <c r="AJJ1" s="3"/>
      <c r="AJK1" s="3"/>
      <c r="AJL1" s="3"/>
      <c r="AJM1" s="3"/>
      <c r="AJN1" s="3"/>
      <c r="AJO1" s="3"/>
      <c r="AJP1" s="3"/>
      <c r="AJQ1" s="3"/>
      <c r="AJR1" s="3"/>
      <c r="AJS1" s="3"/>
      <c r="AJT1" s="3"/>
      <c r="AJU1" s="3"/>
      <c r="AJV1" s="3"/>
      <c r="AJW1" s="3"/>
      <c r="AJX1" s="3"/>
      <c r="AJY1" s="3"/>
      <c r="AJZ1" s="3"/>
      <c r="AKA1" s="3"/>
      <c r="AKB1" s="3"/>
      <c r="AKC1" s="3"/>
      <c r="AKD1" s="3"/>
      <c r="AKE1" s="3"/>
      <c r="AKF1" s="3"/>
      <c r="AKG1" s="3"/>
      <c r="AKH1" s="3"/>
      <c r="AKI1" s="3"/>
      <c r="AKJ1" s="3"/>
      <c r="AKK1" s="3"/>
      <c r="AKL1" s="3"/>
      <c r="AKM1" s="3"/>
      <c r="AKN1" s="3"/>
      <c r="AKO1" s="3"/>
      <c r="AKP1" s="3"/>
      <c r="AKQ1" s="3"/>
      <c r="AKR1" s="3"/>
      <c r="AKS1" s="3"/>
      <c r="AKT1" s="3"/>
      <c r="AKU1" s="3"/>
      <c r="AKV1" s="3"/>
      <c r="AKW1" s="3"/>
      <c r="AKX1" s="3"/>
      <c r="AKY1" s="3"/>
      <c r="AKZ1" s="3"/>
      <c r="ALA1" s="3"/>
      <c r="ALB1" s="3"/>
      <c r="ALC1" s="3"/>
      <c r="ALD1" s="3"/>
      <c r="ALE1" s="3"/>
      <c r="ALF1" s="3"/>
      <c r="ALG1" s="3"/>
      <c r="ALH1" s="3"/>
      <c r="ALI1" s="3"/>
      <c r="ALJ1" s="3"/>
      <c r="ALK1" s="3"/>
      <c r="ALL1" s="3"/>
      <c r="ALM1" s="3"/>
      <c r="ALN1" s="3"/>
      <c r="ALO1" s="3"/>
      <c r="ALP1" s="3"/>
      <c r="ALQ1" s="3"/>
      <c r="ALR1" s="3"/>
      <c r="ALS1" s="3"/>
      <c r="ALT1" s="3"/>
      <c r="ALU1" s="3"/>
      <c r="ALV1" s="3"/>
      <c r="ALW1" s="3"/>
      <c r="ALX1" s="3"/>
      <c r="ALY1" s="3"/>
      <c r="ALZ1" s="3"/>
      <c r="AMA1" s="3"/>
      <c r="AMB1" s="3"/>
      <c r="AMC1" s="3"/>
      <c r="AMD1" s="3"/>
      <c r="AME1" s="3"/>
      <c r="AMF1" s="3"/>
      <c r="AMG1" s="3"/>
      <c r="AMH1" s="3"/>
      <c r="AMI1" s="3"/>
      <c r="AMJ1" s="3"/>
      <c r="AMK1" s="3"/>
      <c r="AML1" s="3"/>
      <c r="AMM1" s="3"/>
      <c r="AMN1" s="3"/>
      <c r="AMO1" s="3"/>
      <c r="AMP1" s="3"/>
      <c r="AMQ1" s="3"/>
      <c r="AMR1" s="3"/>
      <c r="AMS1" s="3"/>
      <c r="AMT1" s="3"/>
      <c r="AMU1" s="3"/>
      <c r="AMV1" s="3"/>
      <c r="AMW1" s="3"/>
      <c r="AMX1" s="3"/>
      <c r="AMY1" s="3"/>
      <c r="AMZ1" s="3"/>
      <c r="ANA1" s="3"/>
      <c r="ANB1" s="3"/>
      <c r="ANC1" s="3"/>
      <c r="AND1" s="3"/>
      <c r="ANE1" s="3"/>
      <c r="ANF1" s="3"/>
      <c r="ANG1" s="3"/>
      <c r="ANH1" s="3"/>
      <c r="ANI1" s="3"/>
      <c r="ANJ1" s="3"/>
      <c r="ANK1" s="3"/>
      <c r="ANL1" s="3"/>
      <c r="ANM1" s="3"/>
      <c r="ANN1" s="3"/>
      <c r="ANO1" s="3"/>
      <c r="ANP1" s="3"/>
      <c r="ANQ1" s="3"/>
      <c r="ANR1" s="3"/>
      <c r="ANS1" s="3"/>
      <c r="ANT1" s="3"/>
      <c r="ANU1" s="3"/>
      <c r="ANV1" s="3"/>
      <c r="ANW1" s="3"/>
      <c r="ANX1" s="3"/>
      <c r="ANY1" s="3"/>
      <c r="ANZ1" s="3"/>
      <c r="AOA1" s="3"/>
      <c r="AOB1" s="3"/>
      <c r="AOC1" s="3"/>
      <c r="AOD1" s="3"/>
      <c r="AOE1" s="3"/>
      <c r="AOF1" s="3"/>
      <c r="AOG1" s="3"/>
      <c r="AOH1" s="3"/>
      <c r="AOI1" s="3"/>
      <c r="AOJ1" s="3"/>
      <c r="AOK1" s="3"/>
      <c r="AOL1" s="3"/>
      <c r="AOM1" s="3"/>
      <c r="AON1" s="3"/>
      <c r="AOO1" s="3"/>
      <c r="AOP1" s="3"/>
      <c r="AOQ1" s="3"/>
      <c r="AOR1" s="3"/>
      <c r="AOS1" s="3"/>
      <c r="AOT1" s="3"/>
      <c r="AOU1" s="3"/>
      <c r="AOV1" s="3"/>
      <c r="AOW1" s="3"/>
      <c r="AOX1" s="3"/>
      <c r="AOY1" s="3"/>
      <c r="AOZ1" s="3"/>
      <c r="APA1" s="3"/>
      <c r="APB1" s="3"/>
      <c r="APC1" s="3"/>
      <c r="APD1" s="3"/>
      <c r="APE1" s="3"/>
      <c r="APF1" s="3"/>
      <c r="APG1" s="3"/>
      <c r="APH1" s="3"/>
      <c r="API1" s="3"/>
      <c r="APJ1" s="3"/>
      <c r="APK1" s="3"/>
      <c r="APL1" s="3"/>
      <c r="APM1" s="3"/>
      <c r="APN1" s="3"/>
      <c r="APO1" s="3"/>
      <c r="APP1" s="3"/>
      <c r="APQ1" s="3"/>
      <c r="APR1" s="3"/>
      <c r="APS1" s="3"/>
      <c r="APT1" s="3"/>
      <c r="APU1" s="3"/>
      <c r="APV1" s="3"/>
      <c r="APW1" s="3"/>
      <c r="APX1" s="3"/>
      <c r="APY1" s="3"/>
      <c r="APZ1" s="3"/>
      <c r="AQA1" s="3"/>
      <c r="AQB1" s="3"/>
      <c r="AQC1" s="3"/>
      <c r="AQD1" s="3"/>
      <c r="AQE1" s="3"/>
      <c r="AQF1" s="3"/>
      <c r="AQG1" s="3"/>
      <c r="AQH1" s="3"/>
      <c r="AQI1" s="3"/>
      <c r="AQJ1" s="3"/>
      <c r="AQK1" s="3"/>
      <c r="AQL1" s="3"/>
      <c r="AQM1" s="3"/>
      <c r="AQN1" s="3"/>
      <c r="AQO1" s="3"/>
      <c r="AQP1" s="3"/>
      <c r="AQQ1" s="3"/>
      <c r="AQR1" s="3"/>
      <c r="AQS1" s="3"/>
      <c r="AQT1" s="3"/>
      <c r="AQU1" s="3"/>
      <c r="AQV1" s="3"/>
      <c r="AQW1" s="3"/>
      <c r="AQX1" s="3"/>
      <c r="AQY1" s="3"/>
      <c r="AQZ1" s="3"/>
      <c r="ARA1" s="3"/>
      <c r="ARB1" s="3"/>
      <c r="ARC1" s="3"/>
      <c r="ARD1" s="3"/>
      <c r="ARE1" s="3"/>
      <c r="ARF1" s="3"/>
      <c r="ARG1" s="3"/>
      <c r="ARH1" s="3"/>
      <c r="ARI1" s="3"/>
      <c r="ARJ1" s="3"/>
      <c r="ARK1" s="3"/>
      <c r="ARL1" s="3"/>
      <c r="ARM1" s="3"/>
      <c r="ARN1" s="3"/>
      <c r="ARO1" s="3"/>
      <c r="ARP1" s="3"/>
      <c r="ARQ1" s="3"/>
      <c r="ARR1" s="3"/>
      <c r="ARS1" s="3"/>
      <c r="ART1" s="3"/>
      <c r="ARU1" s="3"/>
      <c r="ARV1" s="3"/>
      <c r="ARW1" s="3"/>
      <c r="ARX1" s="3"/>
      <c r="ARY1" s="3"/>
      <c r="ARZ1" s="3"/>
      <c r="ASA1" s="3"/>
      <c r="ASB1" s="3"/>
      <c r="ASC1" s="3"/>
      <c r="ASD1" s="3"/>
      <c r="ASE1" s="3"/>
      <c r="ASF1" s="3"/>
      <c r="ASG1" s="3"/>
      <c r="ASH1" s="3"/>
      <c r="ASI1" s="3"/>
      <c r="ASJ1" s="3"/>
      <c r="ASK1" s="3"/>
      <c r="ASL1" s="3"/>
      <c r="ASM1" s="3"/>
      <c r="ASN1" s="3"/>
      <c r="ASO1" s="3"/>
      <c r="ASP1" s="3"/>
      <c r="ASQ1" s="3"/>
      <c r="ASR1" s="3"/>
      <c r="ASS1" s="3"/>
      <c r="AST1" s="3"/>
      <c r="ASU1" s="3"/>
      <c r="ASV1" s="3"/>
      <c r="ASW1" s="3"/>
      <c r="ASX1" s="3"/>
      <c r="ASY1" s="3"/>
      <c r="ASZ1" s="3"/>
      <c r="ATA1" s="3"/>
      <c r="ATB1" s="3"/>
      <c r="ATC1" s="3"/>
      <c r="ATD1" s="3"/>
      <c r="ATE1" s="3"/>
      <c r="ATF1" s="3"/>
      <c r="ATG1" s="3"/>
      <c r="ATH1" s="3"/>
      <c r="ATI1" s="3"/>
      <c r="ATJ1" s="3"/>
      <c r="ATK1" s="3"/>
      <c r="ATL1" s="3"/>
      <c r="ATM1" s="3"/>
      <c r="ATN1" s="3"/>
      <c r="ATO1" s="3"/>
      <c r="ATP1" s="3"/>
      <c r="ATQ1" s="3"/>
      <c r="ATR1" s="3"/>
      <c r="ATS1" s="3"/>
      <c r="ATT1" s="3"/>
      <c r="ATU1" s="3"/>
      <c r="ATV1" s="3"/>
      <c r="ATW1" s="3"/>
      <c r="ATX1" s="3"/>
      <c r="ATY1" s="3"/>
      <c r="ATZ1" s="3"/>
      <c r="AUA1" s="3"/>
      <c r="AUB1" s="3"/>
      <c r="AUC1" s="3"/>
      <c r="AUD1" s="3"/>
      <c r="AUE1" s="3"/>
      <c r="AUF1" s="3"/>
      <c r="AUG1" s="3"/>
      <c r="AUH1" s="3"/>
      <c r="AUI1" s="3"/>
      <c r="AUJ1" s="3"/>
      <c r="AUK1" s="3"/>
      <c r="AUL1" s="3"/>
      <c r="AUM1" s="3"/>
      <c r="AUN1" s="3"/>
      <c r="AUO1" s="3"/>
      <c r="AUP1" s="3"/>
      <c r="AUQ1" s="3"/>
      <c r="AUR1" s="3"/>
      <c r="AUS1" s="3"/>
      <c r="AUT1" s="3"/>
      <c r="AUU1" s="3"/>
      <c r="AUV1" s="3"/>
      <c r="AUW1" s="3"/>
      <c r="AUX1" s="3"/>
      <c r="AUY1" s="3"/>
      <c r="AUZ1" s="3"/>
      <c r="AVA1" s="3"/>
      <c r="AVB1" s="3"/>
      <c r="AVC1" s="3"/>
      <c r="AVD1" s="3"/>
      <c r="AVE1" s="3"/>
      <c r="AVF1" s="3"/>
      <c r="AVG1" s="3"/>
      <c r="AVH1" s="3"/>
      <c r="AVI1" s="3"/>
      <c r="AVJ1" s="3"/>
      <c r="AVK1" s="3"/>
      <c r="AVL1" s="3"/>
      <c r="AVM1" s="3"/>
      <c r="AVN1" s="3"/>
      <c r="AVO1" s="3"/>
      <c r="AVP1" s="3"/>
      <c r="AVQ1" s="3"/>
      <c r="AVR1" s="3"/>
      <c r="AVS1" s="3"/>
      <c r="AVT1" s="3"/>
      <c r="AVU1" s="3"/>
      <c r="AVV1" s="3"/>
      <c r="AVW1" s="3"/>
      <c r="AVX1" s="3"/>
      <c r="AVY1" s="3"/>
      <c r="AVZ1" s="3"/>
      <c r="AWA1" s="3"/>
      <c r="AWB1" s="3"/>
      <c r="AWC1" s="3"/>
      <c r="AWD1" s="3"/>
      <c r="AWE1" s="3"/>
      <c r="AWF1" s="3"/>
      <c r="AWG1" s="3"/>
      <c r="AWH1" s="3"/>
      <c r="AWI1" s="3"/>
      <c r="AWJ1" s="3"/>
      <c r="AWK1" s="3"/>
      <c r="AWL1" s="3"/>
      <c r="AWM1" s="3"/>
      <c r="AWN1" s="3"/>
      <c r="AWO1" s="3"/>
      <c r="AWP1" s="3"/>
      <c r="AWQ1" s="3"/>
      <c r="AWR1" s="3"/>
      <c r="AWS1" s="3"/>
      <c r="AWT1" s="3"/>
      <c r="AWU1" s="3"/>
      <c r="AWV1" s="3"/>
      <c r="AWW1" s="3"/>
      <c r="AWX1" s="3"/>
      <c r="AWY1" s="3"/>
      <c r="AWZ1" s="3"/>
      <c r="AXA1" s="3"/>
      <c r="AXB1" s="3"/>
      <c r="AXC1" s="3"/>
      <c r="AXD1" s="3"/>
      <c r="AXE1" s="3"/>
      <c r="AXF1" s="3"/>
      <c r="AXG1" s="3"/>
      <c r="AXH1" s="3"/>
      <c r="AXI1" s="3"/>
      <c r="AXJ1" s="3"/>
      <c r="AXK1" s="3"/>
      <c r="AXL1" s="3"/>
      <c r="AXM1" s="3"/>
      <c r="AXN1" s="3"/>
      <c r="AXO1" s="3"/>
      <c r="AXP1" s="3"/>
      <c r="AXQ1" s="3"/>
      <c r="AXR1" s="3"/>
      <c r="AXS1" s="3"/>
      <c r="AXT1" s="3"/>
      <c r="AXU1" s="3"/>
      <c r="AXV1" s="3"/>
      <c r="AXW1" s="3"/>
      <c r="AXX1" s="3"/>
      <c r="AXY1" s="3"/>
      <c r="AXZ1" s="3"/>
      <c r="AYA1" s="3"/>
      <c r="AYB1" s="3"/>
      <c r="AYC1" s="3"/>
      <c r="AYD1" s="3"/>
      <c r="AYE1" s="3"/>
      <c r="AYF1" s="3"/>
      <c r="AYG1" s="3"/>
      <c r="AYH1" s="3"/>
      <c r="AYI1" s="3"/>
      <c r="AYJ1" s="3"/>
      <c r="AYK1" s="3"/>
      <c r="AYL1" s="3"/>
      <c r="AYM1" s="3"/>
      <c r="AYN1" s="3"/>
      <c r="AYO1" s="3"/>
      <c r="AYP1" s="3"/>
      <c r="AYQ1" s="3"/>
      <c r="AYR1" s="3"/>
      <c r="AYS1" s="3"/>
      <c r="AYT1" s="3"/>
      <c r="AYU1" s="3"/>
      <c r="AYV1" s="3"/>
      <c r="AYW1" s="3"/>
      <c r="AYX1" s="3"/>
      <c r="AYY1" s="3"/>
      <c r="AYZ1" s="3"/>
      <c r="AZA1" s="3"/>
      <c r="AZB1" s="3"/>
      <c r="AZC1" s="3"/>
      <c r="AZD1" s="3"/>
      <c r="AZE1" s="3"/>
      <c r="AZF1" s="3"/>
      <c r="AZG1" s="3"/>
      <c r="AZH1" s="3"/>
      <c r="AZI1" s="3"/>
      <c r="AZJ1" s="3"/>
      <c r="AZK1" s="3"/>
      <c r="AZL1" s="3"/>
      <c r="AZM1" s="3"/>
      <c r="AZN1" s="3"/>
      <c r="AZO1" s="3"/>
      <c r="AZP1" s="3"/>
      <c r="AZQ1" s="3"/>
      <c r="AZR1" s="3"/>
      <c r="AZS1" s="3"/>
      <c r="AZT1" s="3"/>
      <c r="AZU1" s="3"/>
      <c r="AZV1" s="3"/>
      <c r="AZW1" s="3"/>
      <c r="AZX1" s="3"/>
      <c r="AZY1" s="3"/>
      <c r="AZZ1" s="3"/>
      <c r="BAA1" s="3"/>
      <c r="BAB1" s="3"/>
      <c r="BAC1" s="3"/>
      <c r="BAD1" s="3"/>
      <c r="BAE1" s="3"/>
      <c r="BAF1" s="3"/>
      <c r="BAG1" s="3"/>
      <c r="BAH1" s="3"/>
      <c r="BAI1" s="3"/>
      <c r="BAJ1" s="3"/>
      <c r="BAK1" s="3"/>
      <c r="BAL1" s="3"/>
      <c r="BAM1" s="3"/>
      <c r="BAN1" s="3"/>
      <c r="BAO1" s="3"/>
      <c r="BAP1" s="3"/>
      <c r="BAQ1" s="3"/>
      <c r="BAR1" s="3"/>
      <c r="BAS1" s="3"/>
      <c r="BAT1" s="3"/>
      <c r="BAU1" s="3"/>
      <c r="BAV1" s="3"/>
      <c r="BAW1" s="3"/>
      <c r="BAX1" s="3"/>
      <c r="BAY1" s="3"/>
      <c r="BAZ1" s="3"/>
      <c r="BBA1" s="3"/>
      <c r="BBB1" s="3"/>
      <c r="BBC1" s="3"/>
      <c r="BBD1" s="3"/>
      <c r="BBE1" s="3"/>
      <c r="BBF1" s="3"/>
      <c r="BBG1" s="3"/>
      <c r="BBH1" s="3"/>
      <c r="BBI1" s="3"/>
      <c r="BBJ1" s="3"/>
      <c r="BBK1" s="3"/>
      <c r="BBL1" s="3"/>
      <c r="BBM1" s="3"/>
      <c r="BBN1" s="3"/>
      <c r="BBO1" s="3"/>
      <c r="BBP1" s="3"/>
      <c r="BBQ1" s="3"/>
      <c r="BBR1" s="3"/>
      <c r="BBS1" s="3"/>
      <c r="BBT1" s="3"/>
      <c r="BBU1" s="3"/>
      <c r="BBV1" s="3"/>
      <c r="BBW1" s="3"/>
      <c r="BBX1" s="3"/>
      <c r="BBY1" s="3"/>
      <c r="BBZ1" s="3"/>
      <c r="BCA1" s="3"/>
      <c r="BCB1" s="3"/>
      <c r="BCC1" s="3"/>
      <c r="BCD1" s="3"/>
      <c r="BCE1" s="3"/>
      <c r="BCF1" s="3"/>
      <c r="BCG1" s="3"/>
      <c r="BCH1" s="3"/>
      <c r="BCI1" s="3"/>
      <c r="BCJ1" s="3"/>
      <c r="BCK1" s="3"/>
      <c r="BCL1" s="3"/>
      <c r="BCM1" s="3"/>
      <c r="BCN1" s="3"/>
      <c r="BCO1" s="3"/>
      <c r="BCP1" s="3"/>
      <c r="BCQ1" s="3"/>
      <c r="BCR1" s="3"/>
      <c r="BCS1" s="3"/>
      <c r="BCT1" s="3"/>
      <c r="BCU1" s="3"/>
      <c r="BCV1" s="3"/>
      <c r="BCW1" s="3"/>
      <c r="BCX1" s="3"/>
      <c r="BCY1" s="3"/>
      <c r="BCZ1" s="3"/>
      <c r="BDA1" s="3"/>
      <c r="BDB1" s="3"/>
      <c r="BDC1" s="3"/>
      <c r="BDD1" s="3"/>
      <c r="BDE1" s="3"/>
      <c r="BDF1" s="3"/>
      <c r="BDG1" s="3"/>
      <c r="BDH1" s="3"/>
      <c r="BDI1" s="3"/>
      <c r="BDJ1" s="3"/>
      <c r="BDK1" s="3"/>
      <c r="BDL1" s="3"/>
      <c r="BDM1" s="3"/>
      <c r="BDN1" s="3"/>
      <c r="BDO1" s="3"/>
      <c r="BDP1" s="3"/>
      <c r="BDQ1" s="3"/>
      <c r="BDR1" s="3"/>
      <c r="BDS1" s="3"/>
      <c r="BDT1" s="3"/>
      <c r="BDU1" s="3"/>
      <c r="BDV1" s="3"/>
      <c r="BDW1" s="3"/>
      <c r="BDX1" s="3"/>
      <c r="BDY1" s="3"/>
      <c r="BDZ1" s="3"/>
      <c r="BEA1" s="3"/>
      <c r="BEB1" s="3"/>
      <c r="BEC1" s="3"/>
      <c r="BED1" s="3"/>
      <c r="BEE1" s="3"/>
      <c r="BEF1" s="3"/>
      <c r="BEG1" s="3"/>
      <c r="BEH1" s="3"/>
      <c r="BEI1" s="3"/>
      <c r="BEJ1" s="3"/>
      <c r="BEK1" s="3"/>
      <c r="BEL1" s="3"/>
      <c r="BEM1" s="3"/>
      <c r="BEN1" s="3"/>
      <c r="BEO1" s="3"/>
      <c r="BEP1" s="3"/>
      <c r="BEQ1" s="3"/>
      <c r="BER1" s="3"/>
      <c r="BES1" s="3"/>
      <c r="BET1" s="3"/>
      <c r="BEU1" s="3"/>
      <c r="BEV1" s="3"/>
      <c r="BEW1" s="3"/>
      <c r="BEX1" s="3"/>
      <c r="BEY1" s="3"/>
      <c r="BEZ1" s="3"/>
      <c r="BFA1" s="3"/>
      <c r="BFB1" s="3"/>
      <c r="BFC1" s="3"/>
      <c r="BFD1" s="3"/>
      <c r="BFE1" s="3"/>
      <c r="BFF1" s="3"/>
      <c r="BFG1" s="3"/>
      <c r="BFH1" s="3"/>
      <c r="BFI1" s="3"/>
      <c r="BFJ1" s="3"/>
      <c r="BFK1" s="3"/>
      <c r="BFL1" s="3"/>
      <c r="BFM1" s="3"/>
      <c r="BFN1" s="3"/>
      <c r="BFO1" s="3"/>
      <c r="BFP1" s="3"/>
      <c r="BFQ1" s="3"/>
      <c r="BFR1" s="3"/>
      <c r="BFS1" s="3"/>
      <c r="BFT1" s="3"/>
      <c r="BFU1" s="3"/>
      <c r="BFV1" s="3"/>
      <c r="BFW1" s="3"/>
      <c r="BFX1" s="3"/>
      <c r="BFY1" s="3"/>
      <c r="BFZ1" s="3"/>
      <c r="BGA1" s="3"/>
      <c r="BGB1" s="3"/>
      <c r="BGC1" s="3"/>
      <c r="BGD1" s="3"/>
      <c r="BGE1" s="3"/>
      <c r="BGF1" s="3"/>
      <c r="BGG1" s="3"/>
      <c r="BGH1" s="3"/>
      <c r="BGI1" s="3"/>
      <c r="BGJ1" s="3"/>
      <c r="BGK1" s="3"/>
      <c r="BGL1" s="3"/>
      <c r="BGM1" s="3"/>
      <c r="BGN1" s="3"/>
      <c r="BGO1" s="3"/>
      <c r="BGP1" s="3"/>
      <c r="BGQ1" s="3"/>
      <c r="BGR1" s="3"/>
      <c r="BGS1" s="3"/>
      <c r="BGT1" s="3"/>
      <c r="BGU1" s="3"/>
      <c r="BGV1" s="3"/>
      <c r="BGW1" s="3"/>
      <c r="BGX1" s="3"/>
      <c r="BGY1" s="3"/>
      <c r="BGZ1" s="3"/>
      <c r="BHA1" s="3"/>
      <c r="BHB1" s="3"/>
      <c r="BHC1" s="3"/>
      <c r="BHD1" s="3"/>
      <c r="BHE1" s="3"/>
      <c r="BHF1" s="3"/>
      <c r="BHG1" s="3"/>
      <c r="BHH1" s="3"/>
      <c r="BHI1" s="3"/>
      <c r="BHJ1" s="3"/>
      <c r="BHK1" s="3"/>
      <c r="BHL1" s="3"/>
      <c r="BHM1" s="3"/>
      <c r="BHN1" s="3"/>
      <c r="BHO1" s="3"/>
      <c r="BHP1" s="3"/>
      <c r="BHQ1" s="3"/>
      <c r="BHR1" s="3"/>
      <c r="BHS1" s="3"/>
      <c r="BHT1" s="3"/>
      <c r="BHU1" s="3"/>
      <c r="BHV1" s="3"/>
      <c r="BHW1" s="3"/>
      <c r="BHX1" s="3"/>
      <c r="BHY1" s="3"/>
      <c r="BHZ1" s="3"/>
      <c r="BIA1" s="3"/>
      <c r="BIB1" s="3"/>
      <c r="BIC1" s="3"/>
      <c r="BID1" s="3"/>
      <c r="BIE1" s="3"/>
      <c r="BIF1" s="3"/>
      <c r="BIG1" s="3"/>
      <c r="BIH1" s="3"/>
      <c r="BII1" s="3"/>
      <c r="BIJ1" s="3"/>
      <c r="BIK1" s="3"/>
      <c r="BIL1" s="3"/>
      <c r="BIM1" s="3"/>
      <c r="BIN1" s="3"/>
      <c r="BIO1" s="3"/>
      <c r="BIP1" s="3"/>
      <c r="BIQ1" s="3"/>
      <c r="BIR1" s="3"/>
      <c r="BIS1" s="3"/>
      <c r="BIT1" s="3"/>
      <c r="BIU1" s="3"/>
      <c r="BIV1" s="3"/>
      <c r="BIW1" s="3"/>
      <c r="BIX1" s="3"/>
      <c r="BIY1" s="3"/>
      <c r="BIZ1" s="3"/>
      <c r="BJA1" s="3"/>
      <c r="BJB1" s="3"/>
      <c r="BJC1" s="3"/>
      <c r="BJD1" s="3"/>
      <c r="BJE1" s="3"/>
      <c r="BJF1" s="3"/>
      <c r="BJG1" s="3"/>
      <c r="BJH1" s="3"/>
      <c r="BJI1" s="3"/>
      <c r="BJJ1" s="3"/>
      <c r="BJK1" s="3"/>
      <c r="BJL1" s="3"/>
      <c r="BJM1" s="3"/>
      <c r="BJN1" s="3"/>
      <c r="BJO1" s="3"/>
      <c r="BJP1" s="3"/>
      <c r="BJQ1" s="3"/>
      <c r="BJR1" s="3"/>
      <c r="BJS1" s="3"/>
      <c r="BJT1" s="3"/>
      <c r="BJU1" s="3"/>
      <c r="BJV1" s="3"/>
      <c r="BJW1" s="3"/>
      <c r="BJX1" s="3"/>
      <c r="BJY1" s="3"/>
      <c r="BJZ1" s="3"/>
      <c r="BKA1" s="3"/>
      <c r="BKB1" s="3"/>
      <c r="BKC1" s="3"/>
      <c r="BKD1" s="3"/>
      <c r="BKE1" s="3"/>
      <c r="BKF1" s="3"/>
      <c r="BKG1" s="3"/>
      <c r="BKH1" s="3"/>
      <c r="BKI1" s="3"/>
      <c r="BKJ1" s="3"/>
      <c r="BKK1" s="3"/>
      <c r="BKL1" s="3"/>
      <c r="BKM1" s="3"/>
      <c r="BKN1" s="3"/>
      <c r="BKO1" s="3"/>
      <c r="BKP1" s="3"/>
      <c r="BKQ1" s="3"/>
      <c r="BKR1" s="3"/>
      <c r="BKS1" s="3"/>
      <c r="BKT1" s="3"/>
      <c r="BKU1" s="3"/>
      <c r="BKV1" s="3"/>
      <c r="BKW1" s="3"/>
      <c r="BKX1" s="3"/>
      <c r="BKY1" s="3"/>
      <c r="BKZ1" s="3"/>
      <c r="BLA1" s="3"/>
      <c r="BLB1" s="3"/>
      <c r="BLC1" s="3"/>
      <c r="BLD1" s="3"/>
      <c r="BLE1" s="3"/>
      <c r="BLF1" s="3"/>
      <c r="BLG1" s="3"/>
      <c r="BLH1" s="3"/>
      <c r="BLI1" s="3"/>
      <c r="BLJ1" s="3"/>
      <c r="BLK1" s="3"/>
      <c r="BLL1" s="3"/>
      <c r="BLM1" s="3"/>
      <c r="BLN1" s="3"/>
      <c r="BLO1" s="3"/>
      <c r="BLP1" s="3"/>
      <c r="BLQ1" s="3"/>
      <c r="BLR1" s="3"/>
      <c r="BLS1" s="3"/>
      <c r="BLT1" s="3"/>
      <c r="BLU1" s="3"/>
      <c r="BLV1" s="3"/>
      <c r="BLW1" s="3"/>
      <c r="BLX1" s="3"/>
      <c r="BLY1" s="3"/>
      <c r="BLZ1" s="3"/>
      <c r="BMA1" s="3"/>
      <c r="BMB1" s="3"/>
      <c r="BMC1" s="3"/>
      <c r="BMD1" s="3"/>
      <c r="BME1" s="3"/>
      <c r="BMF1" s="3"/>
      <c r="BMG1" s="3"/>
      <c r="BMH1" s="3"/>
      <c r="BMI1" s="3"/>
      <c r="BMJ1" s="3"/>
      <c r="BMK1" s="3"/>
      <c r="BML1" s="3"/>
      <c r="BMM1" s="3"/>
      <c r="BMN1" s="3"/>
      <c r="BMO1" s="3"/>
      <c r="BMP1" s="3"/>
      <c r="BMQ1" s="3"/>
      <c r="BMR1" s="3"/>
      <c r="BMS1" s="3"/>
      <c r="BMT1" s="3"/>
      <c r="BMU1" s="3"/>
      <c r="BMV1" s="3"/>
      <c r="BMW1" s="3"/>
      <c r="BMX1" s="3"/>
      <c r="BMY1" s="3"/>
      <c r="BMZ1" s="3"/>
      <c r="BNA1" s="3"/>
      <c r="BNB1" s="3"/>
      <c r="BNC1" s="3"/>
      <c r="BND1" s="3"/>
      <c r="BNE1" s="3"/>
      <c r="BNF1" s="3"/>
      <c r="BNG1" s="3"/>
      <c r="BNH1" s="3"/>
      <c r="BNI1" s="3"/>
      <c r="BNJ1" s="3"/>
      <c r="BNK1" s="3"/>
      <c r="BNL1" s="3"/>
      <c r="BNM1" s="3"/>
      <c r="BNN1" s="3"/>
      <c r="BNO1" s="3"/>
      <c r="BNP1" s="3"/>
      <c r="BNQ1" s="3"/>
      <c r="BNR1" s="3"/>
      <c r="BNS1" s="3"/>
      <c r="BNT1" s="3"/>
      <c r="BNU1" s="3"/>
      <c r="BNV1" s="3"/>
      <c r="BNW1" s="3"/>
      <c r="BNX1" s="3"/>
      <c r="BNY1" s="3"/>
      <c r="BNZ1" s="3"/>
      <c r="BOA1" s="3"/>
      <c r="BOB1" s="3"/>
      <c r="BOC1" s="3"/>
      <c r="BOD1" s="3"/>
      <c r="BOE1" s="3"/>
      <c r="BOF1" s="3"/>
      <c r="BOG1" s="3"/>
      <c r="BOH1" s="3"/>
      <c r="BOI1" s="3"/>
      <c r="BOJ1" s="3"/>
      <c r="BOK1" s="3"/>
      <c r="BOL1" s="3"/>
      <c r="BOM1" s="3"/>
      <c r="BON1" s="3"/>
      <c r="BOO1" s="3"/>
      <c r="BOP1" s="3"/>
      <c r="BOQ1" s="3"/>
      <c r="BOR1" s="3"/>
      <c r="BOS1" s="3"/>
      <c r="BOT1" s="3"/>
      <c r="BOU1" s="3"/>
      <c r="BOV1" s="3"/>
      <c r="BOW1" s="3"/>
      <c r="BOX1" s="3"/>
      <c r="BOY1" s="3"/>
      <c r="BOZ1" s="3"/>
      <c r="BPA1" s="3"/>
      <c r="BPB1" s="3"/>
      <c r="BPC1" s="3"/>
      <c r="BPD1" s="3"/>
      <c r="BPE1" s="3"/>
      <c r="BPF1" s="3"/>
      <c r="BPG1" s="3"/>
      <c r="BPH1" s="3"/>
      <c r="BPI1" s="3"/>
      <c r="BPJ1" s="3"/>
      <c r="BPK1" s="3"/>
      <c r="BPL1" s="3"/>
      <c r="BPM1" s="3"/>
      <c r="BPN1" s="3"/>
      <c r="BPO1" s="3"/>
      <c r="BPP1" s="3"/>
      <c r="BPQ1" s="3"/>
      <c r="BPR1" s="3"/>
      <c r="BPS1" s="3"/>
      <c r="BPT1" s="3"/>
      <c r="BPU1" s="3"/>
      <c r="BPV1" s="3"/>
      <c r="BPW1" s="3"/>
      <c r="BPX1" s="3"/>
      <c r="BPY1" s="3"/>
      <c r="BPZ1" s="3"/>
      <c r="BQA1" s="3"/>
      <c r="BQB1" s="3"/>
      <c r="BQC1" s="3"/>
      <c r="BQD1" s="3"/>
      <c r="BQE1" s="3"/>
      <c r="BQF1" s="3"/>
      <c r="BQG1" s="3"/>
      <c r="BQH1" s="3"/>
      <c r="BQI1" s="3"/>
      <c r="BQJ1" s="3"/>
      <c r="BQK1" s="3"/>
      <c r="BQL1" s="3"/>
    </row>
    <row r="2" spans="1:1806" ht="15" customHeight="1" x14ac:dyDescent="0.3">
      <c r="A2" s="3" t="s">
        <v>19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  <c r="RD2" s="3"/>
      <c r="RE2" s="3"/>
      <c r="RF2" s="3"/>
      <c r="RG2" s="3"/>
      <c r="RH2" s="3"/>
      <c r="RI2" s="3"/>
      <c r="RJ2" s="3"/>
      <c r="RK2" s="3"/>
      <c r="RL2" s="3"/>
      <c r="RM2" s="3"/>
      <c r="RN2" s="3"/>
      <c r="RO2" s="3"/>
      <c r="RP2" s="3"/>
      <c r="RQ2" s="3"/>
      <c r="RR2" s="3"/>
      <c r="RS2" s="3"/>
      <c r="RT2" s="3"/>
      <c r="RU2" s="3"/>
      <c r="RV2" s="3"/>
      <c r="RW2" s="3"/>
      <c r="RX2" s="3"/>
      <c r="RY2" s="3"/>
      <c r="RZ2" s="3"/>
      <c r="SA2" s="3"/>
      <c r="SB2" s="3"/>
      <c r="SC2" s="3"/>
      <c r="SD2" s="3"/>
      <c r="SE2" s="3"/>
      <c r="SF2" s="3"/>
      <c r="SG2" s="3"/>
      <c r="SH2" s="3"/>
      <c r="SI2" s="3"/>
      <c r="SJ2" s="3"/>
      <c r="SK2" s="3"/>
      <c r="SL2" s="3"/>
      <c r="SM2" s="3"/>
      <c r="SN2" s="3"/>
      <c r="SO2" s="3"/>
      <c r="SP2" s="3"/>
      <c r="SQ2" s="3"/>
      <c r="SR2" s="3"/>
      <c r="SS2" s="3"/>
      <c r="ST2" s="3"/>
      <c r="SU2" s="3"/>
      <c r="SV2" s="3"/>
      <c r="SW2" s="3"/>
      <c r="SX2" s="3"/>
      <c r="SY2" s="3"/>
      <c r="SZ2" s="3"/>
      <c r="TA2" s="3"/>
      <c r="TB2" s="3"/>
      <c r="TC2" s="3"/>
      <c r="TD2" s="3"/>
      <c r="TE2" s="3"/>
      <c r="TF2" s="3"/>
      <c r="TG2" s="3"/>
      <c r="TH2" s="3"/>
      <c r="TI2" s="3"/>
      <c r="TJ2" s="3"/>
      <c r="TK2" s="3"/>
      <c r="TL2" s="3"/>
      <c r="TM2" s="3"/>
      <c r="TN2" s="3"/>
      <c r="TO2" s="3"/>
      <c r="TP2" s="3"/>
      <c r="TQ2" s="3"/>
      <c r="TR2" s="3"/>
      <c r="TS2" s="3"/>
      <c r="TT2" s="3"/>
      <c r="TU2" s="3"/>
      <c r="TV2" s="3"/>
      <c r="TW2" s="3"/>
      <c r="TX2" s="3"/>
      <c r="TY2" s="3"/>
      <c r="TZ2" s="3"/>
      <c r="UA2" s="3"/>
      <c r="UB2" s="3"/>
      <c r="UC2" s="3"/>
      <c r="UD2" s="3"/>
      <c r="UE2" s="3"/>
      <c r="UF2" s="3"/>
      <c r="UG2" s="3"/>
      <c r="UH2" s="3"/>
      <c r="UI2" s="3"/>
      <c r="UJ2" s="3"/>
      <c r="UK2" s="3"/>
      <c r="UL2" s="3"/>
      <c r="UM2" s="3"/>
      <c r="UN2" s="3"/>
      <c r="UO2" s="3"/>
      <c r="UP2" s="3"/>
      <c r="UQ2" s="3"/>
      <c r="UR2" s="3"/>
      <c r="US2" s="3"/>
      <c r="UT2" s="3"/>
      <c r="UU2" s="3"/>
      <c r="UV2" s="3"/>
      <c r="UW2" s="3"/>
      <c r="UX2" s="3"/>
      <c r="UY2" s="3"/>
      <c r="UZ2" s="3"/>
      <c r="VA2" s="3"/>
      <c r="VB2" s="3"/>
      <c r="VC2" s="3"/>
      <c r="VD2" s="3"/>
      <c r="VE2" s="3"/>
      <c r="VF2" s="3"/>
      <c r="VG2" s="3"/>
      <c r="VH2" s="3"/>
      <c r="VI2" s="3"/>
      <c r="VJ2" s="3"/>
      <c r="VK2" s="3"/>
      <c r="VL2" s="3"/>
      <c r="VM2" s="3"/>
      <c r="VN2" s="3"/>
      <c r="VO2" s="3"/>
      <c r="VP2" s="3"/>
      <c r="VQ2" s="3"/>
      <c r="VR2" s="3"/>
      <c r="VS2" s="3"/>
      <c r="VT2" s="3"/>
      <c r="VU2" s="3"/>
      <c r="VV2" s="3"/>
      <c r="VW2" s="3"/>
      <c r="VX2" s="3"/>
      <c r="VY2" s="3"/>
      <c r="VZ2" s="3"/>
      <c r="WA2" s="3"/>
      <c r="WB2" s="3"/>
      <c r="WC2" s="3"/>
      <c r="WD2" s="3"/>
      <c r="WE2" s="3"/>
      <c r="WF2" s="3"/>
      <c r="WG2" s="3"/>
      <c r="WH2" s="3"/>
      <c r="WI2" s="3"/>
      <c r="WJ2" s="3"/>
      <c r="WK2" s="3"/>
      <c r="WL2" s="3"/>
      <c r="WM2" s="3"/>
      <c r="WN2" s="3"/>
      <c r="WO2" s="3"/>
      <c r="WP2" s="3"/>
      <c r="WQ2" s="3"/>
      <c r="WR2" s="3"/>
      <c r="WS2" s="3"/>
      <c r="WT2" s="3"/>
      <c r="WU2" s="3"/>
      <c r="WV2" s="3"/>
      <c r="WW2" s="3"/>
      <c r="WX2" s="3"/>
      <c r="WY2" s="3"/>
      <c r="WZ2" s="3"/>
      <c r="XA2" s="3"/>
      <c r="XB2" s="3"/>
      <c r="XC2" s="3"/>
      <c r="XD2" s="3"/>
      <c r="XE2" s="3"/>
      <c r="XF2" s="3"/>
      <c r="XG2" s="3"/>
      <c r="XH2" s="3"/>
      <c r="XI2" s="3"/>
      <c r="XJ2" s="3"/>
      <c r="XK2" s="3"/>
      <c r="XL2" s="3"/>
      <c r="XM2" s="3"/>
      <c r="XN2" s="3"/>
      <c r="XO2" s="3"/>
      <c r="XP2" s="3"/>
      <c r="XQ2" s="3"/>
      <c r="XR2" s="3"/>
      <c r="XS2" s="3"/>
      <c r="XT2" s="3"/>
      <c r="XU2" s="3"/>
      <c r="XV2" s="3"/>
      <c r="XW2" s="3"/>
      <c r="XX2" s="3"/>
      <c r="XY2" s="3"/>
      <c r="XZ2" s="3"/>
      <c r="YA2" s="3"/>
      <c r="YB2" s="3"/>
      <c r="YC2" s="3"/>
      <c r="YD2" s="3"/>
      <c r="YE2" s="3"/>
      <c r="YF2" s="3"/>
      <c r="YG2" s="3"/>
      <c r="YH2" s="3"/>
      <c r="YI2" s="3"/>
      <c r="YJ2" s="3"/>
      <c r="YK2" s="3"/>
      <c r="YL2" s="3"/>
      <c r="YM2" s="3"/>
      <c r="YN2" s="3"/>
      <c r="YO2" s="3"/>
      <c r="YP2" s="3"/>
      <c r="YQ2" s="3"/>
      <c r="YR2" s="3"/>
      <c r="YS2" s="3"/>
      <c r="YT2" s="3"/>
      <c r="YU2" s="3"/>
      <c r="YV2" s="3"/>
      <c r="YW2" s="3"/>
      <c r="YX2" s="3"/>
      <c r="YY2" s="3"/>
      <c r="YZ2" s="3"/>
      <c r="ZA2" s="3"/>
      <c r="ZB2" s="3"/>
      <c r="ZC2" s="3"/>
      <c r="ZD2" s="3"/>
      <c r="ZE2" s="3"/>
      <c r="ZF2" s="3"/>
      <c r="ZG2" s="3"/>
      <c r="ZH2" s="3"/>
      <c r="ZI2" s="3"/>
      <c r="ZJ2" s="3"/>
      <c r="ZK2" s="3"/>
      <c r="ZL2" s="3"/>
      <c r="ZM2" s="3"/>
      <c r="ZN2" s="3"/>
      <c r="ZO2" s="3"/>
      <c r="ZP2" s="3"/>
      <c r="ZQ2" s="3"/>
      <c r="ZR2" s="3"/>
      <c r="ZS2" s="3"/>
      <c r="ZT2" s="3"/>
      <c r="ZU2" s="3"/>
      <c r="ZV2" s="3"/>
      <c r="ZW2" s="3"/>
      <c r="ZX2" s="3"/>
      <c r="ZY2" s="3"/>
      <c r="ZZ2" s="3"/>
      <c r="AAA2" s="3"/>
      <c r="AAB2" s="3"/>
      <c r="AAC2" s="3"/>
      <c r="AAD2" s="3"/>
      <c r="AAE2" s="3"/>
      <c r="AAF2" s="3"/>
      <c r="AAG2" s="3"/>
      <c r="AAH2" s="3"/>
      <c r="AAI2" s="3"/>
      <c r="AAJ2" s="3"/>
      <c r="AAK2" s="3"/>
      <c r="AAL2" s="3"/>
      <c r="AAM2" s="3"/>
      <c r="AAN2" s="3"/>
      <c r="AAO2" s="3"/>
      <c r="AAP2" s="3"/>
      <c r="AAQ2" s="3"/>
      <c r="AAR2" s="3"/>
      <c r="AAS2" s="3"/>
      <c r="AAT2" s="3"/>
      <c r="AAU2" s="3"/>
      <c r="AAV2" s="3"/>
      <c r="AAW2" s="3"/>
      <c r="AAX2" s="3"/>
      <c r="AAY2" s="3"/>
      <c r="AAZ2" s="3"/>
      <c r="ABA2" s="3"/>
      <c r="ABB2" s="3"/>
      <c r="ABC2" s="3"/>
      <c r="ABD2" s="3"/>
      <c r="ABE2" s="3"/>
      <c r="ABF2" s="3"/>
      <c r="ABG2" s="3"/>
      <c r="ABH2" s="3"/>
      <c r="ABI2" s="3"/>
      <c r="ABJ2" s="3"/>
      <c r="ABK2" s="3"/>
      <c r="ABL2" s="3"/>
      <c r="ABM2" s="3"/>
      <c r="ABN2" s="3"/>
      <c r="ABO2" s="3"/>
      <c r="ABP2" s="3"/>
      <c r="ABQ2" s="3"/>
      <c r="ABR2" s="3"/>
      <c r="ABS2" s="3"/>
      <c r="ABT2" s="3"/>
      <c r="ABU2" s="3"/>
      <c r="ABV2" s="3"/>
      <c r="ABW2" s="3"/>
      <c r="ABX2" s="3"/>
      <c r="ABY2" s="3"/>
      <c r="ABZ2" s="3"/>
      <c r="ACA2" s="3"/>
      <c r="ACB2" s="3"/>
      <c r="ACC2" s="3"/>
      <c r="ACD2" s="3"/>
      <c r="ACE2" s="3"/>
      <c r="ACF2" s="3"/>
      <c r="ACG2" s="3"/>
      <c r="ACH2" s="3"/>
      <c r="ACI2" s="3"/>
      <c r="ACJ2" s="3"/>
      <c r="ACK2" s="3"/>
      <c r="ACL2" s="3"/>
      <c r="ACM2" s="3"/>
      <c r="ACN2" s="3"/>
      <c r="ACO2" s="3"/>
      <c r="ACP2" s="3"/>
      <c r="ACQ2" s="3"/>
      <c r="ACR2" s="3"/>
      <c r="ACS2" s="3"/>
      <c r="ACT2" s="3"/>
      <c r="ACU2" s="3"/>
      <c r="ACV2" s="3"/>
      <c r="ACW2" s="3"/>
      <c r="ACX2" s="3"/>
      <c r="ACY2" s="3"/>
      <c r="ACZ2" s="3"/>
      <c r="ADA2" s="3"/>
      <c r="ADB2" s="3"/>
      <c r="ADC2" s="3"/>
      <c r="ADD2" s="3"/>
      <c r="ADE2" s="3"/>
      <c r="ADF2" s="3"/>
      <c r="ADG2" s="3"/>
      <c r="ADH2" s="3"/>
      <c r="ADI2" s="3"/>
      <c r="ADJ2" s="3"/>
      <c r="ADK2" s="3"/>
      <c r="ADL2" s="3"/>
      <c r="ADM2" s="3"/>
      <c r="ADN2" s="3"/>
      <c r="ADO2" s="3"/>
      <c r="ADP2" s="3"/>
      <c r="ADQ2" s="3"/>
      <c r="ADR2" s="3"/>
      <c r="ADS2" s="3"/>
      <c r="ADT2" s="3"/>
      <c r="ADU2" s="3"/>
      <c r="ADV2" s="3"/>
      <c r="ADW2" s="3"/>
      <c r="ADX2" s="3"/>
      <c r="ADY2" s="3"/>
      <c r="ADZ2" s="3"/>
      <c r="AEA2" s="3"/>
      <c r="AEB2" s="3"/>
      <c r="AEC2" s="3"/>
      <c r="AED2" s="3"/>
      <c r="AEE2" s="3"/>
      <c r="AEF2" s="3"/>
      <c r="AEG2" s="3"/>
      <c r="AEH2" s="3"/>
      <c r="AEI2" s="3"/>
      <c r="AEJ2" s="3"/>
      <c r="AEK2" s="3"/>
      <c r="AEL2" s="3"/>
      <c r="AEM2" s="3"/>
      <c r="AEN2" s="3"/>
      <c r="AEO2" s="3"/>
      <c r="AEP2" s="3"/>
      <c r="AEQ2" s="3"/>
      <c r="AER2" s="3"/>
      <c r="AES2" s="3"/>
      <c r="AET2" s="3"/>
      <c r="AEU2" s="3"/>
      <c r="AEV2" s="3"/>
      <c r="AEW2" s="3"/>
      <c r="AEX2" s="3"/>
      <c r="AEY2" s="3"/>
      <c r="AEZ2" s="3"/>
      <c r="AFA2" s="3"/>
      <c r="AFB2" s="3"/>
      <c r="AFC2" s="3"/>
      <c r="AFD2" s="3"/>
      <c r="AFE2" s="3"/>
      <c r="AFF2" s="3"/>
      <c r="AFG2" s="3"/>
      <c r="AFH2" s="3"/>
      <c r="AFI2" s="3"/>
      <c r="AFJ2" s="3"/>
      <c r="AFK2" s="3"/>
      <c r="AFL2" s="3"/>
      <c r="AFM2" s="3"/>
      <c r="AFN2" s="3"/>
      <c r="AFO2" s="3"/>
      <c r="AFP2" s="3"/>
      <c r="AFQ2" s="3"/>
      <c r="AFR2" s="3"/>
      <c r="AFS2" s="3"/>
      <c r="AFT2" s="3"/>
      <c r="AFU2" s="3"/>
      <c r="AFV2" s="3"/>
      <c r="AFW2" s="3"/>
      <c r="AFX2" s="3"/>
      <c r="AFY2" s="3"/>
      <c r="AFZ2" s="3"/>
      <c r="AGA2" s="3"/>
      <c r="AGB2" s="3"/>
      <c r="AGC2" s="3"/>
      <c r="AGD2" s="3"/>
      <c r="AGE2" s="3"/>
      <c r="AGF2" s="3"/>
      <c r="AGG2" s="3"/>
      <c r="AGH2" s="3"/>
      <c r="AGI2" s="3"/>
      <c r="AGJ2" s="3"/>
      <c r="AGK2" s="3"/>
      <c r="AGL2" s="3"/>
      <c r="AGM2" s="3"/>
      <c r="AGN2" s="3"/>
      <c r="AGO2" s="3"/>
      <c r="AGP2" s="3"/>
      <c r="AGQ2" s="3"/>
      <c r="AGR2" s="3"/>
      <c r="AGS2" s="3"/>
      <c r="AGT2" s="3"/>
      <c r="AGU2" s="3"/>
      <c r="AGV2" s="3"/>
      <c r="AGW2" s="3"/>
      <c r="AGX2" s="3"/>
      <c r="AGY2" s="3"/>
      <c r="AGZ2" s="3"/>
      <c r="AHA2" s="3"/>
      <c r="AHB2" s="3"/>
      <c r="AHC2" s="3"/>
      <c r="AHD2" s="3"/>
      <c r="AHE2" s="3"/>
      <c r="AHF2" s="3"/>
      <c r="AHG2" s="3"/>
      <c r="AHH2" s="3"/>
      <c r="AHI2" s="3"/>
      <c r="AHJ2" s="3"/>
      <c r="AHK2" s="3"/>
      <c r="AHL2" s="3"/>
      <c r="AHM2" s="3"/>
      <c r="AHN2" s="3"/>
      <c r="AHO2" s="3"/>
      <c r="AHP2" s="3"/>
      <c r="AHQ2" s="3"/>
      <c r="AHR2" s="3"/>
      <c r="AHS2" s="3"/>
      <c r="AHT2" s="3"/>
      <c r="AHU2" s="3"/>
      <c r="AHV2" s="3"/>
      <c r="AHW2" s="3"/>
      <c r="AHX2" s="3"/>
      <c r="AHY2" s="3"/>
      <c r="AHZ2" s="3"/>
      <c r="AIA2" s="3"/>
      <c r="AIB2" s="3"/>
      <c r="AIC2" s="3"/>
      <c r="AID2" s="3"/>
      <c r="AIE2" s="3"/>
      <c r="AIF2" s="3"/>
      <c r="AIG2" s="3"/>
      <c r="AIH2" s="3"/>
      <c r="AII2" s="3"/>
      <c r="AIJ2" s="3"/>
      <c r="AIK2" s="3"/>
      <c r="AIL2" s="3"/>
      <c r="AIM2" s="3"/>
      <c r="AIN2" s="3"/>
      <c r="AIO2" s="3"/>
      <c r="AIP2" s="3"/>
      <c r="AIQ2" s="3"/>
      <c r="AIR2" s="3"/>
      <c r="AIS2" s="3"/>
      <c r="AIT2" s="3"/>
      <c r="AIU2" s="3"/>
      <c r="AIV2" s="3"/>
      <c r="AIW2" s="3"/>
      <c r="AIX2" s="3"/>
      <c r="AIY2" s="3"/>
      <c r="AIZ2" s="3"/>
      <c r="AJA2" s="3"/>
      <c r="AJB2" s="3"/>
      <c r="AJC2" s="3"/>
      <c r="AJD2" s="3"/>
      <c r="AJE2" s="3"/>
      <c r="AJF2" s="3"/>
      <c r="AJG2" s="3"/>
      <c r="AJH2" s="3"/>
      <c r="AJI2" s="3"/>
      <c r="AJJ2" s="3"/>
      <c r="AJK2" s="3"/>
      <c r="AJL2" s="3"/>
      <c r="AJM2" s="3"/>
      <c r="AJN2" s="3"/>
      <c r="AJO2" s="3"/>
      <c r="AJP2" s="3"/>
      <c r="AJQ2" s="3"/>
      <c r="AJR2" s="3"/>
      <c r="AJS2" s="3"/>
      <c r="AJT2" s="3"/>
      <c r="AJU2" s="3"/>
      <c r="AJV2" s="3"/>
      <c r="AJW2" s="3"/>
      <c r="AJX2" s="3"/>
      <c r="AJY2" s="3"/>
      <c r="AJZ2" s="3"/>
      <c r="AKA2" s="3"/>
      <c r="AKB2" s="3"/>
      <c r="AKC2" s="3"/>
      <c r="AKD2" s="3"/>
      <c r="AKE2" s="3"/>
      <c r="AKF2" s="3"/>
      <c r="AKG2" s="3"/>
      <c r="AKH2" s="3"/>
      <c r="AKI2" s="3"/>
      <c r="AKJ2" s="3"/>
      <c r="AKK2" s="3"/>
      <c r="AKL2" s="3"/>
      <c r="AKM2" s="3"/>
      <c r="AKN2" s="3"/>
      <c r="AKO2" s="3"/>
      <c r="AKP2" s="3"/>
      <c r="AKQ2" s="3"/>
      <c r="AKR2" s="3"/>
      <c r="AKS2" s="3"/>
      <c r="AKT2" s="3"/>
      <c r="AKU2" s="3"/>
      <c r="AKV2" s="3"/>
      <c r="AKW2" s="3"/>
      <c r="AKX2" s="3"/>
      <c r="AKY2" s="3"/>
      <c r="AKZ2" s="3"/>
      <c r="ALA2" s="3"/>
      <c r="ALB2" s="3"/>
      <c r="ALC2" s="3"/>
      <c r="ALD2" s="3"/>
      <c r="ALE2" s="3"/>
      <c r="ALF2" s="3"/>
      <c r="ALG2" s="3"/>
      <c r="ALH2" s="3"/>
      <c r="ALI2" s="3"/>
      <c r="ALJ2" s="3"/>
      <c r="ALK2" s="3"/>
      <c r="ALL2" s="3"/>
      <c r="ALM2" s="3"/>
      <c r="ALN2" s="3"/>
      <c r="ALO2" s="3"/>
      <c r="ALP2" s="3"/>
      <c r="ALQ2" s="3"/>
      <c r="ALR2" s="3"/>
      <c r="ALS2" s="3"/>
      <c r="ALT2" s="3"/>
      <c r="ALU2" s="3"/>
      <c r="ALV2" s="3"/>
      <c r="ALW2" s="3"/>
      <c r="ALX2" s="3"/>
      <c r="ALY2" s="3"/>
      <c r="ALZ2" s="3"/>
      <c r="AMA2" s="3"/>
      <c r="AMB2" s="3"/>
      <c r="AMC2" s="3"/>
      <c r="AMD2" s="3"/>
      <c r="AME2" s="3"/>
      <c r="AMF2" s="3"/>
      <c r="AMG2" s="3"/>
      <c r="AMH2" s="3"/>
      <c r="AMI2" s="3"/>
      <c r="AMJ2" s="3"/>
      <c r="AMK2" s="3"/>
      <c r="AML2" s="3"/>
      <c r="AMM2" s="3"/>
      <c r="AMN2" s="3"/>
      <c r="AMO2" s="3"/>
      <c r="AMP2" s="3"/>
      <c r="AMQ2" s="3"/>
      <c r="AMR2" s="3"/>
      <c r="AMS2" s="3"/>
      <c r="AMT2" s="3"/>
      <c r="AMU2" s="3"/>
      <c r="AMV2" s="3"/>
      <c r="AMW2" s="3"/>
      <c r="AMX2" s="3"/>
      <c r="AMY2" s="3"/>
      <c r="AMZ2" s="3"/>
      <c r="ANA2" s="3"/>
      <c r="ANB2" s="3"/>
      <c r="ANC2" s="3"/>
      <c r="AND2" s="3"/>
      <c r="ANE2" s="3"/>
      <c r="ANF2" s="3"/>
      <c r="ANG2" s="3"/>
      <c r="ANH2" s="3"/>
      <c r="ANI2" s="3"/>
      <c r="ANJ2" s="3"/>
      <c r="ANK2" s="3"/>
      <c r="ANL2" s="3"/>
      <c r="ANM2" s="3"/>
      <c r="ANN2" s="3"/>
      <c r="ANO2" s="3"/>
      <c r="ANP2" s="3"/>
      <c r="ANQ2" s="3"/>
      <c r="ANR2" s="3"/>
      <c r="ANS2" s="3"/>
      <c r="ANT2" s="3"/>
      <c r="ANU2" s="3"/>
      <c r="ANV2" s="3"/>
      <c r="ANW2" s="3"/>
      <c r="ANX2" s="3"/>
      <c r="ANY2" s="3"/>
      <c r="ANZ2" s="3"/>
      <c r="AOA2" s="3"/>
      <c r="AOB2" s="3"/>
      <c r="AOC2" s="3"/>
      <c r="AOD2" s="3"/>
      <c r="AOE2" s="3"/>
      <c r="AOF2" s="3"/>
      <c r="AOG2" s="3"/>
      <c r="AOH2" s="3"/>
      <c r="AOI2" s="3"/>
      <c r="AOJ2" s="3"/>
      <c r="AOK2" s="3"/>
      <c r="AOL2" s="3"/>
      <c r="AOM2" s="3"/>
      <c r="AON2" s="3"/>
      <c r="AOO2" s="3"/>
      <c r="AOP2" s="3"/>
      <c r="AOQ2" s="3"/>
      <c r="AOR2" s="3"/>
      <c r="AOS2" s="3"/>
      <c r="AOT2" s="3"/>
      <c r="AOU2" s="3"/>
      <c r="AOV2" s="3"/>
      <c r="AOW2" s="3"/>
      <c r="AOX2" s="3"/>
      <c r="AOY2" s="3"/>
      <c r="AOZ2" s="3"/>
      <c r="APA2" s="3"/>
      <c r="APB2" s="3"/>
      <c r="APC2" s="3"/>
      <c r="APD2" s="3"/>
      <c r="APE2" s="3"/>
      <c r="APF2" s="3"/>
      <c r="APG2" s="3"/>
      <c r="APH2" s="3"/>
      <c r="API2" s="3"/>
      <c r="APJ2" s="3"/>
      <c r="APK2" s="3"/>
      <c r="APL2" s="3"/>
      <c r="APM2" s="3"/>
      <c r="APN2" s="3"/>
      <c r="APO2" s="3"/>
      <c r="APP2" s="3"/>
      <c r="APQ2" s="3"/>
      <c r="APR2" s="3"/>
      <c r="APS2" s="3"/>
      <c r="APT2" s="3"/>
      <c r="APU2" s="3"/>
      <c r="APV2" s="3"/>
      <c r="APW2" s="3"/>
      <c r="APX2" s="3"/>
      <c r="APY2" s="3"/>
      <c r="APZ2" s="3"/>
      <c r="AQA2" s="3"/>
      <c r="AQB2" s="3"/>
      <c r="AQC2" s="3"/>
      <c r="AQD2" s="3"/>
      <c r="AQE2" s="3"/>
      <c r="AQF2" s="3"/>
      <c r="AQG2" s="3"/>
      <c r="AQH2" s="3"/>
      <c r="AQI2" s="3"/>
      <c r="AQJ2" s="3"/>
      <c r="AQK2" s="3"/>
      <c r="AQL2" s="3"/>
      <c r="AQM2" s="3"/>
      <c r="AQN2" s="3"/>
      <c r="AQO2" s="3"/>
      <c r="AQP2" s="3"/>
      <c r="AQQ2" s="3"/>
      <c r="AQR2" s="3"/>
      <c r="AQS2" s="3"/>
      <c r="AQT2" s="3"/>
      <c r="AQU2" s="3"/>
      <c r="AQV2" s="3"/>
      <c r="AQW2" s="3"/>
      <c r="AQX2" s="3"/>
      <c r="AQY2" s="3"/>
      <c r="AQZ2" s="3"/>
      <c r="ARA2" s="3"/>
      <c r="ARB2" s="3"/>
      <c r="ARC2" s="3"/>
      <c r="ARD2" s="3"/>
      <c r="ARE2" s="3"/>
      <c r="ARF2" s="3"/>
      <c r="ARG2" s="3"/>
      <c r="ARH2" s="3"/>
      <c r="ARI2" s="3"/>
      <c r="ARJ2" s="3"/>
      <c r="ARK2" s="3"/>
      <c r="ARL2" s="3"/>
      <c r="ARM2" s="3"/>
      <c r="ARN2" s="3"/>
      <c r="ARO2" s="3"/>
      <c r="ARP2" s="3"/>
      <c r="ARQ2" s="3"/>
      <c r="ARR2" s="3"/>
      <c r="ARS2" s="3"/>
      <c r="ART2" s="3"/>
      <c r="ARU2" s="3"/>
      <c r="ARV2" s="3"/>
      <c r="ARW2" s="3"/>
      <c r="ARX2" s="3"/>
      <c r="ARY2" s="3"/>
      <c r="ARZ2" s="3"/>
      <c r="ASA2" s="3"/>
      <c r="ASB2" s="3"/>
      <c r="ASC2" s="3"/>
      <c r="ASD2" s="3"/>
      <c r="ASE2" s="3"/>
      <c r="ASF2" s="3"/>
      <c r="ASG2" s="3"/>
      <c r="ASH2" s="3"/>
      <c r="ASI2" s="3"/>
      <c r="ASJ2" s="3"/>
      <c r="ASK2" s="3"/>
      <c r="ASL2" s="3"/>
      <c r="ASM2" s="3"/>
      <c r="ASN2" s="3"/>
      <c r="ASO2" s="3"/>
      <c r="ASP2" s="3"/>
      <c r="ASQ2" s="3"/>
      <c r="ASR2" s="3"/>
      <c r="ASS2" s="3"/>
      <c r="AST2" s="3"/>
      <c r="ASU2" s="3"/>
      <c r="ASV2" s="3"/>
      <c r="ASW2" s="3"/>
      <c r="ASX2" s="3"/>
      <c r="ASY2" s="3"/>
      <c r="ASZ2" s="3"/>
      <c r="ATA2" s="3"/>
      <c r="ATB2" s="3"/>
      <c r="ATC2" s="3"/>
      <c r="ATD2" s="3"/>
      <c r="ATE2" s="3"/>
      <c r="ATF2" s="3"/>
      <c r="ATG2" s="3"/>
      <c r="ATH2" s="3"/>
      <c r="ATI2" s="3"/>
      <c r="ATJ2" s="3"/>
      <c r="ATK2" s="3"/>
      <c r="ATL2" s="3"/>
      <c r="ATM2" s="3"/>
      <c r="ATN2" s="3"/>
      <c r="ATO2" s="3"/>
      <c r="ATP2" s="3"/>
      <c r="ATQ2" s="3"/>
      <c r="ATR2" s="3"/>
      <c r="ATS2" s="3"/>
      <c r="ATT2" s="3"/>
      <c r="ATU2" s="3"/>
      <c r="ATV2" s="3"/>
      <c r="ATW2" s="3"/>
      <c r="ATX2" s="3"/>
      <c r="ATY2" s="3"/>
      <c r="ATZ2" s="3"/>
      <c r="AUA2" s="3"/>
      <c r="AUB2" s="3"/>
      <c r="AUC2" s="3"/>
      <c r="AUD2" s="3"/>
      <c r="AUE2" s="3"/>
      <c r="AUF2" s="3"/>
      <c r="AUG2" s="3"/>
      <c r="AUH2" s="3"/>
      <c r="AUI2" s="3"/>
      <c r="AUJ2" s="3"/>
      <c r="AUK2" s="3"/>
      <c r="AUL2" s="3"/>
      <c r="AUM2" s="3"/>
      <c r="AUN2" s="3"/>
      <c r="AUO2" s="3"/>
      <c r="AUP2" s="3"/>
      <c r="AUQ2" s="3"/>
      <c r="AUR2" s="3"/>
      <c r="AUS2" s="3"/>
      <c r="AUT2" s="3"/>
      <c r="AUU2" s="3"/>
      <c r="AUV2" s="3"/>
      <c r="AUW2" s="3"/>
      <c r="AUX2" s="3"/>
      <c r="AUY2" s="3"/>
      <c r="AUZ2" s="3"/>
      <c r="AVA2" s="3"/>
      <c r="AVB2" s="3"/>
      <c r="AVC2" s="3"/>
      <c r="AVD2" s="3"/>
      <c r="AVE2" s="3"/>
      <c r="AVF2" s="3"/>
      <c r="AVG2" s="3"/>
      <c r="AVH2" s="3"/>
      <c r="AVI2" s="3"/>
      <c r="AVJ2" s="3"/>
      <c r="AVK2" s="3"/>
      <c r="AVL2" s="3"/>
      <c r="AVM2" s="3"/>
      <c r="AVN2" s="3"/>
      <c r="AVO2" s="3"/>
      <c r="AVP2" s="3"/>
      <c r="AVQ2" s="3"/>
      <c r="AVR2" s="3"/>
      <c r="AVS2" s="3"/>
      <c r="AVT2" s="3"/>
      <c r="AVU2" s="3"/>
      <c r="AVV2" s="3"/>
      <c r="AVW2" s="3"/>
      <c r="AVX2" s="3"/>
      <c r="AVY2" s="3"/>
      <c r="AVZ2" s="3"/>
      <c r="AWA2" s="3"/>
      <c r="AWB2" s="3"/>
      <c r="AWC2" s="3"/>
      <c r="AWD2" s="3"/>
      <c r="AWE2" s="3"/>
      <c r="AWF2" s="3"/>
      <c r="AWG2" s="3"/>
      <c r="AWH2" s="3"/>
      <c r="AWI2" s="3"/>
      <c r="AWJ2" s="3"/>
      <c r="AWK2" s="3"/>
      <c r="AWL2" s="3"/>
      <c r="AWM2" s="3"/>
      <c r="AWN2" s="3"/>
      <c r="AWO2" s="3"/>
      <c r="AWP2" s="3"/>
      <c r="AWQ2" s="3"/>
      <c r="AWR2" s="3"/>
      <c r="AWS2" s="3"/>
      <c r="AWT2" s="3"/>
      <c r="AWU2" s="3"/>
      <c r="AWV2" s="3"/>
      <c r="AWW2" s="3"/>
      <c r="AWX2" s="3"/>
      <c r="AWY2" s="3"/>
      <c r="AWZ2" s="3"/>
      <c r="AXA2" s="3"/>
      <c r="AXB2" s="3"/>
      <c r="AXC2" s="3"/>
      <c r="AXD2" s="3"/>
      <c r="AXE2" s="3"/>
      <c r="AXF2" s="3"/>
      <c r="AXG2" s="3"/>
      <c r="AXH2" s="3"/>
      <c r="AXI2" s="3"/>
      <c r="AXJ2" s="3"/>
      <c r="AXK2" s="3"/>
      <c r="AXL2" s="3"/>
      <c r="AXM2" s="3"/>
      <c r="AXN2" s="3"/>
      <c r="AXO2" s="3"/>
      <c r="AXP2" s="3"/>
      <c r="AXQ2" s="3"/>
      <c r="AXR2" s="3"/>
      <c r="AXS2" s="3"/>
      <c r="AXT2" s="3"/>
      <c r="AXU2" s="3"/>
      <c r="AXV2" s="3"/>
      <c r="AXW2" s="3"/>
      <c r="AXX2" s="3"/>
      <c r="AXY2" s="3"/>
      <c r="AXZ2" s="3"/>
      <c r="AYA2" s="3"/>
      <c r="AYB2" s="3"/>
      <c r="AYC2" s="3"/>
      <c r="AYD2" s="3"/>
      <c r="AYE2" s="3"/>
      <c r="AYF2" s="3"/>
      <c r="AYG2" s="3"/>
      <c r="AYH2" s="3"/>
      <c r="AYI2" s="3"/>
      <c r="AYJ2" s="3"/>
      <c r="AYK2" s="3"/>
      <c r="AYL2" s="3"/>
      <c r="AYM2" s="3"/>
      <c r="AYN2" s="3"/>
      <c r="AYO2" s="3"/>
      <c r="AYP2" s="3"/>
      <c r="AYQ2" s="3"/>
      <c r="AYR2" s="3"/>
      <c r="AYS2" s="3"/>
      <c r="AYT2" s="3"/>
      <c r="AYU2" s="3"/>
      <c r="AYV2" s="3"/>
      <c r="AYW2" s="3"/>
      <c r="AYX2" s="3"/>
      <c r="AYY2" s="3"/>
      <c r="AYZ2" s="3"/>
      <c r="AZA2" s="3"/>
      <c r="AZB2" s="3"/>
      <c r="AZC2" s="3"/>
      <c r="AZD2" s="3"/>
      <c r="AZE2" s="3"/>
      <c r="AZF2" s="3"/>
      <c r="AZG2" s="3"/>
      <c r="AZH2" s="3"/>
      <c r="AZI2" s="3"/>
      <c r="AZJ2" s="3"/>
      <c r="AZK2" s="3"/>
      <c r="AZL2" s="3"/>
      <c r="AZM2" s="3"/>
      <c r="AZN2" s="3"/>
      <c r="AZO2" s="3"/>
      <c r="AZP2" s="3"/>
      <c r="AZQ2" s="3"/>
      <c r="AZR2" s="3"/>
      <c r="AZS2" s="3"/>
      <c r="AZT2" s="3"/>
      <c r="AZU2" s="3"/>
      <c r="AZV2" s="3"/>
      <c r="AZW2" s="3"/>
      <c r="AZX2" s="3"/>
      <c r="AZY2" s="3"/>
      <c r="AZZ2" s="3"/>
      <c r="BAA2" s="3"/>
      <c r="BAB2" s="3"/>
      <c r="BAC2" s="3"/>
      <c r="BAD2" s="3"/>
      <c r="BAE2" s="3"/>
      <c r="BAF2" s="3"/>
      <c r="BAG2" s="3"/>
      <c r="BAH2" s="3"/>
      <c r="BAI2" s="3"/>
      <c r="BAJ2" s="3"/>
      <c r="BAK2" s="3"/>
      <c r="BAL2" s="3"/>
      <c r="BAM2" s="3"/>
      <c r="BAN2" s="3"/>
      <c r="BAO2" s="3"/>
      <c r="BAP2" s="3"/>
      <c r="BAQ2" s="3"/>
      <c r="BAR2" s="3"/>
      <c r="BAS2" s="3"/>
      <c r="BAT2" s="3"/>
      <c r="BAU2" s="3"/>
      <c r="BAV2" s="3"/>
      <c r="BAW2" s="3"/>
      <c r="BAX2" s="3"/>
      <c r="BAY2" s="3"/>
      <c r="BAZ2" s="3"/>
      <c r="BBA2" s="3"/>
      <c r="BBB2" s="3"/>
      <c r="BBC2" s="3"/>
      <c r="BBD2" s="3"/>
      <c r="BBE2" s="3"/>
      <c r="BBF2" s="3"/>
      <c r="BBG2" s="3"/>
      <c r="BBH2" s="3"/>
      <c r="BBI2" s="3"/>
      <c r="BBJ2" s="3"/>
      <c r="BBK2" s="3"/>
      <c r="BBL2" s="3"/>
      <c r="BBM2" s="3"/>
      <c r="BBN2" s="3"/>
      <c r="BBO2" s="3"/>
      <c r="BBP2" s="3"/>
      <c r="BBQ2" s="3"/>
      <c r="BBR2" s="3"/>
      <c r="BBS2" s="3"/>
      <c r="BBT2" s="3"/>
      <c r="BBU2" s="3"/>
      <c r="BBV2" s="3"/>
      <c r="BBW2" s="3"/>
      <c r="BBX2" s="3"/>
      <c r="BBY2" s="3"/>
      <c r="BBZ2" s="3"/>
      <c r="BCA2" s="3"/>
      <c r="BCB2" s="3"/>
      <c r="BCC2" s="3"/>
      <c r="BCD2" s="3"/>
      <c r="BCE2" s="3"/>
      <c r="BCF2" s="3"/>
      <c r="BCG2" s="3"/>
      <c r="BCH2" s="3"/>
      <c r="BCI2" s="3"/>
      <c r="BCJ2" s="3"/>
      <c r="BCK2" s="3"/>
      <c r="BCL2" s="3"/>
      <c r="BCM2" s="3"/>
      <c r="BCN2" s="3"/>
      <c r="BCO2" s="3"/>
      <c r="BCP2" s="3"/>
      <c r="BCQ2" s="3"/>
      <c r="BCR2" s="3"/>
      <c r="BCS2" s="3"/>
      <c r="BCT2" s="3"/>
      <c r="BCU2" s="3"/>
      <c r="BCV2" s="3"/>
      <c r="BCW2" s="3"/>
      <c r="BCX2" s="3"/>
      <c r="BCY2" s="3"/>
      <c r="BCZ2" s="3"/>
      <c r="BDA2" s="3"/>
      <c r="BDB2" s="3"/>
      <c r="BDC2" s="3"/>
      <c r="BDD2" s="3"/>
      <c r="BDE2" s="3"/>
      <c r="BDF2" s="3"/>
      <c r="BDG2" s="3"/>
      <c r="BDH2" s="3"/>
      <c r="BDI2" s="3"/>
      <c r="BDJ2" s="3"/>
      <c r="BDK2" s="3"/>
      <c r="BDL2" s="3"/>
      <c r="BDM2" s="3"/>
      <c r="BDN2" s="3"/>
      <c r="BDO2" s="3"/>
      <c r="BDP2" s="3"/>
      <c r="BDQ2" s="3"/>
      <c r="BDR2" s="3"/>
      <c r="BDS2" s="3"/>
      <c r="BDT2" s="3"/>
      <c r="BDU2" s="3"/>
      <c r="BDV2" s="3"/>
      <c r="BDW2" s="3"/>
      <c r="BDX2" s="3"/>
      <c r="BDY2" s="3"/>
      <c r="BDZ2" s="3"/>
      <c r="BEA2" s="3"/>
      <c r="BEB2" s="3"/>
      <c r="BEC2" s="3"/>
      <c r="BED2" s="3"/>
      <c r="BEE2" s="3"/>
      <c r="BEF2" s="3"/>
      <c r="BEG2" s="3"/>
      <c r="BEH2" s="3"/>
      <c r="BEI2" s="3"/>
      <c r="BEJ2" s="3"/>
      <c r="BEK2" s="3"/>
      <c r="BEL2" s="3"/>
      <c r="BEM2" s="3"/>
      <c r="BEN2" s="3"/>
      <c r="BEO2" s="3"/>
      <c r="BEP2" s="3"/>
      <c r="BEQ2" s="3"/>
      <c r="BER2" s="3"/>
      <c r="BES2" s="3"/>
      <c r="BET2" s="3"/>
      <c r="BEU2" s="3"/>
      <c r="BEV2" s="3"/>
      <c r="BEW2" s="3"/>
      <c r="BEX2" s="3"/>
      <c r="BEY2" s="3"/>
      <c r="BEZ2" s="3"/>
      <c r="BFA2" s="3"/>
      <c r="BFB2" s="3"/>
      <c r="BFC2" s="3"/>
      <c r="BFD2" s="3"/>
      <c r="BFE2" s="3"/>
      <c r="BFF2" s="3"/>
      <c r="BFG2" s="3"/>
      <c r="BFH2" s="3"/>
      <c r="BFI2" s="3"/>
      <c r="BFJ2" s="3"/>
      <c r="BFK2" s="3"/>
      <c r="BFL2" s="3"/>
      <c r="BFM2" s="3"/>
      <c r="BFN2" s="3"/>
      <c r="BFO2" s="3"/>
      <c r="BFP2" s="3"/>
      <c r="BFQ2" s="3"/>
      <c r="BFR2" s="3"/>
      <c r="BFS2" s="3"/>
      <c r="BFT2" s="3"/>
      <c r="BFU2" s="3"/>
      <c r="BFV2" s="3"/>
      <c r="BFW2" s="3"/>
      <c r="BFX2" s="3"/>
      <c r="BFY2" s="3"/>
      <c r="BFZ2" s="3"/>
      <c r="BGA2" s="3"/>
      <c r="BGB2" s="3"/>
      <c r="BGC2" s="3"/>
      <c r="BGD2" s="3"/>
      <c r="BGE2" s="3"/>
      <c r="BGF2" s="3"/>
      <c r="BGG2" s="3"/>
      <c r="BGH2" s="3"/>
      <c r="BGI2" s="3"/>
      <c r="BGJ2" s="3"/>
      <c r="BGK2" s="3"/>
      <c r="BGL2" s="3"/>
      <c r="BGM2" s="3"/>
      <c r="BGN2" s="3"/>
      <c r="BGO2" s="3"/>
      <c r="BGP2" s="3"/>
      <c r="BGQ2" s="3"/>
      <c r="BGR2" s="3"/>
      <c r="BGS2" s="3"/>
      <c r="BGT2" s="3"/>
      <c r="BGU2" s="3"/>
      <c r="BGV2" s="3"/>
      <c r="BGW2" s="3"/>
      <c r="BGX2" s="3"/>
      <c r="BGY2" s="3"/>
      <c r="BGZ2" s="3"/>
      <c r="BHA2" s="3"/>
      <c r="BHB2" s="3"/>
      <c r="BHC2" s="3"/>
      <c r="BHD2" s="3"/>
      <c r="BHE2" s="3"/>
      <c r="BHF2" s="3"/>
      <c r="BHG2" s="3"/>
      <c r="BHH2" s="3"/>
      <c r="BHI2" s="3"/>
      <c r="BHJ2" s="3"/>
      <c r="BHK2" s="3"/>
      <c r="BHL2" s="3"/>
      <c r="BHM2" s="3"/>
      <c r="BHN2" s="3"/>
      <c r="BHO2" s="3"/>
      <c r="BHP2" s="3"/>
      <c r="BHQ2" s="3"/>
      <c r="BHR2" s="3"/>
      <c r="BHS2" s="3"/>
      <c r="BHT2" s="3"/>
      <c r="BHU2" s="3"/>
      <c r="BHV2" s="3"/>
      <c r="BHW2" s="3"/>
      <c r="BHX2" s="3"/>
      <c r="BHY2" s="3"/>
      <c r="BHZ2" s="3"/>
      <c r="BIA2" s="3"/>
      <c r="BIB2" s="3"/>
      <c r="BIC2" s="3"/>
      <c r="BID2" s="3"/>
      <c r="BIE2" s="3"/>
      <c r="BIF2" s="3"/>
      <c r="BIG2" s="3"/>
      <c r="BIH2" s="3"/>
      <c r="BII2" s="3"/>
      <c r="BIJ2" s="3"/>
      <c r="BIK2" s="3"/>
      <c r="BIL2" s="3"/>
      <c r="BIM2" s="3"/>
      <c r="BIN2" s="3"/>
      <c r="BIO2" s="3"/>
      <c r="BIP2" s="3"/>
      <c r="BIQ2" s="3"/>
      <c r="BIR2" s="3"/>
      <c r="BIS2" s="3"/>
      <c r="BIT2" s="3"/>
      <c r="BIU2" s="3"/>
      <c r="BIV2" s="3"/>
      <c r="BIW2" s="3"/>
      <c r="BIX2" s="3"/>
      <c r="BIY2" s="3"/>
      <c r="BIZ2" s="3"/>
      <c r="BJA2" s="3"/>
      <c r="BJB2" s="3"/>
      <c r="BJC2" s="3"/>
      <c r="BJD2" s="3"/>
      <c r="BJE2" s="3"/>
      <c r="BJF2" s="3"/>
      <c r="BJG2" s="3"/>
      <c r="BJH2" s="3"/>
      <c r="BJI2" s="3"/>
      <c r="BJJ2" s="3"/>
      <c r="BJK2" s="3"/>
      <c r="BJL2" s="3"/>
      <c r="BJM2" s="3"/>
      <c r="BJN2" s="3"/>
      <c r="BJO2" s="3"/>
      <c r="BJP2" s="3"/>
      <c r="BJQ2" s="3"/>
      <c r="BJR2" s="3"/>
      <c r="BJS2" s="3"/>
      <c r="BJT2" s="3"/>
      <c r="BJU2" s="3"/>
      <c r="BJV2" s="3"/>
      <c r="BJW2" s="3"/>
      <c r="BJX2" s="3"/>
      <c r="BJY2" s="3"/>
      <c r="BJZ2" s="3"/>
      <c r="BKA2" s="3"/>
      <c r="BKB2" s="3"/>
      <c r="BKC2" s="3"/>
      <c r="BKD2" s="3"/>
      <c r="BKE2" s="3"/>
      <c r="BKF2" s="3"/>
      <c r="BKG2" s="3"/>
      <c r="BKH2" s="3"/>
      <c r="BKI2" s="3"/>
      <c r="BKJ2" s="3"/>
      <c r="BKK2" s="3"/>
      <c r="BKL2" s="3"/>
      <c r="BKM2" s="3"/>
      <c r="BKN2" s="3"/>
      <c r="BKO2" s="3"/>
      <c r="BKP2" s="3"/>
      <c r="BKQ2" s="3"/>
      <c r="BKR2" s="3"/>
      <c r="BKS2" s="3"/>
      <c r="BKT2" s="3"/>
      <c r="BKU2" s="3"/>
      <c r="BKV2" s="3"/>
      <c r="BKW2" s="3"/>
      <c r="BKX2" s="3"/>
      <c r="BKY2" s="3"/>
      <c r="BKZ2" s="3"/>
      <c r="BLA2" s="3"/>
      <c r="BLB2" s="3"/>
      <c r="BLC2" s="3"/>
      <c r="BLD2" s="3"/>
      <c r="BLE2" s="3"/>
      <c r="BLF2" s="3"/>
      <c r="BLG2" s="3"/>
      <c r="BLH2" s="3"/>
      <c r="BLI2" s="3"/>
      <c r="BLJ2" s="3"/>
      <c r="BLK2" s="3"/>
      <c r="BLL2" s="3"/>
      <c r="BLM2" s="3"/>
      <c r="BLN2" s="3"/>
      <c r="BLO2" s="3"/>
      <c r="BLP2" s="3"/>
      <c r="BLQ2" s="3"/>
      <c r="BLR2" s="3"/>
      <c r="BLS2" s="3"/>
      <c r="BLT2" s="3"/>
      <c r="BLU2" s="3"/>
      <c r="BLV2" s="3"/>
      <c r="BLW2" s="3"/>
      <c r="BLX2" s="3"/>
      <c r="BLY2" s="3"/>
      <c r="BLZ2" s="3"/>
      <c r="BMA2" s="3"/>
      <c r="BMB2" s="3"/>
      <c r="BMC2" s="3"/>
      <c r="BMD2" s="3"/>
      <c r="BME2" s="3"/>
      <c r="BMF2" s="3"/>
      <c r="BMG2" s="3"/>
      <c r="BMH2" s="3"/>
      <c r="BMI2" s="3"/>
      <c r="BMJ2" s="3"/>
      <c r="BMK2" s="3"/>
      <c r="BML2" s="3"/>
      <c r="BMM2" s="3"/>
      <c r="BMN2" s="3"/>
      <c r="BMO2" s="3"/>
      <c r="BMP2" s="3"/>
      <c r="BMQ2" s="3"/>
      <c r="BMR2" s="3"/>
      <c r="BMS2" s="3"/>
      <c r="BMT2" s="3"/>
      <c r="BMU2" s="3"/>
      <c r="BMV2" s="3"/>
      <c r="BMW2" s="3"/>
      <c r="BMX2" s="3"/>
      <c r="BMY2" s="3"/>
      <c r="BMZ2" s="3"/>
      <c r="BNA2" s="3"/>
      <c r="BNB2" s="3"/>
      <c r="BNC2" s="3"/>
      <c r="BND2" s="3"/>
      <c r="BNE2" s="3"/>
      <c r="BNF2" s="3"/>
      <c r="BNG2" s="3"/>
      <c r="BNH2" s="3"/>
      <c r="BNI2" s="3"/>
      <c r="BNJ2" s="3"/>
      <c r="BNK2" s="3"/>
      <c r="BNL2" s="3"/>
      <c r="BNM2" s="3"/>
      <c r="BNN2" s="3"/>
      <c r="BNO2" s="3"/>
      <c r="BNP2" s="3"/>
      <c r="BNQ2" s="3"/>
      <c r="BNR2" s="3"/>
      <c r="BNS2" s="3"/>
      <c r="BNT2" s="3"/>
      <c r="BNU2" s="3"/>
      <c r="BNV2" s="3"/>
      <c r="BNW2" s="3"/>
      <c r="BNX2" s="3"/>
      <c r="BNY2" s="3"/>
      <c r="BNZ2" s="3"/>
      <c r="BOA2" s="3"/>
      <c r="BOB2" s="3"/>
      <c r="BOC2" s="3"/>
      <c r="BOD2" s="3"/>
      <c r="BOE2" s="3"/>
      <c r="BOF2" s="3"/>
      <c r="BOG2" s="3"/>
      <c r="BOH2" s="3"/>
      <c r="BOI2" s="3"/>
      <c r="BOJ2" s="3"/>
      <c r="BOK2" s="3"/>
      <c r="BOL2" s="3"/>
      <c r="BOM2" s="3"/>
      <c r="BON2" s="3"/>
      <c r="BOO2" s="3"/>
      <c r="BOP2" s="3"/>
      <c r="BOQ2" s="3"/>
      <c r="BOR2" s="3"/>
      <c r="BOS2" s="3"/>
      <c r="BOT2" s="3"/>
      <c r="BOU2" s="3"/>
      <c r="BOV2" s="3"/>
      <c r="BOW2" s="3"/>
      <c r="BOX2" s="3"/>
      <c r="BOY2" s="3"/>
      <c r="BOZ2" s="3"/>
      <c r="BPA2" s="3"/>
      <c r="BPB2" s="3"/>
      <c r="BPC2" s="3"/>
      <c r="BPD2" s="3"/>
      <c r="BPE2" s="3"/>
      <c r="BPF2" s="3"/>
      <c r="BPG2" s="3"/>
      <c r="BPH2" s="3"/>
      <c r="BPI2" s="3"/>
      <c r="BPJ2" s="3"/>
      <c r="BPK2" s="3"/>
      <c r="BPL2" s="3"/>
      <c r="BPM2" s="3"/>
      <c r="BPN2" s="3"/>
      <c r="BPO2" s="3"/>
      <c r="BPP2" s="3"/>
      <c r="BPQ2" s="3"/>
      <c r="BPR2" s="3"/>
      <c r="BPS2" s="3"/>
      <c r="BPT2" s="3"/>
      <c r="BPU2" s="3"/>
      <c r="BPV2" s="3"/>
      <c r="BPW2" s="3"/>
      <c r="BPX2" s="3"/>
      <c r="BPY2" s="3"/>
      <c r="BPZ2" s="3"/>
      <c r="BQA2" s="3"/>
      <c r="BQB2" s="3"/>
      <c r="BQC2" s="3"/>
      <c r="BQD2" s="3"/>
      <c r="BQE2" s="3"/>
      <c r="BQF2" s="3"/>
      <c r="BQG2" s="3"/>
      <c r="BQH2" s="3"/>
      <c r="BQI2" s="3"/>
      <c r="BQJ2" s="3"/>
      <c r="BQK2" s="3"/>
      <c r="BQL2" s="3"/>
    </row>
    <row r="3" spans="1:1806" ht="12.9" customHeight="1" x14ac:dyDescent="0.3">
      <c r="A3" s="43" t="s">
        <v>0</v>
      </c>
      <c r="B3" s="37" t="s">
        <v>1</v>
      </c>
      <c r="C3" s="38" t="s">
        <v>2</v>
      </c>
      <c r="D3" s="6"/>
      <c r="E3" s="42" t="s">
        <v>3</v>
      </c>
      <c r="F3" s="42"/>
      <c r="G3" s="42"/>
      <c r="H3" s="5"/>
      <c r="I3" s="24"/>
      <c r="J3" s="24"/>
      <c r="K3" s="24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  <c r="OL3" s="2"/>
      <c r="OM3" s="2"/>
      <c r="ON3" s="2"/>
      <c r="OO3" s="2"/>
      <c r="OP3" s="2"/>
      <c r="OQ3" s="2"/>
      <c r="OR3" s="2"/>
      <c r="OS3" s="2"/>
      <c r="OT3" s="2"/>
      <c r="OU3" s="2"/>
      <c r="OV3" s="2"/>
      <c r="OW3" s="2"/>
      <c r="OX3" s="2"/>
      <c r="OY3" s="2"/>
      <c r="OZ3" s="2"/>
      <c r="PA3" s="2"/>
      <c r="PB3" s="2"/>
      <c r="PC3" s="2"/>
      <c r="PD3" s="2"/>
      <c r="PE3" s="2"/>
      <c r="PF3" s="2"/>
      <c r="PG3" s="2"/>
      <c r="PH3" s="2"/>
      <c r="PI3" s="2"/>
      <c r="PJ3" s="2"/>
      <c r="PK3" s="2"/>
      <c r="PL3" s="2"/>
      <c r="PM3" s="2"/>
      <c r="PN3" s="2"/>
      <c r="PO3" s="2"/>
      <c r="PP3" s="2"/>
      <c r="PQ3" s="2"/>
      <c r="PR3" s="2"/>
      <c r="PS3" s="2"/>
      <c r="PT3" s="2"/>
      <c r="PU3" s="2"/>
      <c r="PV3" s="2"/>
      <c r="PW3" s="2"/>
      <c r="PX3" s="2"/>
      <c r="PY3" s="2"/>
      <c r="PZ3" s="2"/>
      <c r="QA3" s="2"/>
      <c r="QB3" s="2"/>
      <c r="QC3" s="2"/>
      <c r="QD3" s="2"/>
      <c r="QE3" s="2"/>
      <c r="QF3" s="2"/>
      <c r="QG3" s="2"/>
      <c r="QH3" s="2"/>
      <c r="QI3" s="2"/>
      <c r="QJ3" s="2"/>
      <c r="QK3" s="2"/>
      <c r="QL3" s="2"/>
      <c r="QM3" s="2"/>
      <c r="QN3" s="2"/>
      <c r="QO3" s="2"/>
      <c r="QP3" s="2"/>
      <c r="QQ3" s="2"/>
      <c r="QR3" s="2"/>
      <c r="QS3" s="2"/>
      <c r="QT3" s="2"/>
      <c r="QU3" s="2"/>
      <c r="QV3" s="2"/>
      <c r="QW3" s="2"/>
      <c r="QX3" s="2"/>
      <c r="QY3" s="2"/>
      <c r="QZ3" s="2"/>
      <c r="RA3" s="2"/>
      <c r="RB3" s="2"/>
      <c r="RC3" s="2"/>
      <c r="RD3" s="2"/>
      <c r="RE3" s="2"/>
      <c r="RF3" s="2"/>
      <c r="RG3" s="2"/>
      <c r="RH3" s="2"/>
      <c r="RI3" s="2"/>
      <c r="RJ3" s="2"/>
      <c r="RK3" s="2"/>
      <c r="RL3" s="2"/>
      <c r="RM3" s="2"/>
      <c r="RN3" s="2"/>
      <c r="RO3" s="2"/>
      <c r="RP3" s="2"/>
      <c r="RQ3" s="2"/>
      <c r="RR3" s="2"/>
      <c r="RS3" s="2"/>
      <c r="RT3" s="2"/>
      <c r="RU3" s="2"/>
      <c r="RV3" s="2"/>
      <c r="RW3" s="2"/>
      <c r="RX3" s="2"/>
      <c r="RY3" s="2"/>
      <c r="RZ3" s="2"/>
      <c r="SA3" s="2"/>
      <c r="SB3" s="2"/>
      <c r="SC3" s="2"/>
      <c r="SD3" s="2"/>
      <c r="SE3" s="2"/>
      <c r="SF3" s="2"/>
      <c r="SG3" s="2"/>
      <c r="SH3" s="2"/>
      <c r="SI3" s="2"/>
      <c r="SJ3" s="2"/>
      <c r="SK3" s="2"/>
      <c r="SL3" s="2"/>
      <c r="SM3" s="2"/>
      <c r="SN3" s="2"/>
      <c r="SO3" s="2"/>
      <c r="SP3" s="2"/>
      <c r="SQ3" s="2"/>
      <c r="SR3" s="2"/>
      <c r="SS3" s="2"/>
      <c r="ST3" s="2"/>
      <c r="SU3" s="2"/>
      <c r="SV3" s="2"/>
      <c r="SW3" s="2"/>
      <c r="SX3" s="2"/>
      <c r="SY3" s="2"/>
      <c r="SZ3" s="2"/>
      <c r="TA3" s="2"/>
      <c r="TB3" s="2"/>
      <c r="TC3" s="2"/>
      <c r="TD3" s="2"/>
      <c r="TE3" s="2"/>
      <c r="TF3" s="2"/>
      <c r="TG3" s="2"/>
      <c r="TH3" s="2"/>
      <c r="TI3" s="2"/>
      <c r="TJ3" s="2"/>
      <c r="TK3" s="2"/>
      <c r="TL3" s="2"/>
      <c r="TM3" s="2"/>
      <c r="TN3" s="2"/>
      <c r="TO3" s="2"/>
      <c r="TP3" s="2"/>
      <c r="TQ3" s="2"/>
      <c r="TR3" s="2"/>
      <c r="TS3" s="2"/>
      <c r="TT3" s="2"/>
      <c r="TU3" s="2"/>
      <c r="TV3" s="2"/>
      <c r="TW3" s="2"/>
      <c r="TX3" s="2"/>
      <c r="TY3" s="2"/>
      <c r="TZ3" s="2"/>
      <c r="UA3" s="2"/>
      <c r="UB3" s="2"/>
      <c r="UC3" s="2"/>
      <c r="UD3" s="2"/>
      <c r="UE3" s="2"/>
      <c r="UF3" s="2"/>
      <c r="UG3" s="2"/>
      <c r="UH3" s="2"/>
      <c r="UI3" s="2"/>
      <c r="UJ3" s="2"/>
      <c r="UK3" s="2"/>
      <c r="UL3" s="2"/>
      <c r="UM3" s="2"/>
      <c r="UN3" s="2"/>
      <c r="UO3" s="2"/>
      <c r="UP3" s="2"/>
      <c r="UQ3" s="2"/>
      <c r="UR3" s="2"/>
      <c r="US3" s="2"/>
      <c r="UT3" s="2"/>
      <c r="UU3" s="2"/>
      <c r="UV3" s="2"/>
      <c r="UW3" s="2"/>
      <c r="UX3" s="2"/>
      <c r="UY3" s="2"/>
      <c r="UZ3" s="2"/>
      <c r="VA3" s="2"/>
      <c r="VB3" s="2"/>
      <c r="VC3" s="2"/>
      <c r="VD3" s="2"/>
      <c r="VE3" s="2"/>
      <c r="VF3" s="2"/>
      <c r="VG3" s="2"/>
      <c r="VH3" s="2"/>
      <c r="VI3" s="2"/>
      <c r="VJ3" s="2"/>
      <c r="VK3" s="2"/>
      <c r="VL3" s="2"/>
      <c r="VM3" s="2"/>
      <c r="VN3" s="2"/>
      <c r="VO3" s="2"/>
      <c r="VP3" s="2"/>
      <c r="VQ3" s="2"/>
      <c r="VR3" s="2"/>
      <c r="VS3" s="2"/>
      <c r="VT3" s="2"/>
      <c r="VU3" s="2"/>
      <c r="VV3" s="2"/>
      <c r="VW3" s="2"/>
      <c r="VX3" s="2"/>
      <c r="VY3" s="2"/>
      <c r="VZ3" s="2"/>
      <c r="WA3" s="2"/>
      <c r="WB3" s="2"/>
      <c r="WC3" s="2"/>
      <c r="WD3" s="2"/>
      <c r="WE3" s="2"/>
      <c r="WF3" s="2"/>
      <c r="WG3" s="2"/>
      <c r="WH3" s="2"/>
      <c r="WI3" s="2"/>
      <c r="WJ3" s="2"/>
      <c r="WK3" s="2"/>
      <c r="WL3" s="2"/>
      <c r="WM3" s="2"/>
      <c r="WN3" s="2"/>
      <c r="WO3" s="2"/>
      <c r="WP3" s="2"/>
      <c r="WQ3" s="2"/>
      <c r="WR3" s="2"/>
      <c r="WS3" s="2"/>
      <c r="WT3" s="2"/>
      <c r="WU3" s="2"/>
      <c r="WV3" s="2"/>
      <c r="WW3" s="2"/>
      <c r="WX3" s="2"/>
      <c r="WY3" s="2"/>
      <c r="WZ3" s="2"/>
      <c r="XA3" s="2"/>
      <c r="XB3" s="2"/>
      <c r="XC3" s="2"/>
      <c r="XD3" s="2"/>
      <c r="XE3" s="2"/>
      <c r="XF3" s="2"/>
      <c r="XG3" s="2"/>
      <c r="XH3" s="2"/>
      <c r="XI3" s="2"/>
      <c r="XJ3" s="2"/>
      <c r="XK3" s="2"/>
      <c r="XL3" s="2"/>
      <c r="XM3" s="2"/>
      <c r="XN3" s="2"/>
      <c r="XO3" s="2"/>
      <c r="XP3" s="2"/>
      <c r="XQ3" s="2"/>
      <c r="XR3" s="2"/>
      <c r="XS3" s="2"/>
      <c r="XT3" s="2"/>
      <c r="XU3" s="2"/>
      <c r="XV3" s="2"/>
      <c r="XW3" s="2"/>
      <c r="XX3" s="2"/>
      <c r="XY3" s="2"/>
      <c r="XZ3" s="2"/>
      <c r="YA3" s="2"/>
      <c r="YB3" s="2"/>
      <c r="YC3" s="2"/>
      <c r="YD3" s="2"/>
      <c r="YE3" s="2"/>
      <c r="YF3" s="2"/>
      <c r="YG3" s="2"/>
      <c r="YH3" s="2"/>
      <c r="YI3" s="2"/>
      <c r="YJ3" s="2"/>
      <c r="YK3" s="2"/>
      <c r="YL3" s="2"/>
      <c r="YM3" s="2"/>
      <c r="YN3" s="2"/>
      <c r="YO3" s="2"/>
      <c r="YP3" s="2"/>
      <c r="YQ3" s="2"/>
      <c r="YR3" s="2"/>
      <c r="YS3" s="2"/>
      <c r="YT3" s="2"/>
      <c r="YU3" s="2"/>
      <c r="YV3" s="2"/>
      <c r="YW3" s="2"/>
      <c r="YX3" s="2"/>
      <c r="YY3" s="2"/>
      <c r="YZ3" s="2"/>
      <c r="ZA3" s="2"/>
      <c r="ZB3" s="2"/>
      <c r="ZC3" s="2"/>
      <c r="ZD3" s="2"/>
      <c r="ZE3" s="2"/>
      <c r="ZF3" s="2"/>
      <c r="ZG3" s="2"/>
      <c r="ZH3" s="2"/>
      <c r="ZI3" s="2"/>
      <c r="ZJ3" s="2"/>
      <c r="ZK3" s="2"/>
      <c r="ZL3" s="2"/>
      <c r="ZM3" s="2"/>
      <c r="ZN3" s="2"/>
      <c r="ZO3" s="2"/>
      <c r="ZP3" s="2"/>
      <c r="ZQ3" s="2"/>
      <c r="ZR3" s="2"/>
      <c r="ZS3" s="2"/>
      <c r="ZT3" s="2"/>
      <c r="ZU3" s="2"/>
      <c r="ZV3" s="2"/>
      <c r="ZW3" s="2"/>
      <c r="ZX3" s="2"/>
      <c r="ZY3" s="2"/>
      <c r="ZZ3" s="2"/>
      <c r="AAA3" s="2"/>
      <c r="AAB3" s="2"/>
      <c r="AAC3" s="2"/>
      <c r="AAD3" s="2"/>
      <c r="AAE3" s="2"/>
      <c r="AAF3" s="2"/>
      <c r="AAG3" s="2"/>
      <c r="AAH3" s="2"/>
      <c r="AAI3" s="2"/>
      <c r="AAJ3" s="2"/>
      <c r="AAK3" s="2"/>
      <c r="AAL3" s="2"/>
      <c r="AAM3" s="2"/>
      <c r="AAN3" s="2"/>
      <c r="AAO3" s="2"/>
      <c r="AAP3" s="2"/>
      <c r="AAQ3" s="2"/>
      <c r="AAR3" s="2"/>
      <c r="AAS3" s="2"/>
      <c r="AAT3" s="2"/>
      <c r="AAU3" s="2"/>
      <c r="AAV3" s="2"/>
      <c r="AAW3" s="2"/>
      <c r="AAX3" s="2"/>
      <c r="AAY3" s="2"/>
      <c r="AAZ3" s="2"/>
      <c r="ABA3" s="2"/>
      <c r="ABB3" s="2"/>
      <c r="ABC3" s="2"/>
      <c r="ABD3" s="2"/>
      <c r="ABE3" s="2"/>
      <c r="ABF3" s="2"/>
      <c r="ABG3" s="2"/>
      <c r="ABH3" s="2"/>
      <c r="ABI3" s="2"/>
      <c r="ABJ3" s="2"/>
      <c r="ABK3" s="2"/>
      <c r="ABL3" s="2"/>
      <c r="ABM3" s="2"/>
      <c r="ABN3" s="2"/>
      <c r="ABO3" s="2"/>
      <c r="ABP3" s="2"/>
      <c r="ABQ3" s="2"/>
      <c r="ABR3" s="2"/>
      <c r="ABS3" s="2"/>
      <c r="ABT3" s="2"/>
      <c r="ABU3" s="2"/>
      <c r="ABV3" s="2"/>
      <c r="ABW3" s="2"/>
      <c r="ABX3" s="2"/>
      <c r="ABY3" s="2"/>
      <c r="ABZ3" s="2"/>
      <c r="ACA3" s="2"/>
      <c r="ACB3" s="2"/>
      <c r="ACC3" s="2"/>
      <c r="ACD3" s="2"/>
      <c r="ACE3" s="2"/>
      <c r="ACF3" s="2"/>
      <c r="ACG3" s="2"/>
      <c r="ACH3" s="2"/>
      <c r="ACI3" s="2"/>
      <c r="ACJ3" s="2"/>
      <c r="ACK3" s="2"/>
      <c r="ACL3" s="2"/>
      <c r="ACM3" s="2"/>
      <c r="ACN3" s="2"/>
      <c r="ACO3" s="2"/>
      <c r="ACP3" s="2"/>
      <c r="ACQ3" s="2"/>
      <c r="ACR3" s="2"/>
      <c r="ACS3" s="2"/>
      <c r="ACT3" s="2"/>
      <c r="ACU3" s="2"/>
      <c r="ACV3" s="2"/>
      <c r="ACW3" s="2"/>
      <c r="ACX3" s="2"/>
      <c r="ACY3" s="2"/>
      <c r="ACZ3" s="2"/>
      <c r="ADA3" s="2"/>
      <c r="ADB3" s="2"/>
      <c r="ADC3" s="2"/>
      <c r="ADD3" s="2"/>
      <c r="ADE3" s="2"/>
      <c r="ADF3" s="2"/>
      <c r="ADG3" s="2"/>
      <c r="ADH3" s="2"/>
      <c r="ADI3" s="2"/>
      <c r="ADJ3" s="2"/>
      <c r="ADK3" s="2"/>
      <c r="ADL3" s="2"/>
      <c r="ADM3" s="2"/>
      <c r="ADN3" s="2"/>
      <c r="ADO3" s="2"/>
      <c r="ADP3" s="2"/>
      <c r="ADQ3" s="2"/>
      <c r="ADR3" s="2"/>
      <c r="ADS3" s="2"/>
      <c r="ADT3" s="2"/>
      <c r="ADU3" s="2"/>
      <c r="ADV3" s="2"/>
      <c r="ADW3" s="2"/>
      <c r="ADX3" s="2"/>
      <c r="ADY3" s="2"/>
      <c r="ADZ3" s="2"/>
      <c r="AEA3" s="2"/>
      <c r="AEB3" s="2"/>
      <c r="AEC3" s="2"/>
      <c r="AED3" s="2"/>
      <c r="AEE3" s="2"/>
      <c r="AEF3" s="2"/>
      <c r="AEG3" s="2"/>
      <c r="AEH3" s="2"/>
      <c r="AEI3" s="2"/>
      <c r="AEJ3" s="2"/>
      <c r="AEK3" s="2"/>
      <c r="AEL3" s="2"/>
      <c r="AEM3" s="2"/>
      <c r="AEN3" s="2"/>
      <c r="AEO3" s="2"/>
      <c r="AEP3" s="2"/>
      <c r="AEQ3" s="2"/>
      <c r="AER3" s="2"/>
      <c r="AES3" s="2"/>
      <c r="AET3" s="2"/>
      <c r="AEU3" s="2"/>
      <c r="AEV3" s="2"/>
      <c r="AEW3" s="2"/>
      <c r="AEX3" s="2"/>
      <c r="AEY3" s="2"/>
      <c r="AEZ3" s="2"/>
      <c r="AFA3" s="2"/>
      <c r="AFB3" s="2"/>
      <c r="AFC3" s="2"/>
      <c r="AFD3" s="2"/>
      <c r="AFE3" s="2"/>
      <c r="AFF3" s="2"/>
      <c r="AFG3" s="2"/>
      <c r="AFH3" s="2"/>
      <c r="AFI3" s="2"/>
      <c r="AFJ3" s="2"/>
      <c r="AFK3" s="2"/>
      <c r="AFL3" s="2"/>
      <c r="AFM3" s="2"/>
      <c r="AFN3" s="2"/>
      <c r="AFO3" s="2"/>
      <c r="AFP3" s="2"/>
      <c r="AFQ3" s="2"/>
      <c r="AFR3" s="2"/>
      <c r="AFS3" s="2"/>
      <c r="AFT3" s="2"/>
      <c r="AFU3" s="2"/>
      <c r="AFV3" s="2"/>
      <c r="AFW3" s="2"/>
      <c r="AFX3" s="2"/>
      <c r="AFY3" s="2"/>
      <c r="AFZ3" s="2"/>
      <c r="AGA3" s="2"/>
      <c r="AGB3" s="2"/>
      <c r="AGC3" s="2"/>
      <c r="AGD3" s="2"/>
      <c r="AGE3" s="2"/>
      <c r="AGF3" s="2"/>
      <c r="AGG3" s="2"/>
      <c r="AGH3" s="2"/>
      <c r="AGI3" s="2"/>
      <c r="AGJ3" s="2"/>
      <c r="AGK3" s="2"/>
      <c r="AGL3" s="2"/>
      <c r="AGM3" s="2"/>
      <c r="AGN3" s="2"/>
      <c r="AGO3" s="2"/>
      <c r="AGP3" s="2"/>
      <c r="AGQ3" s="2"/>
      <c r="AGR3" s="2"/>
      <c r="AGS3" s="2"/>
      <c r="AGT3" s="2"/>
      <c r="AGU3" s="2"/>
      <c r="AGV3" s="2"/>
      <c r="AGW3" s="2"/>
      <c r="AGX3" s="2"/>
      <c r="AGY3" s="2"/>
      <c r="AGZ3" s="2"/>
      <c r="AHA3" s="2"/>
      <c r="AHB3" s="2"/>
      <c r="AHC3" s="2"/>
      <c r="AHD3" s="2"/>
      <c r="AHE3" s="2"/>
      <c r="AHF3" s="2"/>
      <c r="AHG3" s="2"/>
      <c r="AHH3" s="2"/>
      <c r="AHI3" s="2"/>
      <c r="AHJ3" s="2"/>
      <c r="AHK3" s="2"/>
      <c r="AHL3" s="2"/>
      <c r="AHM3" s="2"/>
      <c r="AHN3" s="2"/>
      <c r="AHO3" s="2"/>
      <c r="AHP3" s="2"/>
      <c r="AHQ3" s="2"/>
      <c r="AHR3" s="2"/>
      <c r="AHS3" s="2"/>
      <c r="AHT3" s="2"/>
      <c r="AHU3" s="2"/>
      <c r="AHV3" s="2"/>
      <c r="AHW3" s="2"/>
      <c r="AHX3" s="2"/>
      <c r="AHY3" s="2"/>
      <c r="AHZ3" s="2"/>
      <c r="AIA3" s="2"/>
      <c r="AIB3" s="2"/>
      <c r="AIC3" s="2"/>
      <c r="AID3" s="2"/>
      <c r="AIE3" s="2"/>
      <c r="AIF3" s="2"/>
      <c r="AIG3" s="2"/>
      <c r="AIH3" s="2"/>
      <c r="AII3" s="2"/>
      <c r="AIJ3" s="2"/>
      <c r="AIK3" s="2"/>
      <c r="AIL3" s="2"/>
      <c r="AIM3" s="2"/>
      <c r="AIN3" s="2"/>
      <c r="AIO3" s="2"/>
      <c r="AIP3" s="2"/>
      <c r="AIQ3" s="2"/>
      <c r="AIR3" s="2"/>
      <c r="AIS3" s="2"/>
      <c r="AIT3" s="2"/>
      <c r="AIU3" s="2"/>
      <c r="AIV3" s="2"/>
      <c r="AIW3" s="2"/>
      <c r="AIX3" s="2"/>
      <c r="AIY3" s="2"/>
      <c r="AIZ3" s="2"/>
      <c r="AJA3" s="2"/>
      <c r="AJB3" s="2"/>
      <c r="AJC3" s="2"/>
      <c r="AJD3" s="2"/>
      <c r="AJE3" s="2"/>
      <c r="AJF3" s="2"/>
      <c r="AJG3" s="2"/>
      <c r="AJH3" s="2"/>
      <c r="AJI3" s="2"/>
      <c r="AJJ3" s="2"/>
      <c r="AJK3" s="2"/>
      <c r="AJL3" s="2"/>
      <c r="AJM3" s="2"/>
      <c r="AJN3" s="2"/>
      <c r="AJO3" s="2"/>
      <c r="AJP3" s="2"/>
      <c r="AJQ3" s="2"/>
      <c r="AJR3" s="2"/>
      <c r="AJS3" s="2"/>
      <c r="AJT3" s="2"/>
      <c r="AJU3" s="2"/>
      <c r="AJV3" s="2"/>
      <c r="AJW3" s="2"/>
      <c r="AJX3" s="2"/>
      <c r="AJY3" s="2"/>
      <c r="AJZ3" s="2"/>
      <c r="AKA3" s="2"/>
      <c r="AKB3" s="2"/>
      <c r="AKC3" s="2"/>
      <c r="AKD3" s="2"/>
      <c r="AKE3" s="2"/>
      <c r="AKF3" s="2"/>
      <c r="AKG3" s="2"/>
      <c r="AKH3" s="2"/>
      <c r="AKI3" s="2"/>
      <c r="AKJ3" s="2"/>
      <c r="AKK3" s="2"/>
      <c r="AKL3" s="2"/>
      <c r="AKM3" s="2"/>
      <c r="AKN3" s="2"/>
      <c r="AKO3" s="2"/>
      <c r="AKP3" s="2"/>
      <c r="AKQ3" s="2"/>
      <c r="AKR3" s="2"/>
      <c r="AKS3" s="2"/>
      <c r="AKT3" s="2"/>
      <c r="AKU3" s="2"/>
      <c r="AKV3" s="2"/>
      <c r="AKW3" s="2"/>
      <c r="AKX3" s="2"/>
      <c r="AKY3" s="2"/>
      <c r="AKZ3" s="2"/>
      <c r="ALA3" s="2"/>
      <c r="ALB3" s="2"/>
      <c r="ALC3" s="2"/>
      <c r="ALD3" s="2"/>
      <c r="ALE3" s="2"/>
      <c r="ALF3" s="2"/>
      <c r="ALG3" s="2"/>
      <c r="ALH3" s="2"/>
      <c r="ALI3" s="2"/>
      <c r="ALJ3" s="2"/>
      <c r="ALK3" s="2"/>
      <c r="ALL3" s="2"/>
      <c r="ALM3" s="2"/>
      <c r="ALN3" s="2"/>
      <c r="ALO3" s="2"/>
      <c r="ALP3" s="2"/>
      <c r="ALQ3" s="2"/>
      <c r="ALR3" s="2"/>
      <c r="ALS3" s="2"/>
      <c r="ALT3" s="2"/>
      <c r="ALU3" s="2"/>
      <c r="ALV3" s="2"/>
      <c r="ALW3" s="2"/>
      <c r="ALX3" s="2"/>
      <c r="ALY3" s="2"/>
      <c r="ALZ3" s="2"/>
      <c r="AMA3" s="2"/>
      <c r="AMB3" s="2"/>
      <c r="AMC3" s="2"/>
      <c r="AMD3" s="2"/>
      <c r="AME3" s="2"/>
      <c r="AMF3" s="2"/>
      <c r="AMG3" s="2"/>
      <c r="AMH3" s="2"/>
      <c r="AMI3" s="2"/>
      <c r="AMJ3" s="2"/>
      <c r="AMK3" s="2"/>
      <c r="AML3" s="2"/>
      <c r="AMM3" s="2"/>
      <c r="AMN3" s="2"/>
      <c r="AMO3" s="2"/>
      <c r="AMP3" s="2"/>
      <c r="AMQ3" s="2"/>
      <c r="AMR3" s="2"/>
      <c r="AMS3" s="2"/>
      <c r="AMT3" s="2"/>
      <c r="AMU3" s="2"/>
      <c r="AMV3" s="2"/>
      <c r="AMW3" s="2"/>
      <c r="AMX3" s="2"/>
      <c r="AMY3" s="2"/>
      <c r="AMZ3" s="2"/>
      <c r="ANA3" s="2"/>
      <c r="ANB3" s="2"/>
      <c r="ANC3" s="2"/>
      <c r="AND3" s="2"/>
      <c r="ANE3" s="2"/>
      <c r="ANF3" s="2"/>
      <c r="ANG3" s="2"/>
      <c r="ANH3" s="2"/>
      <c r="ANI3" s="2"/>
      <c r="ANJ3" s="2"/>
      <c r="ANK3" s="2"/>
      <c r="ANL3" s="2"/>
      <c r="ANM3" s="2"/>
      <c r="ANN3" s="2"/>
      <c r="ANO3" s="2"/>
      <c r="ANP3" s="2"/>
      <c r="ANQ3" s="2"/>
      <c r="ANR3" s="2"/>
      <c r="ANS3" s="2"/>
      <c r="ANT3" s="2"/>
      <c r="ANU3" s="2"/>
      <c r="ANV3" s="2"/>
      <c r="ANW3" s="2"/>
      <c r="ANX3" s="2"/>
      <c r="ANY3" s="2"/>
      <c r="ANZ3" s="2"/>
      <c r="AOA3" s="2"/>
      <c r="AOB3" s="2"/>
      <c r="AOC3" s="2"/>
      <c r="AOD3" s="2"/>
      <c r="AOE3" s="2"/>
      <c r="AOF3" s="2"/>
      <c r="AOG3" s="2"/>
      <c r="AOH3" s="2"/>
      <c r="AOI3" s="2"/>
      <c r="AOJ3" s="2"/>
      <c r="AOK3" s="2"/>
      <c r="AOL3" s="2"/>
      <c r="AOM3" s="2"/>
      <c r="AON3" s="2"/>
      <c r="AOO3" s="2"/>
      <c r="AOP3" s="2"/>
      <c r="AOQ3" s="2"/>
      <c r="AOR3" s="2"/>
      <c r="AOS3" s="2"/>
      <c r="AOT3" s="2"/>
      <c r="AOU3" s="2"/>
      <c r="AOV3" s="2"/>
      <c r="AOW3" s="2"/>
      <c r="AOX3" s="2"/>
      <c r="AOY3" s="2"/>
      <c r="AOZ3" s="2"/>
      <c r="APA3" s="2"/>
      <c r="APB3" s="2"/>
      <c r="APC3" s="2"/>
      <c r="APD3" s="2"/>
      <c r="APE3" s="2"/>
      <c r="APF3" s="2"/>
      <c r="APG3" s="2"/>
      <c r="APH3" s="2"/>
      <c r="API3" s="2"/>
      <c r="APJ3" s="2"/>
      <c r="APK3" s="2"/>
      <c r="APL3" s="2"/>
      <c r="APM3" s="2"/>
      <c r="APN3" s="2"/>
      <c r="APO3" s="2"/>
      <c r="APP3" s="2"/>
      <c r="APQ3" s="2"/>
      <c r="APR3" s="2"/>
      <c r="APS3" s="2"/>
      <c r="APT3" s="2"/>
      <c r="APU3" s="2"/>
      <c r="APV3" s="2"/>
      <c r="APW3" s="2"/>
      <c r="APX3" s="2"/>
      <c r="APY3" s="2"/>
      <c r="APZ3" s="2"/>
      <c r="AQA3" s="2"/>
      <c r="AQB3" s="2"/>
      <c r="AQC3" s="2"/>
      <c r="AQD3" s="2"/>
      <c r="AQE3" s="2"/>
      <c r="AQF3" s="2"/>
      <c r="AQG3" s="2"/>
      <c r="AQH3" s="2"/>
      <c r="AQI3" s="2"/>
      <c r="AQJ3" s="2"/>
      <c r="AQK3" s="2"/>
      <c r="AQL3" s="2"/>
      <c r="AQM3" s="2"/>
      <c r="AQN3" s="2"/>
      <c r="AQO3" s="2"/>
      <c r="AQP3" s="2"/>
      <c r="AQQ3" s="2"/>
      <c r="AQR3" s="2"/>
      <c r="AQS3" s="2"/>
      <c r="AQT3" s="2"/>
      <c r="AQU3" s="2"/>
      <c r="AQV3" s="2"/>
      <c r="AQW3" s="2"/>
      <c r="AQX3" s="2"/>
      <c r="AQY3" s="2"/>
      <c r="AQZ3" s="2"/>
      <c r="ARA3" s="2"/>
      <c r="ARB3" s="2"/>
      <c r="ARC3" s="2"/>
      <c r="ARD3" s="2"/>
      <c r="ARE3" s="2"/>
      <c r="ARF3" s="2"/>
      <c r="ARG3" s="2"/>
      <c r="ARH3" s="2"/>
      <c r="ARI3" s="2"/>
      <c r="ARJ3" s="2"/>
      <c r="ARK3" s="2"/>
      <c r="ARL3" s="2"/>
      <c r="ARM3" s="2"/>
      <c r="ARN3" s="2"/>
      <c r="ARO3" s="2"/>
      <c r="ARP3" s="2"/>
      <c r="ARQ3" s="2"/>
      <c r="ARR3" s="2"/>
      <c r="ARS3" s="2"/>
      <c r="ART3" s="2"/>
      <c r="ARU3" s="2"/>
      <c r="ARV3" s="2"/>
      <c r="ARW3" s="2"/>
      <c r="ARX3" s="2"/>
      <c r="ARY3" s="2"/>
      <c r="ARZ3" s="2"/>
      <c r="ASA3" s="2"/>
      <c r="ASB3" s="2"/>
      <c r="ASC3" s="2"/>
      <c r="ASD3" s="2"/>
      <c r="ASE3" s="2"/>
      <c r="ASF3" s="2"/>
      <c r="ASG3" s="2"/>
      <c r="ASH3" s="2"/>
      <c r="ASI3" s="2"/>
      <c r="ASJ3" s="2"/>
      <c r="ASK3" s="2"/>
      <c r="ASL3" s="2"/>
      <c r="ASM3" s="2"/>
      <c r="ASN3" s="2"/>
      <c r="ASO3" s="2"/>
      <c r="ASP3" s="2"/>
      <c r="ASQ3" s="2"/>
      <c r="ASR3" s="2"/>
      <c r="ASS3" s="2"/>
      <c r="AST3" s="2"/>
      <c r="ASU3" s="2"/>
      <c r="ASV3" s="2"/>
      <c r="ASW3" s="2"/>
      <c r="ASX3" s="2"/>
      <c r="ASY3" s="2"/>
      <c r="ASZ3" s="2"/>
      <c r="ATA3" s="2"/>
      <c r="ATB3" s="2"/>
      <c r="ATC3" s="2"/>
      <c r="ATD3" s="2"/>
      <c r="ATE3" s="2"/>
      <c r="ATF3" s="2"/>
      <c r="ATG3" s="2"/>
      <c r="ATH3" s="2"/>
      <c r="ATI3" s="2"/>
      <c r="ATJ3" s="2"/>
      <c r="ATK3" s="2"/>
      <c r="ATL3" s="2"/>
      <c r="ATM3" s="2"/>
      <c r="ATN3" s="2"/>
      <c r="ATO3" s="2"/>
      <c r="ATP3" s="2"/>
      <c r="ATQ3" s="2"/>
      <c r="ATR3" s="2"/>
      <c r="ATS3" s="2"/>
      <c r="ATT3" s="2"/>
      <c r="ATU3" s="2"/>
      <c r="ATV3" s="2"/>
      <c r="ATW3" s="2"/>
      <c r="ATX3" s="2"/>
      <c r="ATY3" s="2"/>
      <c r="ATZ3" s="2"/>
      <c r="AUA3" s="2"/>
      <c r="AUB3" s="2"/>
      <c r="AUC3" s="2"/>
      <c r="AUD3" s="2"/>
      <c r="AUE3" s="2"/>
      <c r="AUF3" s="2"/>
      <c r="AUG3" s="2"/>
      <c r="AUH3" s="2"/>
      <c r="AUI3" s="2"/>
      <c r="AUJ3" s="2"/>
      <c r="AUK3" s="2"/>
      <c r="AUL3" s="2"/>
      <c r="AUM3" s="2"/>
      <c r="AUN3" s="2"/>
      <c r="AUO3" s="2"/>
      <c r="AUP3" s="2"/>
      <c r="AUQ3" s="2"/>
      <c r="AUR3" s="2"/>
      <c r="AUS3" s="2"/>
      <c r="AUT3" s="2"/>
      <c r="AUU3" s="2"/>
      <c r="AUV3" s="2"/>
      <c r="AUW3" s="2"/>
      <c r="AUX3" s="2"/>
      <c r="AUY3" s="2"/>
      <c r="AUZ3" s="2"/>
      <c r="AVA3" s="2"/>
      <c r="AVB3" s="2"/>
      <c r="AVC3" s="2"/>
      <c r="AVD3" s="2"/>
      <c r="AVE3" s="2"/>
      <c r="AVF3" s="2"/>
      <c r="AVG3" s="2"/>
      <c r="AVH3" s="2"/>
      <c r="AVI3" s="2"/>
      <c r="AVJ3" s="2"/>
      <c r="AVK3" s="2"/>
      <c r="AVL3" s="2"/>
      <c r="AVM3" s="2"/>
      <c r="AVN3" s="2"/>
      <c r="AVO3" s="2"/>
      <c r="AVP3" s="2"/>
      <c r="AVQ3" s="2"/>
      <c r="AVR3" s="2"/>
      <c r="AVS3" s="2"/>
      <c r="AVT3" s="2"/>
      <c r="AVU3" s="2"/>
      <c r="AVV3" s="2"/>
      <c r="AVW3" s="2"/>
      <c r="AVX3" s="2"/>
      <c r="AVY3" s="2"/>
      <c r="AVZ3" s="2"/>
      <c r="AWA3" s="2"/>
      <c r="AWB3" s="2"/>
      <c r="AWC3" s="2"/>
      <c r="AWD3" s="2"/>
      <c r="AWE3" s="2"/>
      <c r="AWF3" s="2"/>
      <c r="AWG3" s="2"/>
      <c r="AWH3" s="2"/>
      <c r="AWI3" s="2"/>
      <c r="AWJ3" s="2"/>
      <c r="AWK3" s="2"/>
      <c r="AWL3" s="2"/>
      <c r="AWM3" s="2"/>
      <c r="AWN3" s="2"/>
      <c r="AWO3" s="2"/>
      <c r="AWP3" s="2"/>
      <c r="AWQ3" s="2"/>
      <c r="AWR3" s="2"/>
      <c r="AWS3" s="2"/>
      <c r="AWT3" s="2"/>
      <c r="AWU3" s="2"/>
      <c r="AWV3" s="2"/>
      <c r="AWW3" s="2"/>
      <c r="AWX3" s="2"/>
      <c r="AWY3" s="2"/>
      <c r="AWZ3" s="2"/>
      <c r="AXA3" s="2"/>
      <c r="AXB3" s="2"/>
      <c r="AXC3" s="2"/>
      <c r="AXD3" s="2"/>
      <c r="AXE3" s="2"/>
      <c r="AXF3" s="2"/>
      <c r="AXG3" s="2"/>
      <c r="AXH3" s="2"/>
      <c r="AXI3" s="2"/>
      <c r="AXJ3" s="2"/>
      <c r="AXK3" s="2"/>
      <c r="AXL3" s="2"/>
      <c r="AXM3" s="2"/>
      <c r="AXN3" s="2"/>
      <c r="AXO3" s="2"/>
      <c r="AXP3" s="2"/>
      <c r="AXQ3" s="2"/>
      <c r="AXR3" s="2"/>
      <c r="AXS3" s="2"/>
      <c r="AXT3" s="2"/>
      <c r="AXU3" s="2"/>
      <c r="AXV3" s="2"/>
      <c r="AXW3" s="2"/>
      <c r="AXX3" s="2"/>
      <c r="AXY3" s="2"/>
      <c r="AXZ3" s="2"/>
      <c r="AYA3" s="2"/>
      <c r="AYB3" s="2"/>
      <c r="AYC3" s="2"/>
      <c r="AYD3" s="2"/>
      <c r="AYE3" s="2"/>
      <c r="AYF3" s="2"/>
      <c r="AYG3" s="2"/>
      <c r="AYH3" s="2"/>
      <c r="AYI3" s="2"/>
      <c r="AYJ3" s="2"/>
      <c r="AYK3" s="2"/>
      <c r="AYL3" s="2"/>
      <c r="AYM3" s="2"/>
      <c r="AYN3" s="2"/>
      <c r="AYO3" s="2"/>
      <c r="AYP3" s="2"/>
      <c r="AYQ3" s="2"/>
      <c r="AYR3" s="2"/>
      <c r="AYS3" s="2"/>
      <c r="AYT3" s="2"/>
      <c r="AYU3" s="2"/>
      <c r="AYV3" s="2"/>
      <c r="AYW3" s="2"/>
      <c r="AYX3" s="2"/>
      <c r="AYY3" s="2"/>
      <c r="AYZ3" s="2"/>
      <c r="AZA3" s="2"/>
      <c r="AZB3" s="2"/>
      <c r="AZC3" s="2"/>
      <c r="AZD3" s="2"/>
      <c r="AZE3" s="2"/>
      <c r="AZF3" s="2"/>
      <c r="AZG3" s="2"/>
      <c r="AZH3" s="2"/>
      <c r="AZI3" s="2"/>
      <c r="AZJ3" s="2"/>
      <c r="AZK3" s="2"/>
      <c r="AZL3" s="2"/>
      <c r="AZM3" s="2"/>
      <c r="AZN3" s="2"/>
      <c r="AZO3" s="2"/>
      <c r="AZP3" s="2"/>
      <c r="AZQ3" s="2"/>
      <c r="AZR3" s="2"/>
      <c r="AZS3" s="2"/>
      <c r="AZT3" s="2"/>
      <c r="AZU3" s="2"/>
      <c r="AZV3" s="2"/>
      <c r="AZW3" s="2"/>
      <c r="AZX3" s="2"/>
      <c r="AZY3" s="2"/>
      <c r="AZZ3" s="2"/>
      <c r="BAA3" s="2"/>
      <c r="BAB3" s="2"/>
      <c r="BAC3" s="2"/>
      <c r="BAD3" s="2"/>
      <c r="BAE3" s="2"/>
      <c r="BAF3" s="2"/>
      <c r="BAG3" s="2"/>
      <c r="BAH3" s="2"/>
      <c r="BAI3" s="2"/>
      <c r="BAJ3" s="2"/>
      <c r="BAK3" s="2"/>
      <c r="BAL3" s="2"/>
      <c r="BAM3" s="2"/>
      <c r="BAN3" s="2"/>
      <c r="BAO3" s="2"/>
      <c r="BAP3" s="2"/>
      <c r="BAQ3" s="2"/>
      <c r="BAR3" s="2"/>
      <c r="BAS3" s="2"/>
      <c r="BAT3" s="2"/>
      <c r="BAU3" s="2"/>
      <c r="BAV3" s="2"/>
      <c r="BAW3" s="2"/>
      <c r="BAX3" s="2"/>
      <c r="BAY3" s="2"/>
      <c r="BAZ3" s="2"/>
      <c r="BBA3" s="2"/>
      <c r="BBB3" s="2"/>
      <c r="BBC3" s="2"/>
      <c r="BBD3" s="2"/>
      <c r="BBE3" s="2"/>
      <c r="BBF3" s="2"/>
      <c r="BBG3" s="2"/>
      <c r="BBH3" s="2"/>
      <c r="BBI3" s="2"/>
      <c r="BBJ3" s="2"/>
      <c r="BBK3" s="2"/>
      <c r="BBL3" s="2"/>
      <c r="BBM3" s="2"/>
      <c r="BBN3" s="2"/>
      <c r="BBO3" s="2"/>
      <c r="BBP3" s="2"/>
      <c r="BBQ3" s="2"/>
      <c r="BBR3" s="2"/>
      <c r="BBS3" s="2"/>
      <c r="BBT3" s="2"/>
      <c r="BBU3" s="2"/>
      <c r="BBV3" s="2"/>
      <c r="BBW3" s="2"/>
      <c r="BBX3" s="2"/>
      <c r="BBY3" s="2"/>
      <c r="BBZ3" s="2"/>
      <c r="BCA3" s="2"/>
      <c r="BCB3" s="2"/>
      <c r="BCC3" s="2"/>
      <c r="BCD3" s="2"/>
      <c r="BCE3" s="2"/>
      <c r="BCF3" s="2"/>
      <c r="BCG3" s="2"/>
      <c r="BCH3" s="2"/>
      <c r="BCI3" s="2"/>
      <c r="BCJ3" s="2"/>
      <c r="BCK3" s="2"/>
      <c r="BCL3" s="2"/>
      <c r="BCM3" s="2"/>
      <c r="BCN3" s="2"/>
      <c r="BCO3" s="2"/>
      <c r="BCP3" s="2"/>
      <c r="BCQ3" s="2"/>
      <c r="BCR3" s="2"/>
      <c r="BCS3" s="2"/>
      <c r="BCT3" s="2"/>
      <c r="BCU3" s="2"/>
      <c r="BCV3" s="2"/>
      <c r="BCW3" s="2"/>
      <c r="BCX3" s="2"/>
      <c r="BCY3" s="2"/>
      <c r="BCZ3" s="2"/>
      <c r="BDA3" s="2"/>
      <c r="BDB3" s="2"/>
      <c r="BDC3" s="2"/>
      <c r="BDD3" s="2"/>
      <c r="BDE3" s="2"/>
      <c r="BDF3" s="2"/>
      <c r="BDG3" s="2"/>
      <c r="BDH3" s="2"/>
      <c r="BDI3" s="2"/>
      <c r="BDJ3" s="2"/>
      <c r="BDK3" s="2"/>
      <c r="BDL3" s="2"/>
      <c r="BDM3" s="2"/>
      <c r="BDN3" s="2"/>
      <c r="BDO3" s="2"/>
      <c r="BDP3" s="2"/>
      <c r="BDQ3" s="2"/>
      <c r="BDR3" s="2"/>
      <c r="BDS3" s="2"/>
      <c r="BDT3" s="2"/>
      <c r="BDU3" s="2"/>
      <c r="BDV3" s="2"/>
      <c r="BDW3" s="2"/>
      <c r="BDX3" s="2"/>
      <c r="BDY3" s="2"/>
      <c r="BDZ3" s="2"/>
      <c r="BEA3" s="2"/>
      <c r="BEB3" s="2"/>
      <c r="BEC3" s="2"/>
      <c r="BED3" s="2"/>
      <c r="BEE3" s="2"/>
      <c r="BEF3" s="2"/>
      <c r="BEG3" s="2"/>
      <c r="BEH3" s="2"/>
      <c r="BEI3" s="2"/>
      <c r="BEJ3" s="2"/>
      <c r="BEK3" s="2"/>
      <c r="BEL3" s="2"/>
      <c r="BEM3" s="2"/>
      <c r="BEN3" s="2"/>
      <c r="BEO3" s="2"/>
      <c r="BEP3" s="2"/>
      <c r="BEQ3" s="2"/>
      <c r="BER3" s="2"/>
      <c r="BES3" s="2"/>
      <c r="BET3" s="2"/>
      <c r="BEU3" s="2"/>
      <c r="BEV3" s="2"/>
      <c r="BEW3" s="2"/>
      <c r="BEX3" s="2"/>
      <c r="BEY3" s="2"/>
      <c r="BEZ3" s="2"/>
      <c r="BFA3" s="2"/>
      <c r="BFB3" s="2"/>
      <c r="BFC3" s="2"/>
      <c r="BFD3" s="2"/>
      <c r="BFE3" s="2"/>
      <c r="BFF3" s="2"/>
      <c r="BFG3" s="2"/>
      <c r="BFH3" s="2"/>
      <c r="BFI3" s="2"/>
      <c r="BFJ3" s="2"/>
      <c r="BFK3" s="2"/>
      <c r="BFL3" s="2"/>
      <c r="BFM3" s="2"/>
      <c r="BFN3" s="2"/>
      <c r="BFO3" s="2"/>
      <c r="BFP3" s="2"/>
      <c r="BFQ3" s="2"/>
      <c r="BFR3" s="2"/>
      <c r="BFS3" s="2"/>
      <c r="BFT3" s="2"/>
      <c r="BFU3" s="2"/>
      <c r="BFV3" s="2"/>
      <c r="BFW3" s="2"/>
      <c r="BFX3" s="2"/>
      <c r="BFY3" s="2"/>
      <c r="BFZ3" s="2"/>
      <c r="BGA3" s="2"/>
      <c r="BGB3" s="2"/>
      <c r="BGC3" s="2"/>
      <c r="BGD3" s="2"/>
      <c r="BGE3" s="2"/>
      <c r="BGF3" s="2"/>
      <c r="BGG3" s="2"/>
      <c r="BGH3" s="2"/>
      <c r="BGI3" s="2"/>
      <c r="BGJ3" s="2"/>
      <c r="BGK3" s="2"/>
      <c r="BGL3" s="2"/>
      <c r="BGM3" s="2"/>
      <c r="BGN3" s="2"/>
      <c r="BGO3" s="2"/>
      <c r="BGP3" s="2"/>
      <c r="BGQ3" s="2"/>
      <c r="BGR3" s="2"/>
      <c r="BGS3" s="2"/>
      <c r="BGT3" s="2"/>
      <c r="BGU3" s="2"/>
      <c r="BGV3" s="2"/>
      <c r="BGW3" s="2"/>
      <c r="BGX3" s="2"/>
      <c r="BGY3" s="2"/>
      <c r="BGZ3" s="2"/>
      <c r="BHA3" s="2"/>
      <c r="BHB3" s="2"/>
      <c r="BHC3" s="2"/>
      <c r="BHD3" s="2"/>
      <c r="BHE3" s="2"/>
      <c r="BHF3" s="2"/>
      <c r="BHG3" s="2"/>
      <c r="BHH3" s="2"/>
      <c r="BHI3" s="2"/>
      <c r="BHJ3" s="2"/>
      <c r="BHK3" s="2"/>
      <c r="BHL3" s="2"/>
      <c r="BHM3" s="2"/>
      <c r="BHN3" s="2"/>
      <c r="BHO3" s="2"/>
      <c r="BHP3" s="2"/>
      <c r="BHQ3" s="2"/>
      <c r="BHR3" s="2"/>
      <c r="BHS3" s="2"/>
      <c r="BHT3" s="2"/>
      <c r="BHU3" s="2"/>
      <c r="BHV3" s="2"/>
      <c r="BHW3" s="2"/>
      <c r="BHX3" s="2"/>
      <c r="BHY3" s="2"/>
      <c r="BHZ3" s="2"/>
      <c r="BIA3" s="2"/>
      <c r="BIB3" s="2"/>
      <c r="BIC3" s="2"/>
      <c r="BID3" s="2"/>
      <c r="BIE3" s="2"/>
      <c r="BIF3" s="2"/>
      <c r="BIG3" s="2"/>
      <c r="BIH3" s="2"/>
      <c r="BII3" s="2"/>
      <c r="BIJ3" s="2"/>
      <c r="BIK3" s="2"/>
      <c r="BIL3" s="2"/>
      <c r="BIM3" s="2"/>
      <c r="BIN3" s="2"/>
      <c r="BIO3" s="2"/>
      <c r="BIP3" s="2"/>
      <c r="BIQ3" s="2"/>
      <c r="BIR3" s="2"/>
      <c r="BIS3" s="2"/>
      <c r="BIT3" s="2"/>
      <c r="BIU3" s="2"/>
      <c r="BIV3" s="2"/>
      <c r="BIW3" s="2"/>
      <c r="BIX3" s="2"/>
      <c r="BIY3" s="2"/>
      <c r="BIZ3" s="2"/>
      <c r="BJA3" s="2"/>
      <c r="BJB3" s="2"/>
      <c r="BJC3" s="2"/>
      <c r="BJD3" s="2"/>
      <c r="BJE3" s="2"/>
      <c r="BJF3" s="2"/>
      <c r="BJG3" s="2"/>
      <c r="BJH3" s="2"/>
      <c r="BJI3" s="2"/>
      <c r="BJJ3" s="2"/>
      <c r="BJK3" s="2"/>
      <c r="BJL3" s="2"/>
      <c r="BJM3" s="2"/>
      <c r="BJN3" s="2"/>
      <c r="BJO3" s="2"/>
      <c r="BJP3" s="2"/>
      <c r="BJQ3" s="2"/>
      <c r="BJR3" s="2"/>
      <c r="BJS3" s="2"/>
      <c r="BJT3" s="2"/>
      <c r="BJU3" s="2"/>
      <c r="BJV3" s="2"/>
      <c r="BJW3" s="2"/>
      <c r="BJX3" s="2"/>
      <c r="BJY3" s="2"/>
      <c r="BJZ3" s="2"/>
      <c r="BKA3" s="2"/>
      <c r="BKB3" s="2"/>
      <c r="BKC3" s="2"/>
      <c r="BKD3" s="2"/>
      <c r="BKE3" s="2"/>
      <c r="BKF3" s="2"/>
      <c r="BKG3" s="2"/>
      <c r="BKH3" s="2"/>
      <c r="BKI3" s="2"/>
      <c r="BKJ3" s="2"/>
      <c r="BKK3" s="2"/>
      <c r="BKL3" s="2"/>
      <c r="BKM3" s="2"/>
      <c r="BKN3" s="2"/>
      <c r="BKO3" s="2"/>
      <c r="BKP3" s="2"/>
      <c r="BKQ3" s="2"/>
      <c r="BKR3" s="2"/>
      <c r="BKS3" s="2"/>
      <c r="BKT3" s="2"/>
      <c r="BKU3" s="2"/>
      <c r="BKV3" s="2"/>
      <c r="BKW3" s="2"/>
      <c r="BKX3" s="2"/>
      <c r="BKY3" s="2"/>
      <c r="BKZ3" s="2"/>
      <c r="BLA3" s="2"/>
      <c r="BLB3" s="2"/>
      <c r="BLC3" s="2"/>
      <c r="BLD3" s="2"/>
      <c r="BLE3" s="2"/>
      <c r="BLF3" s="2"/>
      <c r="BLG3" s="2"/>
      <c r="BLH3" s="2"/>
      <c r="BLI3" s="2"/>
      <c r="BLJ3" s="2"/>
      <c r="BLK3" s="2"/>
      <c r="BLL3" s="2"/>
      <c r="BLM3" s="2"/>
      <c r="BLN3" s="2"/>
      <c r="BLO3" s="2"/>
      <c r="BLP3" s="2"/>
      <c r="BLQ3" s="2"/>
      <c r="BLR3" s="2"/>
      <c r="BLS3" s="2"/>
      <c r="BLT3" s="2"/>
      <c r="BLU3" s="2"/>
      <c r="BLV3" s="2"/>
      <c r="BLW3" s="2"/>
      <c r="BLX3" s="2"/>
      <c r="BLY3" s="2"/>
      <c r="BLZ3" s="2"/>
      <c r="BMA3" s="2"/>
      <c r="BMB3" s="2"/>
      <c r="BMC3" s="2"/>
      <c r="BMD3" s="2"/>
      <c r="BME3" s="2"/>
      <c r="BMF3" s="2"/>
      <c r="BMG3" s="2"/>
      <c r="BMH3" s="2"/>
      <c r="BMI3" s="2"/>
      <c r="BMJ3" s="2"/>
      <c r="BMK3" s="2"/>
      <c r="BML3" s="2"/>
      <c r="BMM3" s="2"/>
      <c r="BMN3" s="2"/>
      <c r="BMO3" s="2"/>
      <c r="BMP3" s="2"/>
      <c r="BMQ3" s="2"/>
      <c r="BMR3" s="2"/>
      <c r="BMS3" s="2"/>
      <c r="BMT3" s="2"/>
      <c r="BMU3" s="2"/>
      <c r="BMV3" s="2"/>
      <c r="BMW3" s="2"/>
      <c r="BMX3" s="2"/>
      <c r="BMY3" s="2"/>
      <c r="BMZ3" s="2"/>
      <c r="BNA3" s="2"/>
      <c r="BNB3" s="2"/>
      <c r="BNC3" s="2"/>
      <c r="BND3" s="2"/>
      <c r="BNE3" s="2"/>
      <c r="BNF3" s="2"/>
      <c r="BNG3" s="2"/>
      <c r="BNH3" s="2"/>
      <c r="BNI3" s="2"/>
      <c r="BNJ3" s="2"/>
      <c r="BNK3" s="2"/>
      <c r="BNL3" s="2"/>
      <c r="BNM3" s="2"/>
      <c r="BNN3" s="2"/>
      <c r="BNO3" s="2"/>
      <c r="BNP3" s="2"/>
      <c r="BNQ3" s="2"/>
      <c r="BNR3" s="2"/>
      <c r="BNS3" s="2"/>
      <c r="BNT3" s="2"/>
      <c r="BNU3" s="2"/>
      <c r="BNV3" s="2"/>
      <c r="BNW3" s="2"/>
      <c r="BNX3" s="2"/>
      <c r="BNY3" s="2"/>
      <c r="BNZ3" s="2"/>
      <c r="BOA3" s="2"/>
      <c r="BOB3" s="2"/>
      <c r="BOC3" s="2"/>
      <c r="BOD3" s="2"/>
      <c r="BOE3" s="2"/>
      <c r="BOF3" s="2"/>
      <c r="BOG3" s="2"/>
      <c r="BOH3" s="2"/>
      <c r="BOI3" s="2"/>
      <c r="BOJ3" s="2"/>
      <c r="BOK3" s="2"/>
      <c r="BOL3" s="2"/>
      <c r="BOM3" s="2"/>
      <c r="BON3" s="2"/>
      <c r="BOO3" s="2"/>
      <c r="BOP3" s="2"/>
      <c r="BOQ3" s="2"/>
      <c r="BOR3" s="2"/>
      <c r="BOS3" s="2"/>
      <c r="BOT3" s="2"/>
      <c r="BOU3" s="2"/>
      <c r="BOV3" s="2"/>
      <c r="BOW3" s="2"/>
      <c r="BOX3" s="2"/>
      <c r="BOY3" s="2"/>
      <c r="BOZ3" s="2"/>
      <c r="BPA3" s="2"/>
      <c r="BPB3" s="2"/>
      <c r="BPC3" s="2"/>
      <c r="BPD3" s="2"/>
      <c r="BPE3" s="2"/>
      <c r="BPF3" s="2"/>
      <c r="BPG3" s="2"/>
      <c r="BPH3" s="2"/>
      <c r="BPI3" s="2"/>
      <c r="BPJ3" s="2"/>
      <c r="BPK3" s="2"/>
      <c r="BPL3" s="2"/>
      <c r="BPM3" s="2"/>
      <c r="BPN3" s="2"/>
      <c r="BPO3" s="2"/>
      <c r="BPP3" s="2"/>
      <c r="BPQ3" s="2"/>
      <c r="BPR3" s="2"/>
      <c r="BPS3" s="2"/>
      <c r="BPT3" s="2"/>
      <c r="BPU3" s="2"/>
      <c r="BPV3" s="2"/>
      <c r="BPW3" s="2"/>
      <c r="BPX3" s="2"/>
      <c r="BPY3" s="2"/>
      <c r="BPZ3" s="2"/>
      <c r="BQA3" s="2"/>
      <c r="BQB3" s="2"/>
      <c r="BQC3" s="2"/>
      <c r="BQD3" s="2"/>
      <c r="BQE3" s="2"/>
      <c r="BQF3" s="2"/>
      <c r="BQG3" s="2"/>
      <c r="BQH3" s="2"/>
      <c r="BQI3" s="2"/>
      <c r="BQJ3" s="2"/>
      <c r="BQK3" s="2"/>
      <c r="BQL3" s="2"/>
    </row>
    <row r="4" spans="1:1806" ht="12.9" customHeight="1" x14ac:dyDescent="0.3">
      <c r="A4" s="43"/>
      <c r="B4" s="37"/>
      <c r="C4" s="38"/>
      <c r="D4" s="6"/>
      <c r="E4" s="4" t="s">
        <v>4</v>
      </c>
      <c r="F4" s="4" t="s">
        <v>5</v>
      </c>
      <c r="G4" s="4" t="s">
        <v>6</v>
      </c>
      <c r="H4" s="5"/>
      <c r="I4" s="24"/>
      <c r="J4" s="24"/>
      <c r="K4" s="24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  <c r="KF4" s="2"/>
      <c r="KG4" s="2"/>
      <c r="KH4" s="2"/>
      <c r="KI4" s="2"/>
      <c r="KJ4" s="2"/>
      <c r="KK4" s="2"/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  <c r="LD4" s="2"/>
      <c r="LE4" s="2"/>
      <c r="LF4" s="2"/>
      <c r="LG4" s="2"/>
      <c r="LH4" s="2"/>
      <c r="LI4" s="2"/>
      <c r="LJ4" s="2"/>
      <c r="LK4" s="2"/>
      <c r="LL4" s="2"/>
      <c r="LM4" s="2"/>
      <c r="LN4" s="2"/>
      <c r="LO4" s="2"/>
      <c r="LP4" s="2"/>
      <c r="LQ4" s="2"/>
      <c r="LR4" s="2"/>
      <c r="LS4" s="2"/>
      <c r="LT4" s="2"/>
      <c r="LU4" s="2"/>
      <c r="LV4" s="2"/>
      <c r="LW4" s="2"/>
      <c r="LX4" s="2"/>
      <c r="LY4" s="2"/>
      <c r="LZ4" s="2"/>
      <c r="MA4" s="2"/>
      <c r="MB4" s="2"/>
      <c r="MC4" s="2"/>
      <c r="MD4" s="2"/>
      <c r="ME4" s="2"/>
      <c r="MF4" s="2"/>
      <c r="MG4" s="2"/>
      <c r="MH4" s="2"/>
      <c r="MI4" s="2"/>
      <c r="MJ4" s="2"/>
      <c r="MK4" s="2"/>
      <c r="ML4" s="2"/>
      <c r="MM4" s="2"/>
      <c r="MN4" s="2"/>
      <c r="MO4" s="2"/>
      <c r="MP4" s="2"/>
      <c r="MQ4" s="2"/>
      <c r="MR4" s="2"/>
      <c r="MS4" s="2"/>
      <c r="MT4" s="2"/>
      <c r="MU4" s="2"/>
      <c r="MV4" s="2"/>
      <c r="MW4" s="2"/>
      <c r="MX4" s="2"/>
      <c r="MY4" s="2"/>
      <c r="MZ4" s="2"/>
      <c r="NA4" s="2"/>
      <c r="NB4" s="2"/>
      <c r="NC4" s="2"/>
      <c r="ND4" s="2"/>
      <c r="NE4" s="2"/>
      <c r="NF4" s="2"/>
      <c r="NG4" s="2"/>
      <c r="NH4" s="2"/>
      <c r="NI4" s="2"/>
      <c r="NJ4" s="2"/>
      <c r="NK4" s="2"/>
      <c r="NL4" s="2"/>
      <c r="NM4" s="2"/>
      <c r="NN4" s="2"/>
      <c r="NO4" s="2"/>
      <c r="NP4" s="2"/>
      <c r="NQ4" s="2"/>
      <c r="NR4" s="2"/>
      <c r="NS4" s="2"/>
      <c r="NT4" s="2"/>
      <c r="NU4" s="2"/>
      <c r="NV4" s="2"/>
      <c r="NW4" s="2"/>
      <c r="NX4" s="2"/>
      <c r="NY4" s="2"/>
      <c r="NZ4" s="2"/>
      <c r="OA4" s="2"/>
      <c r="OB4" s="2"/>
      <c r="OC4" s="2"/>
      <c r="OD4" s="2"/>
      <c r="OE4" s="2"/>
      <c r="OF4" s="2"/>
      <c r="OG4" s="2"/>
      <c r="OH4" s="2"/>
      <c r="OI4" s="2"/>
      <c r="OJ4" s="2"/>
      <c r="OK4" s="2"/>
      <c r="OL4" s="2"/>
      <c r="OM4" s="2"/>
      <c r="ON4" s="2"/>
      <c r="OO4" s="2"/>
      <c r="OP4" s="2"/>
      <c r="OQ4" s="2"/>
      <c r="OR4" s="2"/>
      <c r="OS4" s="2"/>
      <c r="OT4" s="2"/>
      <c r="OU4" s="2"/>
      <c r="OV4" s="2"/>
      <c r="OW4" s="2"/>
      <c r="OX4" s="2"/>
      <c r="OY4" s="2"/>
      <c r="OZ4" s="2"/>
      <c r="PA4" s="2"/>
      <c r="PB4" s="2"/>
      <c r="PC4" s="2"/>
      <c r="PD4" s="2"/>
      <c r="PE4" s="2"/>
      <c r="PF4" s="2"/>
      <c r="PG4" s="2"/>
      <c r="PH4" s="2"/>
      <c r="PI4" s="2"/>
      <c r="PJ4" s="2"/>
      <c r="PK4" s="2"/>
      <c r="PL4" s="2"/>
      <c r="PM4" s="2"/>
      <c r="PN4" s="2"/>
      <c r="PO4" s="2"/>
      <c r="PP4" s="2"/>
      <c r="PQ4" s="2"/>
      <c r="PR4" s="2"/>
      <c r="PS4" s="2"/>
      <c r="PT4" s="2"/>
      <c r="PU4" s="2"/>
      <c r="PV4" s="2"/>
      <c r="PW4" s="2"/>
      <c r="PX4" s="2"/>
      <c r="PY4" s="2"/>
      <c r="PZ4" s="2"/>
      <c r="QA4" s="2"/>
      <c r="QB4" s="2"/>
      <c r="QC4" s="2"/>
      <c r="QD4" s="2"/>
      <c r="QE4" s="2"/>
      <c r="QF4" s="2"/>
      <c r="QG4" s="2"/>
      <c r="QH4" s="2"/>
      <c r="QI4" s="2"/>
      <c r="QJ4" s="2"/>
      <c r="QK4" s="2"/>
      <c r="QL4" s="2"/>
      <c r="QM4" s="2"/>
      <c r="QN4" s="2"/>
      <c r="QO4" s="2"/>
      <c r="QP4" s="2"/>
      <c r="QQ4" s="2"/>
      <c r="QR4" s="2"/>
      <c r="QS4" s="2"/>
      <c r="QT4" s="2"/>
      <c r="QU4" s="2"/>
      <c r="QV4" s="2"/>
      <c r="QW4" s="2"/>
      <c r="QX4" s="2"/>
      <c r="QY4" s="2"/>
      <c r="QZ4" s="2"/>
      <c r="RA4" s="2"/>
      <c r="RB4" s="2"/>
      <c r="RC4" s="2"/>
      <c r="RD4" s="2"/>
      <c r="RE4" s="2"/>
      <c r="RF4" s="2"/>
      <c r="RG4" s="2"/>
      <c r="RH4" s="2"/>
      <c r="RI4" s="2"/>
      <c r="RJ4" s="2"/>
      <c r="RK4" s="2"/>
      <c r="RL4" s="2"/>
      <c r="RM4" s="2"/>
      <c r="RN4" s="2"/>
      <c r="RO4" s="2"/>
      <c r="RP4" s="2"/>
      <c r="RQ4" s="2"/>
      <c r="RR4" s="2"/>
      <c r="RS4" s="2"/>
      <c r="RT4" s="2"/>
      <c r="RU4" s="2"/>
      <c r="RV4" s="2"/>
      <c r="RW4" s="2"/>
      <c r="RX4" s="2"/>
      <c r="RY4" s="2"/>
      <c r="RZ4" s="2"/>
      <c r="SA4" s="2"/>
      <c r="SB4" s="2"/>
      <c r="SC4" s="2"/>
      <c r="SD4" s="2"/>
      <c r="SE4" s="2"/>
      <c r="SF4" s="2"/>
      <c r="SG4" s="2"/>
      <c r="SH4" s="2"/>
      <c r="SI4" s="2"/>
      <c r="SJ4" s="2"/>
      <c r="SK4" s="2"/>
      <c r="SL4" s="2"/>
      <c r="SM4" s="2"/>
      <c r="SN4" s="2"/>
      <c r="SO4" s="2"/>
      <c r="SP4" s="2"/>
      <c r="SQ4" s="2"/>
      <c r="SR4" s="2"/>
      <c r="SS4" s="2"/>
      <c r="ST4" s="2"/>
      <c r="SU4" s="2"/>
      <c r="SV4" s="2"/>
      <c r="SW4" s="2"/>
      <c r="SX4" s="2"/>
      <c r="SY4" s="2"/>
      <c r="SZ4" s="2"/>
      <c r="TA4" s="2"/>
      <c r="TB4" s="2"/>
      <c r="TC4" s="2"/>
      <c r="TD4" s="2"/>
      <c r="TE4" s="2"/>
      <c r="TF4" s="2"/>
      <c r="TG4" s="2"/>
      <c r="TH4" s="2"/>
      <c r="TI4" s="2"/>
      <c r="TJ4" s="2"/>
      <c r="TK4" s="2"/>
      <c r="TL4" s="2"/>
      <c r="TM4" s="2"/>
      <c r="TN4" s="2"/>
      <c r="TO4" s="2"/>
      <c r="TP4" s="2"/>
      <c r="TQ4" s="2"/>
      <c r="TR4" s="2"/>
      <c r="TS4" s="2"/>
      <c r="TT4" s="2"/>
      <c r="TU4" s="2"/>
      <c r="TV4" s="2"/>
      <c r="TW4" s="2"/>
      <c r="TX4" s="2"/>
      <c r="TY4" s="2"/>
      <c r="TZ4" s="2"/>
      <c r="UA4" s="2"/>
      <c r="UB4" s="2"/>
      <c r="UC4" s="2"/>
      <c r="UD4" s="2"/>
      <c r="UE4" s="2"/>
      <c r="UF4" s="2"/>
      <c r="UG4" s="2"/>
      <c r="UH4" s="2"/>
      <c r="UI4" s="2"/>
      <c r="UJ4" s="2"/>
      <c r="UK4" s="2"/>
      <c r="UL4" s="2"/>
      <c r="UM4" s="2"/>
      <c r="UN4" s="2"/>
      <c r="UO4" s="2"/>
      <c r="UP4" s="2"/>
      <c r="UQ4" s="2"/>
      <c r="UR4" s="2"/>
      <c r="US4" s="2"/>
      <c r="UT4" s="2"/>
      <c r="UU4" s="2"/>
      <c r="UV4" s="2"/>
      <c r="UW4" s="2"/>
      <c r="UX4" s="2"/>
      <c r="UY4" s="2"/>
      <c r="UZ4" s="2"/>
      <c r="VA4" s="2"/>
      <c r="VB4" s="2"/>
      <c r="VC4" s="2"/>
      <c r="VD4" s="2"/>
      <c r="VE4" s="2"/>
      <c r="VF4" s="2"/>
      <c r="VG4" s="2"/>
      <c r="VH4" s="2"/>
      <c r="VI4" s="2"/>
      <c r="VJ4" s="2"/>
      <c r="VK4" s="2"/>
      <c r="VL4" s="2"/>
      <c r="VM4" s="2"/>
      <c r="VN4" s="2"/>
      <c r="VO4" s="2"/>
      <c r="VP4" s="2"/>
      <c r="VQ4" s="2"/>
      <c r="VR4" s="2"/>
      <c r="VS4" s="2"/>
      <c r="VT4" s="2"/>
      <c r="VU4" s="2"/>
      <c r="VV4" s="2"/>
      <c r="VW4" s="2"/>
      <c r="VX4" s="2"/>
      <c r="VY4" s="2"/>
      <c r="VZ4" s="2"/>
      <c r="WA4" s="2"/>
      <c r="WB4" s="2"/>
      <c r="WC4" s="2"/>
      <c r="WD4" s="2"/>
      <c r="WE4" s="2"/>
      <c r="WF4" s="2"/>
      <c r="WG4" s="2"/>
      <c r="WH4" s="2"/>
      <c r="WI4" s="2"/>
      <c r="WJ4" s="2"/>
      <c r="WK4" s="2"/>
      <c r="WL4" s="2"/>
      <c r="WM4" s="2"/>
      <c r="WN4" s="2"/>
      <c r="WO4" s="2"/>
      <c r="WP4" s="2"/>
      <c r="WQ4" s="2"/>
      <c r="WR4" s="2"/>
      <c r="WS4" s="2"/>
      <c r="WT4" s="2"/>
      <c r="WU4" s="2"/>
      <c r="WV4" s="2"/>
      <c r="WW4" s="2"/>
      <c r="WX4" s="2"/>
      <c r="WY4" s="2"/>
      <c r="WZ4" s="2"/>
      <c r="XA4" s="2"/>
      <c r="XB4" s="2"/>
      <c r="XC4" s="2"/>
      <c r="XD4" s="2"/>
      <c r="XE4" s="2"/>
      <c r="XF4" s="2"/>
      <c r="XG4" s="2"/>
      <c r="XH4" s="2"/>
      <c r="XI4" s="2"/>
      <c r="XJ4" s="2"/>
      <c r="XK4" s="2"/>
      <c r="XL4" s="2"/>
      <c r="XM4" s="2"/>
      <c r="XN4" s="2"/>
      <c r="XO4" s="2"/>
      <c r="XP4" s="2"/>
      <c r="XQ4" s="2"/>
      <c r="XR4" s="2"/>
      <c r="XS4" s="2"/>
      <c r="XT4" s="2"/>
      <c r="XU4" s="2"/>
      <c r="XV4" s="2"/>
      <c r="XW4" s="2"/>
      <c r="XX4" s="2"/>
      <c r="XY4" s="2"/>
      <c r="XZ4" s="2"/>
      <c r="YA4" s="2"/>
      <c r="YB4" s="2"/>
      <c r="YC4" s="2"/>
      <c r="YD4" s="2"/>
      <c r="YE4" s="2"/>
      <c r="YF4" s="2"/>
      <c r="YG4" s="2"/>
      <c r="YH4" s="2"/>
      <c r="YI4" s="2"/>
      <c r="YJ4" s="2"/>
      <c r="YK4" s="2"/>
      <c r="YL4" s="2"/>
      <c r="YM4" s="2"/>
      <c r="YN4" s="2"/>
      <c r="YO4" s="2"/>
      <c r="YP4" s="2"/>
      <c r="YQ4" s="2"/>
      <c r="YR4" s="2"/>
      <c r="YS4" s="2"/>
      <c r="YT4" s="2"/>
      <c r="YU4" s="2"/>
      <c r="YV4" s="2"/>
      <c r="YW4" s="2"/>
      <c r="YX4" s="2"/>
      <c r="YY4" s="2"/>
      <c r="YZ4" s="2"/>
      <c r="ZA4" s="2"/>
      <c r="ZB4" s="2"/>
      <c r="ZC4" s="2"/>
      <c r="ZD4" s="2"/>
      <c r="ZE4" s="2"/>
      <c r="ZF4" s="2"/>
      <c r="ZG4" s="2"/>
      <c r="ZH4" s="2"/>
      <c r="ZI4" s="2"/>
      <c r="ZJ4" s="2"/>
      <c r="ZK4" s="2"/>
      <c r="ZL4" s="2"/>
      <c r="ZM4" s="2"/>
      <c r="ZN4" s="2"/>
      <c r="ZO4" s="2"/>
      <c r="ZP4" s="2"/>
      <c r="ZQ4" s="2"/>
      <c r="ZR4" s="2"/>
      <c r="ZS4" s="2"/>
      <c r="ZT4" s="2"/>
      <c r="ZU4" s="2"/>
      <c r="ZV4" s="2"/>
      <c r="ZW4" s="2"/>
      <c r="ZX4" s="2"/>
      <c r="ZY4" s="2"/>
      <c r="ZZ4" s="2"/>
      <c r="AAA4" s="2"/>
      <c r="AAB4" s="2"/>
      <c r="AAC4" s="2"/>
      <c r="AAD4" s="2"/>
      <c r="AAE4" s="2"/>
      <c r="AAF4" s="2"/>
      <c r="AAG4" s="2"/>
      <c r="AAH4" s="2"/>
      <c r="AAI4" s="2"/>
      <c r="AAJ4" s="2"/>
      <c r="AAK4" s="2"/>
      <c r="AAL4" s="2"/>
      <c r="AAM4" s="2"/>
      <c r="AAN4" s="2"/>
      <c r="AAO4" s="2"/>
      <c r="AAP4" s="2"/>
      <c r="AAQ4" s="2"/>
      <c r="AAR4" s="2"/>
      <c r="AAS4" s="2"/>
      <c r="AAT4" s="2"/>
      <c r="AAU4" s="2"/>
      <c r="AAV4" s="2"/>
      <c r="AAW4" s="2"/>
      <c r="AAX4" s="2"/>
      <c r="AAY4" s="2"/>
      <c r="AAZ4" s="2"/>
      <c r="ABA4" s="2"/>
      <c r="ABB4" s="2"/>
      <c r="ABC4" s="2"/>
      <c r="ABD4" s="2"/>
      <c r="ABE4" s="2"/>
      <c r="ABF4" s="2"/>
      <c r="ABG4" s="2"/>
      <c r="ABH4" s="2"/>
      <c r="ABI4" s="2"/>
      <c r="ABJ4" s="2"/>
      <c r="ABK4" s="2"/>
      <c r="ABL4" s="2"/>
      <c r="ABM4" s="2"/>
      <c r="ABN4" s="2"/>
      <c r="ABO4" s="2"/>
      <c r="ABP4" s="2"/>
      <c r="ABQ4" s="2"/>
      <c r="ABR4" s="2"/>
      <c r="ABS4" s="2"/>
      <c r="ABT4" s="2"/>
      <c r="ABU4" s="2"/>
      <c r="ABV4" s="2"/>
      <c r="ABW4" s="2"/>
      <c r="ABX4" s="2"/>
      <c r="ABY4" s="2"/>
      <c r="ABZ4" s="2"/>
      <c r="ACA4" s="2"/>
      <c r="ACB4" s="2"/>
      <c r="ACC4" s="2"/>
      <c r="ACD4" s="2"/>
      <c r="ACE4" s="2"/>
      <c r="ACF4" s="2"/>
      <c r="ACG4" s="2"/>
      <c r="ACH4" s="2"/>
      <c r="ACI4" s="2"/>
      <c r="ACJ4" s="2"/>
      <c r="ACK4" s="2"/>
      <c r="ACL4" s="2"/>
      <c r="ACM4" s="2"/>
      <c r="ACN4" s="2"/>
      <c r="ACO4" s="2"/>
      <c r="ACP4" s="2"/>
      <c r="ACQ4" s="2"/>
      <c r="ACR4" s="2"/>
      <c r="ACS4" s="2"/>
      <c r="ACT4" s="2"/>
      <c r="ACU4" s="2"/>
      <c r="ACV4" s="2"/>
      <c r="ACW4" s="2"/>
      <c r="ACX4" s="2"/>
      <c r="ACY4" s="2"/>
      <c r="ACZ4" s="2"/>
      <c r="ADA4" s="2"/>
      <c r="ADB4" s="2"/>
      <c r="ADC4" s="2"/>
      <c r="ADD4" s="2"/>
      <c r="ADE4" s="2"/>
      <c r="ADF4" s="2"/>
      <c r="ADG4" s="2"/>
      <c r="ADH4" s="2"/>
      <c r="ADI4" s="2"/>
      <c r="ADJ4" s="2"/>
      <c r="ADK4" s="2"/>
      <c r="ADL4" s="2"/>
      <c r="ADM4" s="2"/>
      <c r="ADN4" s="2"/>
      <c r="ADO4" s="2"/>
      <c r="ADP4" s="2"/>
      <c r="ADQ4" s="2"/>
      <c r="ADR4" s="2"/>
      <c r="ADS4" s="2"/>
      <c r="ADT4" s="2"/>
      <c r="ADU4" s="2"/>
      <c r="ADV4" s="2"/>
      <c r="ADW4" s="2"/>
      <c r="ADX4" s="2"/>
      <c r="ADY4" s="2"/>
      <c r="ADZ4" s="2"/>
      <c r="AEA4" s="2"/>
      <c r="AEB4" s="2"/>
      <c r="AEC4" s="2"/>
      <c r="AED4" s="2"/>
      <c r="AEE4" s="2"/>
      <c r="AEF4" s="2"/>
      <c r="AEG4" s="2"/>
      <c r="AEH4" s="2"/>
      <c r="AEI4" s="2"/>
      <c r="AEJ4" s="2"/>
      <c r="AEK4" s="2"/>
      <c r="AEL4" s="2"/>
      <c r="AEM4" s="2"/>
      <c r="AEN4" s="2"/>
      <c r="AEO4" s="2"/>
      <c r="AEP4" s="2"/>
      <c r="AEQ4" s="2"/>
      <c r="AER4" s="2"/>
      <c r="AES4" s="2"/>
      <c r="AET4" s="2"/>
      <c r="AEU4" s="2"/>
      <c r="AEV4" s="2"/>
      <c r="AEW4" s="2"/>
      <c r="AEX4" s="2"/>
      <c r="AEY4" s="2"/>
      <c r="AEZ4" s="2"/>
      <c r="AFA4" s="2"/>
      <c r="AFB4" s="2"/>
      <c r="AFC4" s="2"/>
      <c r="AFD4" s="2"/>
      <c r="AFE4" s="2"/>
      <c r="AFF4" s="2"/>
      <c r="AFG4" s="2"/>
      <c r="AFH4" s="2"/>
      <c r="AFI4" s="2"/>
      <c r="AFJ4" s="2"/>
      <c r="AFK4" s="2"/>
      <c r="AFL4" s="2"/>
      <c r="AFM4" s="2"/>
      <c r="AFN4" s="2"/>
      <c r="AFO4" s="2"/>
      <c r="AFP4" s="2"/>
      <c r="AFQ4" s="2"/>
      <c r="AFR4" s="2"/>
      <c r="AFS4" s="2"/>
      <c r="AFT4" s="2"/>
      <c r="AFU4" s="2"/>
      <c r="AFV4" s="2"/>
      <c r="AFW4" s="2"/>
      <c r="AFX4" s="2"/>
      <c r="AFY4" s="2"/>
      <c r="AFZ4" s="2"/>
      <c r="AGA4" s="2"/>
      <c r="AGB4" s="2"/>
      <c r="AGC4" s="2"/>
      <c r="AGD4" s="2"/>
      <c r="AGE4" s="2"/>
      <c r="AGF4" s="2"/>
      <c r="AGG4" s="2"/>
      <c r="AGH4" s="2"/>
      <c r="AGI4" s="2"/>
      <c r="AGJ4" s="2"/>
      <c r="AGK4" s="2"/>
      <c r="AGL4" s="2"/>
      <c r="AGM4" s="2"/>
      <c r="AGN4" s="2"/>
      <c r="AGO4" s="2"/>
      <c r="AGP4" s="2"/>
      <c r="AGQ4" s="2"/>
      <c r="AGR4" s="2"/>
      <c r="AGS4" s="2"/>
      <c r="AGT4" s="2"/>
      <c r="AGU4" s="2"/>
      <c r="AGV4" s="2"/>
      <c r="AGW4" s="2"/>
      <c r="AGX4" s="2"/>
      <c r="AGY4" s="2"/>
      <c r="AGZ4" s="2"/>
      <c r="AHA4" s="2"/>
      <c r="AHB4" s="2"/>
      <c r="AHC4" s="2"/>
      <c r="AHD4" s="2"/>
      <c r="AHE4" s="2"/>
      <c r="AHF4" s="2"/>
      <c r="AHG4" s="2"/>
      <c r="AHH4" s="2"/>
      <c r="AHI4" s="2"/>
      <c r="AHJ4" s="2"/>
      <c r="AHK4" s="2"/>
      <c r="AHL4" s="2"/>
      <c r="AHM4" s="2"/>
      <c r="AHN4" s="2"/>
      <c r="AHO4" s="2"/>
      <c r="AHP4" s="2"/>
      <c r="AHQ4" s="2"/>
      <c r="AHR4" s="2"/>
      <c r="AHS4" s="2"/>
      <c r="AHT4" s="2"/>
      <c r="AHU4" s="2"/>
      <c r="AHV4" s="2"/>
      <c r="AHW4" s="2"/>
      <c r="AHX4" s="2"/>
      <c r="AHY4" s="2"/>
      <c r="AHZ4" s="2"/>
      <c r="AIA4" s="2"/>
      <c r="AIB4" s="2"/>
      <c r="AIC4" s="2"/>
      <c r="AID4" s="2"/>
      <c r="AIE4" s="2"/>
      <c r="AIF4" s="2"/>
      <c r="AIG4" s="2"/>
      <c r="AIH4" s="2"/>
      <c r="AII4" s="2"/>
      <c r="AIJ4" s="2"/>
      <c r="AIK4" s="2"/>
      <c r="AIL4" s="2"/>
      <c r="AIM4" s="2"/>
      <c r="AIN4" s="2"/>
      <c r="AIO4" s="2"/>
      <c r="AIP4" s="2"/>
      <c r="AIQ4" s="2"/>
      <c r="AIR4" s="2"/>
      <c r="AIS4" s="2"/>
      <c r="AIT4" s="2"/>
      <c r="AIU4" s="2"/>
      <c r="AIV4" s="2"/>
      <c r="AIW4" s="2"/>
      <c r="AIX4" s="2"/>
      <c r="AIY4" s="2"/>
      <c r="AIZ4" s="2"/>
      <c r="AJA4" s="2"/>
      <c r="AJB4" s="2"/>
      <c r="AJC4" s="2"/>
      <c r="AJD4" s="2"/>
      <c r="AJE4" s="2"/>
      <c r="AJF4" s="2"/>
      <c r="AJG4" s="2"/>
      <c r="AJH4" s="2"/>
      <c r="AJI4" s="2"/>
      <c r="AJJ4" s="2"/>
      <c r="AJK4" s="2"/>
      <c r="AJL4" s="2"/>
      <c r="AJM4" s="2"/>
      <c r="AJN4" s="2"/>
      <c r="AJO4" s="2"/>
      <c r="AJP4" s="2"/>
      <c r="AJQ4" s="2"/>
      <c r="AJR4" s="2"/>
      <c r="AJS4" s="2"/>
      <c r="AJT4" s="2"/>
      <c r="AJU4" s="2"/>
      <c r="AJV4" s="2"/>
      <c r="AJW4" s="2"/>
      <c r="AJX4" s="2"/>
      <c r="AJY4" s="2"/>
      <c r="AJZ4" s="2"/>
      <c r="AKA4" s="2"/>
      <c r="AKB4" s="2"/>
      <c r="AKC4" s="2"/>
      <c r="AKD4" s="2"/>
      <c r="AKE4" s="2"/>
      <c r="AKF4" s="2"/>
      <c r="AKG4" s="2"/>
      <c r="AKH4" s="2"/>
      <c r="AKI4" s="2"/>
      <c r="AKJ4" s="2"/>
      <c r="AKK4" s="2"/>
      <c r="AKL4" s="2"/>
      <c r="AKM4" s="2"/>
      <c r="AKN4" s="2"/>
      <c r="AKO4" s="2"/>
      <c r="AKP4" s="2"/>
      <c r="AKQ4" s="2"/>
      <c r="AKR4" s="2"/>
      <c r="AKS4" s="2"/>
      <c r="AKT4" s="2"/>
      <c r="AKU4" s="2"/>
      <c r="AKV4" s="2"/>
      <c r="AKW4" s="2"/>
      <c r="AKX4" s="2"/>
      <c r="AKY4" s="2"/>
      <c r="AKZ4" s="2"/>
      <c r="ALA4" s="2"/>
      <c r="ALB4" s="2"/>
      <c r="ALC4" s="2"/>
      <c r="ALD4" s="2"/>
      <c r="ALE4" s="2"/>
      <c r="ALF4" s="2"/>
      <c r="ALG4" s="2"/>
      <c r="ALH4" s="2"/>
      <c r="ALI4" s="2"/>
      <c r="ALJ4" s="2"/>
      <c r="ALK4" s="2"/>
      <c r="ALL4" s="2"/>
      <c r="ALM4" s="2"/>
      <c r="ALN4" s="2"/>
      <c r="ALO4" s="2"/>
      <c r="ALP4" s="2"/>
      <c r="ALQ4" s="2"/>
      <c r="ALR4" s="2"/>
      <c r="ALS4" s="2"/>
      <c r="ALT4" s="2"/>
      <c r="ALU4" s="2"/>
      <c r="ALV4" s="2"/>
      <c r="ALW4" s="2"/>
      <c r="ALX4" s="2"/>
      <c r="ALY4" s="2"/>
      <c r="ALZ4" s="2"/>
      <c r="AMA4" s="2"/>
      <c r="AMB4" s="2"/>
      <c r="AMC4" s="2"/>
      <c r="AMD4" s="2"/>
      <c r="AME4" s="2"/>
      <c r="AMF4" s="2"/>
      <c r="AMG4" s="2"/>
      <c r="AMH4" s="2"/>
      <c r="AMI4" s="2"/>
      <c r="AMJ4" s="2"/>
      <c r="AMK4" s="2"/>
      <c r="AML4" s="2"/>
      <c r="AMM4" s="2"/>
      <c r="AMN4" s="2"/>
      <c r="AMO4" s="2"/>
      <c r="AMP4" s="2"/>
      <c r="AMQ4" s="2"/>
      <c r="AMR4" s="2"/>
      <c r="AMS4" s="2"/>
      <c r="AMT4" s="2"/>
      <c r="AMU4" s="2"/>
      <c r="AMV4" s="2"/>
      <c r="AMW4" s="2"/>
      <c r="AMX4" s="2"/>
      <c r="AMY4" s="2"/>
      <c r="AMZ4" s="2"/>
      <c r="ANA4" s="2"/>
      <c r="ANB4" s="2"/>
      <c r="ANC4" s="2"/>
      <c r="AND4" s="2"/>
      <c r="ANE4" s="2"/>
      <c r="ANF4" s="2"/>
      <c r="ANG4" s="2"/>
      <c r="ANH4" s="2"/>
      <c r="ANI4" s="2"/>
      <c r="ANJ4" s="2"/>
      <c r="ANK4" s="2"/>
      <c r="ANL4" s="2"/>
      <c r="ANM4" s="2"/>
      <c r="ANN4" s="2"/>
      <c r="ANO4" s="2"/>
      <c r="ANP4" s="2"/>
      <c r="ANQ4" s="2"/>
      <c r="ANR4" s="2"/>
      <c r="ANS4" s="2"/>
      <c r="ANT4" s="2"/>
      <c r="ANU4" s="2"/>
      <c r="ANV4" s="2"/>
      <c r="ANW4" s="2"/>
      <c r="ANX4" s="2"/>
      <c r="ANY4" s="2"/>
      <c r="ANZ4" s="2"/>
      <c r="AOA4" s="2"/>
      <c r="AOB4" s="2"/>
      <c r="AOC4" s="2"/>
      <c r="AOD4" s="2"/>
      <c r="AOE4" s="2"/>
      <c r="AOF4" s="2"/>
      <c r="AOG4" s="2"/>
      <c r="AOH4" s="2"/>
      <c r="AOI4" s="2"/>
      <c r="AOJ4" s="2"/>
      <c r="AOK4" s="2"/>
      <c r="AOL4" s="2"/>
      <c r="AOM4" s="2"/>
      <c r="AON4" s="2"/>
      <c r="AOO4" s="2"/>
      <c r="AOP4" s="2"/>
      <c r="AOQ4" s="2"/>
      <c r="AOR4" s="2"/>
      <c r="AOS4" s="2"/>
      <c r="AOT4" s="2"/>
      <c r="AOU4" s="2"/>
      <c r="AOV4" s="2"/>
      <c r="AOW4" s="2"/>
      <c r="AOX4" s="2"/>
      <c r="AOY4" s="2"/>
      <c r="AOZ4" s="2"/>
      <c r="APA4" s="2"/>
      <c r="APB4" s="2"/>
      <c r="APC4" s="2"/>
      <c r="APD4" s="2"/>
      <c r="APE4" s="2"/>
      <c r="APF4" s="2"/>
      <c r="APG4" s="2"/>
      <c r="APH4" s="2"/>
      <c r="API4" s="2"/>
      <c r="APJ4" s="2"/>
      <c r="APK4" s="2"/>
      <c r="APL4" s="2"/>
      <c r="APM4" s="2"/>
      <c r="APN4" s="2"/>
      <c r="APO4" s="2"/>
      <c r="APP4" s="2"/>
      <c r="APQ4" s="2"/>
      <c r="APR4" s="2"/>
      <c r="APS4" s="2"/>
      <c r="APT4" s="2"/>
      <c r="APU4" s="2"/>
      <c r="APV4" s="2"/>
      <c r="APW4" s="2"/>
      <c r="APX4" s="2"/>
      <c r="APY4" s="2"/>
      <c r="APZ4" s="2"/>
      <c r="AQA4" s="2"/>
      <c r="AQB4" s="2"/>
      <c r="AQC4" s="2"/>
      <c r="AQD4" s="2"/>
      <c r="AQE4" s="2"/>
      <c r="AQF4" s="2"/>
      <c r="AQG4" s="2"/>
      <c r="AQH4" s="2"/>
      <c r="AQI4" s="2"/>
      <c r="AQJ4" s="2"/>
      <c r="AQK4" s="2"/>
      <c r="AQL4" s="2"/>
      <c r="AQM4" s="2"/>
      <c r="AQN4" s="2"/>
      <c r="AQO4" s="2"/>
      <c r="AQP4" s="2"/>
      <c r="AQQ4" s="2"/>
      <c r="AQR4" s="2"/>
      <c r="AQS4" s="2"/>
      <c r="AQT4" s="2"/>
      <c r="AQU4" s="2"/>
      <c r="AQV4" s="2"/>
      <c r="AQW4" s="2"/>
      <c r="AQX4" s="2"/>
      <c r="AQY4" s="2"/>
      <c r="AQZ4" s="2"/>
      <c r="ARA4" s="2"/>
      <c r="ARB4" s="2"/>
      <c r="ARC4" s="2"/>
      <c r="ARD4" s="2"/>
      <c r="ARE4" s="2"/>
      <c r="ARF4" s="2"/>
      <c r="ARG4" s="2"/>
      <c r="ARH4" s="2"/>
      <c r="ARI4" s="2"/>
      <c r="ARJ4" s="2"/>
      <c r="ARK4" s="2"/>
      <c r="ARL4" s="2"/>
      <c r="ARM4" s="2"/>
      <c r="ARN4" s="2"/>
      <c r="ARO4" s="2"/>
      <c r="ARP4" s="2"/>
      <c r="ARQ4" s="2"/>
      <c r="ARR4" s="2"/>
      <c r="ARS4" s="2"/>
      <c r="ART4" s="2"/>
      <c r="ARU4" s="2"/>
      <c r="ARV4" s="2"/>
      <c r="ARW4" s="2"/>
      <c r="ARX4" s="2"/>
      <c r="ARY4" s="2"/>
      <c r="ARZ4" s="2"/>
      <c r="ASA4" s="2"/>
      <c r="ASB4" s="2"/>
      <c r="ASC4" s="2"/>
      <c r="ASD4" s="2"/>
      <c r="ASE4" s="2"/>
      <c r="ASF4" s="2"/>
      <c r="ASG4" s="2"/>
      <c r="ASH4" s="2"/>
      <c r="ASI4" s="2"/>
      <c r="ASJ4" s="2"/>
      <c r="ASK4" s="2"/>
      <c r="ASL4" s="2"/>
      <c r="ASM4" s="2"/>
      <c r="ASN4" s="2"/>
      <c r="ASO4" s="2"/>
      <c r="ASP4" s="2"/>
      <c r="ASQ4" s="2"/>
      <c r="ASR4" s="2"/>
      <c r="ASS4" s="2"/>
      <c r="AST4" s="2"/>
      <c r="ASU4" s="2"/>
      <c r="ASV4" s="2"/>
      <c r="ASW4" s="2"/>
      <c r="ASX4" s="2"/>
      <c r="ASY4" s="2"/>
      <c r="ASZ4" s="2"/>
      <c r="ATA4" s="2"/>
      <c r="ATB4" s="2"/>
      <c r="ATC4" s="2"/>
      <c r="ATD4" s="2"/>
      <c r="ATE4" s="2"/>
      <c r="ATF4" s="2"/>
      <c r="ATG4" s="2"/>
      <c r="ATH4" s="2"/>
      <c r="ATI4" s="2"/>
      <c r="ATJ4" s="2"/>
      <c r="ATK4" s="2"/>
      <c r="ATL4" s="2"/>
      <c r="ATM4" s="2"/>
      <c r="ATN4" s="2"/>
      <c r="ATO4" s="2"/>
      <c r="ATP4" s="2"/>
      <c r="ATQ4" s="2"/>
      <c r="ATR4" s="2"/>
      <c r="ATS4" s="2"/>
      <c r="ATT4" s="2"/>
      <c r="ATU4" s="2"/>
      <c r="ATV4" s="2"/>
      <c r="ATW4" s="2"/>
      <c r="ATX4" s="2"/>
      <c r="ATY4" s="2"/>
      <c r="ATZ4" s="2"/>
      <c r="AUA4" s="2"/>
      <c r="AUB4" s="2"/>
      <c r="AUC4" s="2"/>
      <c r="AUD4" s="2"/>
      <c r="AUE4" s="2"/>
      <c r="AUF4" s="2"/>
      <c r="AUG4" s="2"/>
      <c r="AUH4" s="2"/>
      <c r="AUI4" s="2"/>
      <c r="AUJ4" s="2"/>
      <c r="AUK4" s="2"/>
      <c r="AUL4" s="2"/>
      <c r="AUM4" s="2"/>
      <c r="AUN4" s="2"/>
      <c r="AUO4" s="2"/>
      <c r="AUP4" s="2"/>
      <c r="AUQ4" s="2"/>
      <c r="AUR4" s="2"/>
      <c r="AUS4" s="2"/>
      <c r="AUT4" s="2"/>
      <c r="AUU4" s="2"/>
      <c r="AUV4" s="2"/>
      <c r="AUW4" s="2"/>
      <c r="AUX4" s="2"/>
      <c r="AUY4" s="2"/>
      <c r="AUZ4" s="2"/>
      <c r="AVA4" s="2"/>
      <c r="AVB4" s="2"/>
      <c r="AVC4" s="2"/>
      <c r="AVD4" s="2"/>
      <c r="AVE4" s="2"/>
      <c r="AVF4" s="2"/>
      <c r="AVG4" s="2"/>
      <c r="AVH4" s="2"/>
      <c r="AVI4" s="2"/>
      <c r="AVJ4" s="2"/>
      <c r="AVK4" s="2"/>
      <c r="AVL4" s="2"/>
      <c r="AVM4" s="2"/>
      <c r="AVN4" s="2"/>
      <c r="AVO4" s="2"/>
      <c r="AVP4" s="2"/>
      <c r="AVQ4" s="2"/>
      <c r="AVR4" s="2"/>
      <c r="AVS4" s="2"/>
      <c r="AVT4" s="2"/>
      <c r="AVU4" s="2"/>
      <c r="AVV4" s="2"/>
      <c r="AVW4" s="2"/>
      <c r="AVX4" s="2"/>
      <c r="AVY4" s="2"/>
      <c r="AVZ4" s="2"/>
      <c r="AWA4" s="2"/>
      <c r="AWB4" s="2"/>
      <c r="AWC4" s="2"/>
      <c r="AWD4" s="2"/>
      <c r="AWE4" s="2"/>
      <c r="AWF4" s="2"/>
      <c r="AWG4" s="2"/>
      <c r="AWH4" s="2"/>
      <c r="AWI4" s="2"/>
      <c r="AWJ4" s="2"/>
      <c r="AWK4" s="2"/>
      <c r="AWL4" s="2"/>
      <c r="AWM4" s="2"/>
      <c r="AWN4" s="2"/>
      <c r="AWO4" s="2"/>
      <c r="AWP4" s="2"/>
      <c r="AWQ4" s="2"/>
      <c r="AWR4" s="2"/>
      <c r="AWS4" s="2"/>
      <c r="AWT4" s="2"/>
      <c r="AWU4" s="2"/>
      <c r="AWV4" s="2"/>
      <c r="AWW4" s="2"/>
      <c r="AWX4" s="2"/>
      <c r="AWY4" s="2"/>
      <c r="AWZ4" s="2"/>
      <c r="AXA4" s="2"/>
      <c r="AXB4" s="2"/>
      <c r="AXC4" s="2"/>
      <c r="AXD4" s="2"/>
      <c r="AXE4" s="2"/>
      <c r="AXF4" s="2"/>
      <c r="AXG4" s="2"/>
      <c r="AXH4" s="2"/>
      <c r="AXI4" s="2"/>
      <c r="AXJ4" s="2"/>
      <c r="AXK4" s="2"/>
      <c r="AXL4" s="2"/>
      <c r="AXM4" s="2"/>
      <c r="AXN4" s="2"/>
      <c r="AXO4" s="2"/>
      <c r="AXP4" s="2"/>
      <c r="AXQ4" s="2"/>
      <c r="AXR4" s="2"/>
      <c r="AXS4" s="2"/>
      <c r="AXT4" s="2"/>
      <c r="AXU4" s="2"/>
      <c r="AXV4" s="2"/>
      <c r="AXW4" s="2"/>
      <c r="AXX4" s="2"/>
      <c r="AXY4" s="2"/>
      <c r="AXZ4" s="2"/>
      <c r="AYA4" s="2"/>
      <c r="AYB4" s="2"/>
      <c r="AYC4" s="2"/>
      <c r="AYD4" s="2"/>
      <c r="AYE4" s="2"/>
      <c r="AYF4" s="2"/>
      <c r="AYG4" s="2"/>
      <c r="AYH4" s="2"/>
      <c r="AYI4" s="2"/>
      <c r="AYJ4" s="2"/>
      <c r="AYK4" s="2"/>
      <c r="AYL4" s="2"/>
      <c r="AYM4" s="2"/>
      <c r="AYN4" s="2"/>
      <c r="AYO4" s="2"/>
      <c r="AYP4" s="2"/>
      <c r="AYQ4" s="2"/>
      <c r="AYR4" s="2"/>
      <c r="AYS4" s="2"/>
      <c r="AYT4" s="2"/>
      <c r="AYU4" s="2"/>
      <c r="AYV4" s="2"/>
      <c r="AYW4" s="2"/>
      <c r="AYX4" s="2"/>
      <c r="AYY4" s="2"/>
      <c r="AYZ4" s="2"/>
      <c r="AZA4" s="2"/>
      <c r="AZB4" s="2"/>
      <c r="AZC4" s="2"/>
      <c r="AZD4" s="2"/>
      <c r="AZE4" s="2"/>
      <c r="AZF4" s="2"/>
      <c r="AZG4" s="2"/>
      <c r="AZH4" s="2"/>
      <c r="AZI4" s="2"/>
      <c r="AZJ4" s="2"/>
      <c r="AZK4" s="2"/>
      <c r="AZL4" s="2"/>
      <c r="AZM4" s="2"/>
      <c r="AZN4" s="2"/>
      <c r="AZO4" s="2"/>
      <c r="AZP4" s="2"/>
      <c r="AZQ4" s="2"/>
      <c r="AZR4" s="2"/>
      <c r="AZS4" s="2"/>
      <c r="AZT4" s="2"/>
      <c r="AZU4" s="2"/>
      <c r="AZV4" s="2"/>
      <c r="AZW4" s="2"/>
      <c r="AZX4" s="2"/>
      <c r="AZY4" s="2"/>
      <c r="AZZ4" s="2"/>
      <c r="BAA4" s="2"/>
      <c r="BAB4" s="2"/>
      <c r="BAC4" s="2"/>
      <c r="BAD4" s="2"/>
      <c r="BAE4" s="2"/>
      <c r="BAF4" s="2"/>
      <c r="BAG4" s="2"/>
      <c r="BAH4" s="2"/>
      <c r="BAI4" s="2"/>
      <c r="BAJ4" s="2"/>
      <c r="BAK4" s="2"/>
      <c r="BAL4" s="2"/>
      <c r="BAM4" s="2"/>
      <c r="BAN4" s="2"/>
      <c r="BAO4" s="2"/>
      <c r="BAP4" s="2"/>
      <c r="BAQ4" s="2"/>
      <c r="BAR4" s="2"/>
      <c r="BAS4" s="2"/>
      <c r="BAT4" s="2"/>
      <c r="BAU4" s="2"/>
      <c r="BAV4" s="2"/>
      <c r="BAW4" s="2"/>
      <c r="BAX4" s="2"/>
      <c r="BAY4" s="2"/>
      <c r="BAZ4" s="2"/>
      <c r="BBA4" s="2"/>
      <c r="BBB4" s="2"/>
      <c r="BBC4" s="2"/>
      <c r="BBD4" s="2"/>
      <c r="BBE4" s="2"/>
      <c r="BBF4" s="2"/>
      <c r="BBG4" s="2"/>
      <c r="BBH4" s="2"/>
      <c r="BBI4" s="2"/>
      <c r="BBJ4" s="2"/>
      <c r="BBK4" s="2"/>
      <c r="BBL4" s="2"/>
      <c r="BBM4" s="2"/>
      <c r="BBN4" s="2"/>
      <c r="BBO4" s="2"/>
      <c r="BBP4" s="2"/>
      <c r="BBQ4" s="2"/>
      <c r="BBR4" s="2"/>
      <c r="BBS4" s="2"/>
      <c r="BBT4" s="2"/>
      <c r="BBU4" s="2"/>
      <c r="BBV4" s="2"/>
      <c r="BBW4" s="2"/>
      <c r="BBX4" s="2"/>
      <c r="BBY4" s="2"/>
      <c r="BBZ4" s="2"/>
      <c r="BCA4" s="2"/>
      <c r="BCB4" s="2"/>
      <c r="BCC4" s="2"/>
      <c r="BCD4" s="2"/>
      <c r="BCE4" s="2"/>
      <c r="BCF4" s="2"/>
      <c r="BCG4" s="2"/>
      <c r="BCH4" s="2"/>
      <c r="BCI4" s="2"/>
      <c r="BCJ4" s="2"/>
      <c r="BCK4" s="2"/>
      <c r="BCL4" s="2"/>
      <c r="BCM4" s="2"/>
      <c r="BCN4" s="2"/>
      <c r="BCO4" s="2"/>
      <c r="BCP4" s="2"/>
      <c r="BCQ4" s="2"/>
      <c r="BCR4" s="2"/>
      <c r="BCS4" s="2"/>
      <c r="BCT4" s="2"/>
      <c r="BCU4" s="2"/>
      <c r="BCV4" s="2"/>
      <c r="BCW4" s="2"/>
      <c r="BCX4" s="2"/>
      <c r="BCY4" s="2"/>
      <c r="BCZ4" s="2"/>
      <c r="BDA4" s="2"/>
      <c r="BDB4" s="2"/>
      <c r="BDC4" s="2"/>
      <c r="BDD4" s="2"/>
      <c r="BDE4" s="2"/>
      <c r="BDF4" s="2"/>
      <c r="BDG4" s="2"/>
      <c r="BDH4" s="2"/>
      <c r="BDI4" s="2"/>
      <c r="BDJ4" s="2"/>
      <c r="BDK4" s="2"/>
      <c r="BDL4" s="2"/>
      <c r="BDM4" s="2"/>
      <c r="BDN4" s="2"/>
      <c r="BDO4" s="2"/>
      <c r="BDP4" s="2"/>
      <c r="BDQ4" s="2"/>
      <c r="BDR4" s="2"/>
      <c r="BDS4" s="2"/>
      <c r="BDT4" s="2"/>
      <c r="BDU4" s="2"/>
      <c r="BDV4" s="2"/>
      <c r="BDW4" s="2"/>
      <c r="BDX4" s="2"/>
      <c r="BDY4" s="2"/>
      <c r="BDZ4" s="2"/>
      <c r="BEA4" s="2"/>
      <c r="BEB4" s="2"/>
      <c r="BEC4" s="2"/>
      <c r="BED4" s="2"/>
      <c r="BEE4" s="2"/>
      <c r="BEF4" s="2"/>
      <c r="BEG4" s="2"/>
      <c r="BEH4" s="2"/>
      <c r="BEI4" s="2"/>
      <c r="BEJ4" s="2"/>
      <c r="BEK4" s="2"/>
      <c r="BEL4" s="2"/>
      <c r="BEM4" s="2"/>
      <c r="BEN4" s="2"/>
      <c r="BEO4" s="2"/>
      <c r="BEP4" s="2"/>
      <c r="BEQ4" s="2"/>
      <c r="BER4" s="2"/>
      <c r="BES4" s="2"/>
      <c r="BET4" s="2"/>
      <c r="BEU4" s="2"/>
      <c r="BEV4" s="2"/>
      <c r="BEW4" s="2"/>
      <c r="BEX4" s="2"/>
      <c r="BEY4" s="2"/>
      <c r="BEZ4" s="2"/>
      <c r="BFA4" s="2"/>
      <c r="BFB4" s="2"/>
      <c r="BFC4" s="2"/>
      <c r="BFD4" s="2"/>
      <c r="BFE4" s="2"/>
      <c r="BFF4" s="2"/>
      <c r="BFG4" s="2"/>
      <c r="BFH4" s="2"/>
      <c r="BFI4" s="2"/>
      <c r="BFJ4" s="2"/>
      <c r="BFK4" s="2"/>
      <c r="BFL4" s="2"/>
      <c r="BFM4" s="2"/>
      <c r="BFN4" s="2"/>
      <c r="BFO4" s="2"/>
      <c r="BFP4" s="2"/>
      <c r="BFQ4" s="2"/>
      <c r="BFR4" s="2"/>
      <c r="BFS4" s="2"/>
      <c r="BFT4" s="2"/>
      <c r="BFU4" s="2"/>
      <c r="BFV4" s="2"/>
      <c r="BFW4" s="2"/>
      <c r="BFX4" s="2"/>
      <c r="BFY4" s="2"/>
      <c r="BFZ4" s="2"/>
      <c r="BGA4" s="2"/>
      <c r="BGB4" s="2"/>
      <c r="BGC4" s="2"/>
      <c r="BGD4" s="2"/>
      <c r="BGE4" s="2"/>
      <c r="BGF4" s="2"/>
      <c r="BGG4" s="2"/>
      <c r="BGH4" s="2"/>
      <c r="BGI4" s="2"/>
      <c r="BGJ4" s="2"/>
      <c r="BGK4" s="2"/>
      <c r="BGL4" s="2"/>
      <c r="BGM4" s="2"/>
      <c r="BGN4" s="2"/>
      <c r="BGO4" s="2"/>
      <c r="BGP4" s="2"/>
      <c r="BGQ4" s="2"/>
      <c r="BGR4" s="2"/>
      <c r="BGS4" s="2"/>
      <c r="BGT4" s="2"/>
      <c r="BGU4" s="2"/>
      <c r="BGV4" s="2"/>
      <c r="BGW4" s="2"/>
      <c r="BGX4" s="2"/>
      <c r="BGY4" s="2"/>
      <c r="BGZ4" s="2"/>
      <c r="BHA4" s="2"/>
      <c r="BHB4" s="2"/>
      <c r="BHC4" s="2"/>
      <c r="BHD4" s="2"/>
      <c r="BHE4" s="2"/>
      <c r="BHF4" s="2"/>
      <c r="BHG4" s="2"/>
      <c r="BHH4" s="2"/>
      <c r="BHI4" s="2"/>
      <c r="BHJ4" s="2"/>
      <c r="BHK4" s="2"/>
      <c r="BHL4" s="2"/>
      <c r="BHM4" s="2"/>
      <c r="BHN4" s="2"/>
      <c r="BHO4" s="2"/>
      <c r="BHP4" s="2"/>
      <c r="BHQ4" s="2"/>
      <c r="BHR4" s="2"/>
      <c r="BHS4" s="2"/>
      <c r="BHT4" s="2"/>
      <c r="BHU4" s="2"/>
      <c r="BHV4" s="2"/>
      <c r="BHW4" s="2"/>
      <c r="BHX4" s="2"/>
      <c r="BHY4" s="2"/>
      <c r="BHZ4" s="2"/>
      <c r="BIA4" s="2"/>
      <c r="BIB4" s="2"/>
      <c r="BIC4" s="2"/>
      <c r="BID4" s="2"/>
      <c r="BIE4" s="2"/>
      <c r="BIF4" s="2"/>
      <c r="BIG4" s="2"/>
      <c r="BIH4" s="2"/>
      <c r="BII4" s="2"/>
      <c r="BIJ4" s="2"/>
      <c r="BIK4" s="2"/>
      <c r="BIL4" s="2"/>
      <c r="BIM4" s="2"/>
      <c r="BIN4" s="2"/>
      <c r="BIO4" s="2"/>
      <c r="BIP4" s="2"/>
      <c r="BIQ4" s="2"/>
      <c r="BIR4" s="2"/>
      <c r="BIS4" s="2"/>
      <c r="BIT4" s="2"/>
      <c r="BIU4" s="2"/>
      <c r="BIV4" s="2"/>
      <c r="BIW4" s="2"/>
      <c r="BIX4" s="2"/>
      <c r="BIY4" s="2"/>
      <c r="BIZ4" s="2"/>
      <c r="BJA4" s="2"/>
      <c r="BJB4" s="2"/>
      <c r="BJC4" s="2"/>
      <c r="BJD4" s="2"/>
      <c r="BJE4" s="2"/>
      <c r="BJF4" s="2"/>
      <c r="BJG4" s="2"/>
      <c r="BJH4" s="2"/>
      <c r="BJI4" s="2"/>
      <c r="BJJ4" s="2"/>
      <c r="BJK4" s="2"/>
      <c r="BJL4" s="2"/>
      <c r="BJM4" s="2"/>
      <c r="BJN4" s="2"/>
      <c r="BJO4" s="2"/>
      <c r="BJP4" s="2"/>
      <c r="BJQ4" s="2"/>
      <c r="BJR4" s="2"/>
      <c r="BJS4" s="2"/>
      <c r="BJT4" s="2"/>
      <c r="BJU4" s="2"/>
      <c r="BJV4" s="2"/>
      <c r="BJW4" s="2"/>
      <c r="BJX4" s="2"/>
      <c r="BJY4" s="2"/>
      <c r="BJZ4" s="2"/>
      <c r="BKA4" s="2"/>
      <c r="BKB4" s="2"/>
      <c r="BKC4" s="2"/>
      <c r="BKD4" s="2"/>
      <c r="BKE4" s="2"/>
      <c r="BKF4" s="2"/>
      <c r="BKG4" s="2"/>
      <c r="BKH4" s="2"/>
      <c r="BKI4" s="2"/>
      <c r="BKJ4" s="2"/>
      <c r="BKK4" s="2"/>
      <c r="BKL4" s="2"/>
      <c r="BKM4" s="2"/>
      <c r="BKN4" s="2"/>
      <c r="BKO4" s="2"/>
      <c r="BKP4" s="2"/>
      <c r="BKQ4" s="2"/>
      <c r="BKR4" s="2"/>
      <c r="BKS4" s="2"/>
      <c r="BKT4" s="2"/>
      <c r="BKU4" s="2"/>
      <c r="BKV4" s="2"/>
      <c r="BKW4" s="2"/>
      <c r="BKX4" s="2"/>
      <c r="BKY4" s="2"/>
      <c r="BKZ4" s="2"/>
      <c r="BLA4" s="2"/>
      <c r="BLB4" s="2"/>
      <c r="BLC4" s="2"/>
      <c r="BLD4" s="2"/>
      <c r="BLE4" s="2"/>
      <c r="BLF4" s="2"/>
      <c r="BLG4" s="2"/>
      <c r="BLH4" s="2"/>
      <c r="BLI4" s="2"/>
      <c r="BLJ4" s="2"/>
      <c r="BLK4" s="2"/>
      <c r="BLL4" s="2"/>
      <c r="BLM4" s="2"/>
      <c r="BLN4" s="2"/>
      <c r="BLO4" s="2"/>
      <c r="BLP4" s="2"/>
      <c r="BLQ4" s="2"/>
      <c r="BLR4" s="2"/>
      <c r="BLS4" s="2"/>
      <c r="BLT4" s="2"/>
      <c r="BLU4" s="2"/>
      <c r="BLV4" s="2"/>
      <c r="BLW4" s="2"/>
      <c r="BLX4" s="2"/>
      <c r="BLY4" s="2"/>
      <c r="BLZ4" s="2"/>
      <c r="BMA4" s="2"/>
      <c r="BMB4" s="2"/>
      <c r="BMC4" s="2"/>
      <c r="BMD4" s="2"/>
      <c r="BME4" s="2"/>
      <c r="BMF4" s="2"/>
      <c r="BMG4" s="2"/>
      <c r="BMH4" s="2"/>
      <c r="BMI4" s="2"/>
      <c r="BMJ4" s="2"/>
      <c r="BMK4" s="2"/>
      <c r="BML4" s="2"/>
      <c r="BMM4" s="2"/>
      <c r="BMN4" s="2"/>
      <c r="BMO4" s="2"/>
      <c r="BMP4" s="2"/>
      <c r="BMQ4" s="2"/>
      <c r="BMR4" s="2"/>
      <c r="BMS4" s="2"/>
      <c r="BMT4" s="2"/>
      <c r="BMU4" s="2"/>
      <c r="BMV4" s="2"/>
      <c r="BMW4" s="2"/>
      <c r="BMX4" s="2"/>
      <c r="BMY4" s="2"/>
      <c r="BMZ4" s="2"/>
      <c r="BNA4" s="2"/>
      <c r="BNB4" s="2"/>
      <c r="BNC4" s="2"/>
      <c r="BND4" s="2"/>
      <c r="BNE4" s="2"/>
      <c r="BNF4" s="2"/>
      <c r="BNG4" s="2"/>
      <c r="BNH4" s="2"/>
      <c r="BNI4" s="2"/>
      <c r="BNJ4" s="2"/>
      <c r="BNK4" s="2"/>
      <c r="BNL4" s="2"/>
      <c r="BNM4" s="2"/>
      <c r="BNN4" s="2"/>
      <c r="BNO4" s="2"/>
      <c r="BNP4" s="2"/>
      <c r="BNQ4" s="2"/>
      <c r="BNR4" s="2"/>
      <c r="BNS4" s="2"/>
      <c r="BNT4" s="2"/>
      <c r="BNU4" s="2"/>
      <c r="BNV4" s="2"/>
      <c r="BNW4" s="2"/>
      <c r="BNX4" s="2"/>
      <c r="BNY4" s="2"/>
      <c r="BNZ4" s="2"/>
      <c r="BOA4" s="2"/>
      <c r="BOB4" s="2"/>
      <c r="BOC4" s="2"/>
      <c r="BOD4" s="2"/>
      <c r="BOE4" s="2"/>
      <c r="BOF4" s="2"/>
      <c r="BOG4" s="2"/>
      <c r="BOH4" s="2"/>
      <c r="BOI4" s="2"/>
      <c r="BOJ4" s="2"/>
      <c r="BOK4" s="2"/>
      <c r="BOL4" s="2"/>
      <c r="BOM4" s="2"/>
      <c r="BON4" s="2"/>
      <c r="BOO4" s="2"/>
      <c r="BOP4" s="2"/>
      <c r="BOQ4" s="2"/>
      <c r="BOR4" s="2"/>
      <c r="BOS4" s="2"/>
      <c r="BOT4" s="2"/>
      <c r="BOU4" s="2"/>
      <c r="BOV4" s="2"/>
      <c r="BOW4" s="2"/>
      <c r="BOX4" s="2"/>
      <c r="BOY4" s="2"/>
      <c r="BOZ4" s="2"/>
      <c r="BPA4" s="2"/>
      <c r="BPB4" s="2"/>
      <c r="BPC4" s="2"/>
      <c r="BPD4" s="2"/>
      <c r="BPE4" s="2"/>
      <c r="BPF4" s="2"/>
      <c r="BPG4" s="2"/>
      <c r="BPH4" s="2"/>
      <c r="BPI4" s="2"/>
      <c r="BPJ4" s="2"/>
      <c r="BPK4" s="2"/>
      <c r="BPL4" s="2"/>
      <c r="BPM4" s="2"/>
      <c r="BPN4" s="2"/>
      <c r="BPO4" s="2"/>
      <c r="BPP4" s="2"/>
      <c r="BPQ4" s="2"/>
      <c r="BPR4" s="2"/>
      <c r="BPS4" s="2"/>
      <c r="BPT4" s="2"/>
      <c r="BPU4" s="2"/>
      <c r="BPV4" s="2"/>
      <c r="BPW4" s="2"/>
      <c r="BPX4" s="2"/>
      <c r="BPY4" s="2"/>
      <c r="BPZ4" s="2"/>
      <c r="BQA4" s="2"/>
      <c r="BQB4" s="2"/>
      <c r="BQC4" s="2"/>
      <c r="BQD4" s="2"/>
      <c r="BQE4" s="2"/>
      <c r="BQF4" s="2"/>
      <c r="BQG4" s="2"/>
      <c r="BQH4" s="2"/>
      <c r="BQI4" s="2"/>
      <c r="BQJ4" s="2"/>
      <c r="BQK4" s="2"/>
      <c r="BQL4" s="2"/>
    </row>
    <row r="5" spans="1:1806" ht="10.5" customHeight="1" x14ac:dyDescent="0.3">
      <c r="A5" s="7"/>
      <c r="B5" s="4"/>
      <c r="C5" s="4"/>
      <c r="D5" s="4"/>
      <c r="E5" s="4"/>
      <c r="F5" s="4"/>
      <c r="G5" s="4"/>
      <c r="H5" s="5"/>
      <c r="I5" s="24"/>
      <c r="J5" s="24"/>
      <c r="K5" s="24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/>
      <c r="LB5" s="2"/>
      <c r="LC5" s="2"/>
      <c r="LD5" s="2"/>
      <c r="LE5" s="2"/>
      <c r="LF5" s="2"/>
      <c r="LG5" s="2"/>
      <c r="LH5" s="2"/>
      <c r="LI5" s="2"/>
      <c r="LJ5" s="2"/>
      <c r="LK5" s="2"/>
      <c r="LL5" s="2"/>
      <c r="LM5" s="2"/>
      <c r="LN5" s="2"/>
      <c r="LO5" s="2"/>
      <c r="LP5" s="2"/>
      <c r="LQ5" s="2"/>
      <c r="LR5" s="2"/>
      <c r="LS5" s="2"/>
      <c r="LT5" s="2"/>
      <c r="LU5" s="2"/>
      <c r="LV5" s="2"/>
      <c r="LW5" s="2"/>
      <c r="LX5" s="2"/>
      <c r="LY5" s="2"/>
      <c r="LZ5" s="2"/>
      <c r="MA5" s="2"/>
      <c r="MB5" s="2"/>
      <c r="MC5" s="2"/>
      <c r="MD5" s="2"/>
      <c r="ME5" s="2"/>
      <c r="MF5" s="2"/>
      <c r="MG5" s="2"/>
      <c r="MH5" s="2"/>
      <c r="MI5" s="2"/>
      <c r="MJ5" s="2"/>
      <c r="MK5" s="2"/>
      <c r="ML5" s="2"/>
      <c r="MM5" s="2"/>
      <c r="MN5" s="2"/>
      <c r="MO5" s="2"/>
      <c r="MP5" s="2"/>
      <c r="MQ5" s="2"/>
      <c r="MR5" s="2"/>
      <c r="MS5" s="2"/>
      <c r="MT5" s="2"/>
      <c r="MU5" s="2"/>
      <c r="MV5" s="2"/>
      <c r="MW5" s="2"/>
      <c r="MX5" s="2"/>
      <c r="MY5" s="2"/>
      <c r="MZ5" s="2"/>
      <c r="NA5" s="2"/>
      <c r="NB5" s="2"/>
      <c r="NC5" s="2"/>
      <c r="ND5" s="2"/>
      <c r="NE5" s="2"/>
      <c r="NF5" s="2"/>
      <c r="NG5" s="2"/>
      <c r="NH5" s="2"/>
      <c r="NI5" s="2"/>
      <c r="NJ5" s="2"/>
      <c r="NK5" s="2"/>
      <c r="NL5" s="2"/>
      <c r="NM5" s="2"/>
      <c r="NN5" s="2"/>
      <c r="NO5" s="2"/>
      <c r="NP5" s="2"/>
      <c r="NQ5" s="2"/>
      <c r="NR5" s="2"/>
      <c r="NS5" s="2"/>
      <c r="NT5" s="2"/>
      <c r="NU5" s="2"/>
      <c r="NV5" s="2"/>
      <c r="NW5" s="2"/>
      <c r="NX5" s="2"/>
      <c r="NY5" s="2"/>
      <c r="NZ5" s="2"/>
      <c r="OA5" s="2"/>
      <c r="OB5" s="2"/>
      <c r="OC5" s="2"/>
      <c r="OD5" s="2"/>
      <c r="OE5" s="2"/>
      <c r="OF5" s="2"/>
      <c r="OG5" s="2"/>
      <c r="OH5" s="2"/>
      <c r="OI5" s="2"/>
      <c r="OJ5" s="2"/>
      <c r="OK5" s="2"/>
      <c r="OL5" s="2"/>
      <c r="OM5" s="2"/>
      <c r="ON5" s="2"/>
      <c r="OO5" s="2"/>
      <c r="OP5" s="2"/>
      <c r="OQ5" s="2"/>
      <c r="OR5" s="2"/>
      <c r="OS5" s="2"/>
      <c r="OT5" s="2"/>
      <c r="OU5" s="2"/>
      <c r="OV5" s="2"/>
      <c r="OW5" s="2"/>
      <c r="OX5" s="2"/>
      <c r="OY5" s="2"/>
      <c r="OZ5" s="2"/>
      <c r="PA5" s="2"/>
      <c r="PB5" s="2"/>
      <c r="PC5" s="2"/>
      <c r="PD5" s="2"/>
      <c r="PE5" s="2"/>
      <c r="PF5" s="2"/>
      <c r="PG5" s="2"/>
      <c r="PH5" s="2"/>
      <c r="PI5" s="2"/>
      <c r="PJ5" s="2"/>
      <c r="PK5" s="2"/>
      <c r="PL5" s="2"/>
      <c r="PM5" s="2"/>
      <c r="PN5" s="2"/>
      <c r="PO5" s="2"/>
      <c r="PP5" s="2"/>
      <c r="PQ5" s="2"/>
      <c r="PR5" s="2"/>
      <c r="PS5" s="2"/>
      <c r="PT5" s="2"/>
      <c r="PU5" s="2"/>
      <c r="PV5" s="2"/>
      <c r="PW5" s="2"/>
      <c r="PX5" s="2"/>
      <c r="PY5" s="2"/>
      <c r="PZ5" s="2"/>
      <c r="QA5" s="2"/>
      <c r="QB5" s="2"/>
      <c r="QC5" s="2"/>
      <c r="QD5" s="2"/>
      <c r="QE5" s="2"/>
      <c r="QF5" s="2"/>
      <c r="QG5" s="2"/>
      <c r="QH5" s="2"/>
      <c r="QI5" s="2"/>
      <c r="QJ5" s="2"/>
      <c r="QK5" s="2"/>
      <c r="QL5" s="2"/>
      <c r="QM5" s="2"/>
      <c r="QN5" s="2"/>
      <c r="QO5" s="2"/>
      <c r="QP5" s="2"/>
      <c r="QQ5" s="2"/>
      <c r="QR5" s="2"/>
      <c r="QS5" s="2"/>
      <c r="QT5" s="2"/>
      <c r="QU5" s="2"/>
      <c r="QV5" s="2"/>
      <c r="QW5" s="2"/>
      <c r="QX5" s="2"/>
      <c r="QY5" s="2"/>
      <c r="QZ5" s="2"/>
      <c r="RA5" s="2"/>
      <c r="RB5" s="2"/>
      <c r="RC5" s="2"/>
      <c r="RD5" s="2"/>
      <c r="RE5" s="2"/>
      <c r="RF5" s="2"/>
      <c r="RG5" s="2"/>
      <c r="RH5" s="2"/>
      <c r="RI5" s="2"/>
      <c r="RJ5" s="2"/>
      <c r="RK5" s="2"/>
      <c r="RL5" s="2"/>
      <c r="RM5" s="2"/>
      <c r="RN5" s="2"/>
      <c r="RO5" s="2"/>
      <c r="RP5" s="2"/>
      <c r="RQ5" s="2"/>
      <c r="RR5" s="2"/>
      <c r="RS5" s="2"/>
      <c r="RT5" s="2"/>
      <c r="RU5" s="2"/>
      <c r="RV5" s="2"/>
      <c r="RW5" s="2"/>
      <c r="RX5" s="2"/>
      <c r="RY5" s="2"/>
      <c r="RZ5" s="2"/>
      <c r="SA5" s="2"/>
      <c r="SB5" s="2"/>
      <c r="SC5" s="2"/>
      <c r="SD5" s="2"/>
      <c r="SE5" s="2"/>
      <c r="SF5" s="2"/>
      <c r="SG5" s="2"/>
      <c r="SH5" s="2"/>
      <c r="SI5" s="2"/>
      <c r="SJ5" s="2"/>
      <c r="SK5" s="2"/>
      <c r="SL5" s="2"/>
      <c r="SM5" s="2"/>
      <c r="SN5" s="2"/>
      <c r="SO5" s="2"/>
      <c r="SP5" s="2"/>
      <c r="SQ5" s="2"/>
      <c r="SR5" s="2"/>
      <c r="SS5" s="2"/>
      <c r="ST5" s="2"/>
      <c r="SU5" s="2"/>
      <c r="SV5" s="2"/>
      <c r="SW5" s="2"/>
      <c r="SX5" s="2"/>
      <c r="SY5" s="2"/>
      <c r="SZ5" s="2"/>
      <c r="TA5" s="2"/>
      <c r="TB5" s="2"/>
      <c r="TC5" s="2"/>
      <c r="TD5" s="2"/>
      <c r="TE5" s="2"/>
      <c r="TF5" s="2"/>
      <c r="TG5" s="2"/>
      <c r="TH5" s="2"/>
      <c r="TI5" s="2"/>
      <c r="TJ5" s="2"/>
      <c r="TK5" s="2"/>
      <c r="TL5" s="2"/>
      <c r="TM5" s="2"/>
      <c r="TN5" s="2"/>
      <c r="TO5" s="2"/>
      <c r="TP5" s="2"/>
      <c r="TQ5" s="2"/>
      <c r="TR5" s="2"/>
      <c r="TS5" s="2"/>
      <c r="TT5" s="2"/>
      <c r="TU5" s="2"/>
      <c r="TV5" s="2"/>
      <c r="TW5" s="2"/>
      <c r="TX5" s="2"/>
      <c r="TY5" s="2"/>
      <c r="TZ5" s="2"/>
      <c r="UA5" s="2"/>
      <c r="UB5" s="2"/>
      <c r="UC5" s="2"/>
      <c r="UD5" s="2"/>
      <c r="UE5" s="2"/>
      <c r="UF5" s="2"/>
      <c r="UG5" s="2"/>
      <c r="UH5" s="2"/>
      <c r="UI5" s="2"/>
      <c r="UJ5" s="2"/>
      <c r="UK5" s="2"/>
      <c r="UL5" s="2"/>
      <c r="UM5" s="2"/>
      <c r="UN5" s="2"/>
      <c r="UO5" s="2"/>
      <c r="UP5" s="2"/>
      <c r="UQ5" s="2"/>
      <c r="UR5" s="2"/>
      <c r="US5" s="2"/>
      <c r="UT5" s="2"/>
      <c r="UU5" s="2"/>
      <c r="UV5" s="2"/>
      <c r="UW5" s="2"/>
      <c r="UX5" s="2"/>
      <c r="UY5" s="2"/>
      <c r="UZ5" s="2"/>
      <c r="VA5" s="2"/>
      <c r="VB5" s="2"/>
      <c r="VC5" s="2"/>
      <c r="VD5" s="2"/>
      <c r="VE5" s="2"/>
      <c r="VF5" s="2"/>
      <c r="VG5" s="2"/>
      <c r="VH5" s="2"/>
      <c r="VI5" s="2"/>
      <c r="VJ5" s="2"/>
      <c r="VK5" s="2"/>
      <c r="VL5" s="2"/>
      <c r="VM5" s="2"/>
      <c r="VN5" s="2"/>
      <c r="VO5" s="2"/>
      <c r="VP5" s="2"/>
      <c r="VQ5" s="2"/>
      <c r="VR5" s="2"/>
      <c r="VS5" s="2"/>
      <c r="VT5" s="2"/>
      <c r="VU5" s="2"/>
      <c r="VV5" s="2"/>
      <c r="VW5" s="2"/>
      <c r="VX5" s="2"/>
      <c r="VY5" s="2"/>
      <c r="VZ5" s="2"/>
      <c r="WA5" s="2"/>
      <c r="WB5" s="2"/>
      <c r="WC5" s="2"/>
      <c r="WD5" s="2"/>
      <c r="WE5" s="2"/>
      <c r="WF5" s="2"/>
      <c r="WG5" s="2"/>
      <c r="WH5" s="2"/>
      <c r="WI5" s="2"/>
      <c r="WJ5" s="2"/>
      <c r="WK5" s="2"/>
      <c r="WL5" s="2"/>
      <c r="WM5" s="2"/>
      <c r="WN5" s="2"/>
      <c r="WO5" s="2"/>
      <c r="WP5" s="2"/>
      <c r="WQ5" s="2"/>
      <c r="WR5" s="2"/>
      <c r="WS5" s="2"/>
      <c r="WT5" s="2"/>
      <c r="WU5" s="2"/>
      <c r="WV5" s="2"/>
      <c r="WW5" s="2"/>
      <c r="WX5" s="2"/>
      <c r="WY5" s="2"/>
      <c r="WZ5" s="2"/>
      <c r="XA5" s="2"/>
      <c r="XB5" s="2"/>
      <c r="XC5" s="2"/>
      <c r="XD5" s="2"/>
      <c r="XE5" s="2"/>
      <c r="XF5" s="2"/>
      <c r="XG5" s="2"/>
      <c r="XH5" s="2"/>
      <c r="XI5" s="2"/>
      <c r="XJ5" s="2"/>
      <c r="XK5" s="2"/>
      <c r="XL5" s="2"/>
      <c r="XM5" s="2"/>
      <c r="XN5" s="2"/>
      <c r="XO5" s="2"/>
      <c r="XP5" s="2"/>
      <c r="XQ5" s="2"/>
      <c r="XR5" s="2"/>
      <c r="XS5" s="2"/>
      <c r="XT5" s="2"/>
      <c r="XU5" s="2"/>
      <c r="XV5" s="2"/>
      <c r="XW5" s="2"/>
      <c r="XX5" s="2"/>
      <c r="XY5" s="2"/>
      <c r="XZ5" s="2"/>
      <c r="YA5" s="2"/>
      <c r="YB5" s="2"/>
      <c r="YC5" s="2"/>
      <c r="YD5" s="2"/>
      <c r="YE5" s="2"/>
      <c r="YF5" s="2"/>
      <c r="YG5" s="2"/>
      <c r="YH5" s="2"/>
      <c r="YI5" s="2"/>
      <c r="YJ5" s="2"/>
      <c r="YK5" s="2"/>
      <c r="YL5" s="2"/>
      <c r="YM5" s="2"/>
      <c r="YN5" s="2"/>
      <c r="YO5" s="2"/>
      <c r="YP5" s="2"/>
      <c r="YQ5" s="2"/>
      <c r="YR5" s="2"/>
      <c r="YS5" s="2"/>
      <c r="YT5" s="2"/>
      <c r="YU5" s="2"/>
      <c r="YV5" s="2"/>
      <c r="YW5" s="2"/>
      <c r="YX5" s="2"/>
      <c r="YY5" s="2"/>
      <c r="YZ5" s="2"/>
      <c r="ZA5" s="2"/>
      <c r="ZB5" s="2"/>
      <c r="ZC5" s="2"/>
      <c r="ZD5" s="2"/>
      <c r="ZE5" s="2"/>
      <c r="ZF5" s="2"/>
      <c r="ZG5" s="2"/>
      <c r="ZH5" s="2"/>
      <c r="ZI5" s="2"/>
      <c r="ZJ5" s="2"/>
      <c r="ZK5" s="2"/>
      <c r="ZL5" s="2"/>
      <c r="ZM5" s="2"/>
      <c r="ZN5" s="2"/>
      <c r="ZO5" s="2"/>
      <c r="ZP5" s="2"/>
      <c r="ZQ5" s="2"/>
      <c r="ZR5" s="2"/>
      <c r="ZS5" s="2"/>
      <c r="ZT5" s="2"/>
      <c r="ZU5" s="2"/>
      <c r="ZV5" s="2"/>
      <c r="ZW5" s="2"/>
      <c r="ZX5" s="2"/>
      <c r="ZY5" s="2"/>
      <c r="ZZ5" s="2"/>
      <c r="AAA5" s="2"/>
      <c r="AAB5" s="2"/>
      <c r="AAC5" s="2"/>
      <c r="AAD5" s="2"/>
      <c r="AAE5" s="2"/>
      <c r="AAF5" s="2"/>
      <c r="AAG5" s="2"/>
      <c r="AAH5" s="2"/>
      <c r="AAI5" s="2"/>
      <c r="AAJ5" s="2"/>
      <c r="AAK5" s="2"/>
      <c r="AAL5" s="2"/>
      <c r="AAM5" s="2"/>
      <c r="AAN5" s="2"/>
      <c r="AAO5" s="2"/>
      <c r="AAP5" s="2"/>
      <c r="AAQ5" s="2"/>
      <c r="AAR5" s="2"/>
      <c r="AAS5" s="2"/>
      <c r="AAT5" s="2"/>
      <c r="AAU5" s="2"/>
      <c r="AAV5" s="2"/>
      <c r="AAW5" s="2"/>
      <c r="AAX5" s="2"/>
      <c r="AAY5" s="2"/>
      <c r="AAZ5" s="2"/>
      <c r="ABA5" s="2"/>
      <c r="ABB5" s="2"/>
      <c r="ABC5" s="2"/>
      <c r="ABD5" s="2"/>
      <c r="ABE5" s="2"/>
      <c r="ABF5" s="2"/>
      <c r="ABG5" s="2"/>
      <c r="ABH5" s="2"/>
      <c r="ABI5" s="2"/>
      <c r="ABJ5" s="2"/>
      <c r="ABK5" s="2"/>
      <c r="ABL5" s="2"/>
      <c r="ABM5" s="2"/>
      <c r="ABN5" s="2"/>
      <c r="ABO5" s="2"/>
      <c r="ABP5" s="2"/>
      <c r="ABQ5" s="2"/>
      <c r="ABR5" s="2"/>
      <c r="ABS5" s="2"/>
      <c r="ABT5" s="2"/>
      <c r="ABU5" s="2"/>
      <c r="ABV5" s="2"/>
      <c r="ABW5" s="2"/>
      <c r="ABX5" s="2"/>
      <c r="ABY5" s="2"/>
      <c r="ABZ5" s="2"/>
      <c r="ACA5" s="2"/>
      <c r="ACB5" s="2"/>
      <c r="ACC5" s="2"/>
      <c r="ACD5" s="2"/>
      <c r="ACE5" s="2"/>
      <c r="ACF5" s="2"/>
      <c r="ACG5" s="2"/>
      <c r="ACH5" s="2"/>
      <c r="ACI5" s="2"/>
      <c r="ACJ5" s="2"/>
      <c r="ACK5" s="2"/>
      <c r="ACL5" s="2"/>
      <c r="ACM5" s="2"/>
      <c r="ACN5" s="2"/>
      <c r="ACO5" s="2"/>
      <c r="ACP5" s="2"/>
      <c r="ACQ5" s="2"/>
      <c r="ACR5" s="2"/>
      <c r="ACS5" s="2"/>
      <c r="ACT5" s="2"/>
      <c r="ACU5" s="2"/>
      <c r="ACV5" s="2"/>
      <c r="ACW5" s="2"/>
      <c r="ACX5" s="2"/>
      <c r="ACY5" s="2"/>
      <c r="ACZ5" s="2"/>
      <c r="ADA5" s="2"/>
      <c r="ADB5" s="2"/>
      <c r="ADC5" s="2"/>
      <c r="ADD5" s="2"/>
      <c r="ADE5" s="2"/>
      <c r="ADF5" s="2"/>
      <c r="ADG5" s="2"/>
      <c r="ADH5" s="2"/>
      <c r="ADI5" s="2"/>
      <c r="ADJ5" s="2"/>
      <c r="ADK5" s="2"/>
      <c r="ADL5" s="2"/>
      <c r="ADM5" s="2"/>
      <c r="ADN5" s="2"/>
      <c r="ADO5" s="2"/>
      <c r="ADP5" s="2"/>
      <c r="ADQ5" s="2"/>
      <c r="ADR5" s="2"/>
      <c r="ADS5" s="2"/>
      <c r="ADT5" s="2"/>
      <c r="ADU5" s="2"/>
      <c r="ADV5" s="2"/>
      <c r="ADW5" s="2"/>
      <c r="ADX5" s="2"/>
      <c r="ADY5" s="2"/>
      <c r="ADZ5" s="2"/>
      <c r="AEA5" s="2"/>
      <c r="AEB5" s="2"/>
      <c r="AEC5" s="2"/>
      <c r="AED5" s="2"/>
      <c r="AEE5" s="2"/>
      <c r="AEF5" s="2"/>
      <c r="AEG5" s="2"/>
      <c r="AEH5" s="2"/>
      <c r="AEI5" s="2"/>
      <c r="AEJ5" s="2"/>
      <c r="AEK5" s="2"/>
      <c r="AEL5" s="2"/>
      <c r="AEM5" s="2"/>
      <c r="AEN5" s="2"/>
      <c r="AEO5" s="2"/>
      <c r="AEP5" s="2"/>
      <c r="AEQ5" s="2"/>
      <c r="AER5" s="2"/>
      <c r="AES5" s="2"/>
      <c r="AET5" s="2"/>
      <c r="AEU5" s="2"/>
      <c r="AEV5" s="2"/>
      <c r="AEW5" s="2"/>
      <c r="AEX5" s="2"/>
      <c r="AEY5" s="2"/>
      <c r="AEZ5" s="2"/>
      <c r="AFA5" s="2"/>
      <c r="AFB5" s="2"/>
      <c r="AFC5" s="2"/>
      <c r="AFD5" s="2"/>
      <c r="AFE5" s="2"/>
      <c r="AFF5" s="2"/>
      <c r="AFG5" s="2"/>
      <c r="AFH5" s="2"/>
      <c r="AFI5" s="2"/>
      <c r="AFJ5" s="2"/>
      <c r="AFK5" s="2"/>
      <c r="AFL5" s="2"/>
      <c r="AFM5" s="2"/>
      <c r="AFN5" s="2"/>
      <c r="AFO5" s="2"/>
      <c r="AFP5" s="2"/>
      <c r="AFQ5" s="2"/>
      <c r="AFR5" s="2"/>
      <c r="AFS5" s="2"/>
      <c r="AFT5" s="2"/>
      <c r="AFU5" s="2"/>
      <c r="AFV5" s="2"/>
      <c r="AFW5" s="2"/>
      <c r="AFX5" s="2"/>
      <c r="AFY5" s="2"/>
      <c r="AFZ5" s="2"/>
      <c r="AGA5" s="2"/>
      <c r="AGB5" s="2"/>
      <c r="AGC5" s="2"/>
      <c r="AGD5" s="2"/>
      <c r="AGE5" s="2"/>
      <c r="AGF5" s="2"/>
      <c r="AGG5" s="2"/>
      <c r="AGH5" s="2"/>
      <c r="AGI5" s="2"/>
      <c r="AGJ5" s="2"/>
      <c r="AGK5" s="2"/>
      <c r="AGL5" s="2"/>
      <c r="AGM5" s="2"/>
      <c r="AGN5" s="2"/>
      <c r="AGO5" s="2"/>
      <c r="AGP5" s="2"/>
      <c r="AGQ5" s="2"/>
      <c r="AGR5" s="2"/>
      <c r="AGS5" s="2"/>
      <c r="AGT5" s="2"/>
      <c r="AGU5" s="2"/>
      <c r="AGV5" s="2"/>
      <c r="AGW5" s="2"/>
      <c r="AGX5" s="2"/>
      <c r="AGY5" s="2"/>
      <c r="AGZ5" s="2"/>
      <c r="AHA5" s="2"/>
      <c r="AHB5" s="2"/>
      <c r="AHC5" s="2"/>
      <c r="AHD5" s="2"/>
      <c r="AHE5" s="2"/>
      <c r="AHF5" s="2"/>
      <c r="AHG5" s="2"/>
      <c r="AHH5" s="2"/>
      <c r="AHI5" s="2"/>
      <c r="AHJ5" s="2"/>
      <c r="AHK5" s="2"/>
      <c r="AHL5" s="2"/>
      <c r="AHM5" s="2"/>
      <c r="AHN5" s="2"/>
      <c r="AHO5" s="2"/>
      <c r="AHP5" s="2"/>
      <c r="AHQ5" s="2"/>
      <c r="AHR5" s="2"/>
      <c r="AHS5" s="2"/>
      <c r="AHT5" s="2"/>
      <c r="AHU5" s="2"/>
      <c r="AHV5" s="2"/>
      <c r="AHW5" s="2"/>
      <c r="AHX5" s="2"/>
      <c r="AHY5" s="2"/>
      <c r="AHZ5" s="2"/>
      <c r="AIA5" s="2"/>
      <c r="AIB5" s="2"/>
      <c r="AIC5" s="2"/>
      <c r="AID5" s="2"/>
      <c r="AIE5" s="2"/>
      <c r="AIF5" s="2"/>
      <c r="AIG5" s="2"/>
      <c r="AIH5" s="2"/>
      <c r="AII5" s="2"/>
      <c r="AIJ5" s="2"/>
      <c r="AIK5" s="2"/>
      <c r="AIL5" s="2"/>
      <c r="AIM5" s="2"/>
      <c r="AIN5" s="2"/>
      <c r="AIO5" s="2"/>
      <c r="AIP5" s="2"/>
      <c r="AIQ5" s="2"/>
      <c r="AIR5" s="2"/>
      <c r="AIS5" s="2"/>
      <c r="AIT5" s="2"/>
      <c r="AIU5" s="2"/>
      <c r="AIV5" s="2"/>
      <c r="AIW5" s="2"/>
      <c r="AIX5" s="2"/>
      <c r="AIY5" s="2"/>
      <c r="AIZ5" s="2"/>
      <c r="AJA5" s="2"/>
      <c r="AJB5" s="2"/>
      <c r="AJC5" s="2"/>
      <c r="AJD5" s="2"/>
      <c r="AJE5" s="2"/>
      <c r="AJF5" s="2"/>
      <c r="AJG5" s="2"/>
      <c r="AJH5" s="2"/>
      <c r="AJI5" s="2"/>
      <c r="AJJ5" s="2"/>
      <c r="AJK5" s="2"/>
      <c r="AJL5" s="2"/>
      <c r="AJM5" s="2"/>
      <c r="AJN5" s="2"/>
      <c r="AJO5" s="2"/>
      <c r="AJP5" s="2"/>
      <c r="AJQ5" s="2"/>
      <c r="AJR5" s="2"/>
      <c r="AJS5" s="2"/>
      <c r="AJT5" s="2"/>
      <c r="AJU5" s="2"/>
      <c r="AJV5" s="2"/>
      <c r="AJW5" s="2"/>
      <c r="AJX5" s="2"/>
      <c r="AJY5" s="2"/>
      <c r="AJZ5" s="2"/>
      <c r="AKA5" s="2"/>
      <c r="AKB5" s="2"/>
      <c r="AKC5" s="2"/>
      <c r="AKD5" s="2"/>
      <c r="AKE5" s="2"/>
      <c r="AKF5" s="2"/>
      <c r="AKG5" s="2"/>
      <c r="AKH5" s="2"/>
      <c r="AKI5" s="2"/>
      <c r="AKJ5" s="2"/>
      <c r="AKK5" s="2"/>
      <c r="AKL5" s="2"/>
      <c r="AKM5" s="2"/>
      <c r="AKN5" s="2"/>
      <c r="AKO5" s="2"/>
      <c r="AKP5" s="2"/>
      <c r="AKQ5" s="2"/>
      <c r="AKR5" s="2"/>
      <c r="AKS5" s="2"/>
      <c r="AKT5" s="2"/>
      <c r="AKU5" s="2"/>
      <c r="AKV5" s="2"/>
      <c r="AKW5" s="2"/>
      <c r="AKX5" s="2"/>
      <c r="AKY5" s="2"/>
      <c r="AKZ5" s="2"/>
      <c r="ALA5" s="2"/>
      <c r="ALB5" s="2"/>
      <c r="ALC5" s="2"/>
      <c r="ALD5" s="2"/>
      <c r="ALE5" s="2"/>
      <c r="ALF5" s="2"/>
      <c r="ALG5" s="2"/>
      <c r="ALH5" s="2"/>
      <c r="ALI5" s="2"/>
      <c r="ALJ5" s="2"/>
      <c r="ALK5" s="2"/>
      <c r="ALL5" s="2"/>
      <c r="ALM5" s="2"/>
      <c r="ALN5" s="2"/>
      <c r="ALO5" s="2"/>
      <c r="ALP5" s="2"/>
      <c r="ALQ5" s="2"/>
      <c r="ALR5" s="2"/>
      <c r="ALS5" s="2"/>
      <c r="ALT5" s="2"/>
      <c r="ALU5" s="2"/>
      <c r="ALV5" s="2"/>
      <c r="ALW5" s="2"/>
      <c r="ALX5" s="2"/>
      <c r="ALY5" s="2"/>
      <c r="ALZ5" s="2"/>
      <c r="AMA5" s="2"/>
      <c r="AMB5" s="2"/>
      <c r="AMC5" s="2"/>
      <c r="AMD5" s="2"/>
      <c r="AME5" s="2"/>
      <c r="AMF5" s="2"/>
      <c r="AMG5" s="2"/>
      <c r="AMH5" s="2"/>
      <c r="AMI5" s="2"/>
      <c r="AMJ5" s="2"/>
      <c r="AMK5" s="2"/>
      <c r="AML5" s="2"/>
      <c r="AMM5" s="2"/>
      <c r="AMN5" s="2"/>
      <c r="AMO5" s="2"/>
      <c r="AMP5" s="2"/>
      <c r="AMQ5" s="2"/>
      <c r="AMR5" s="2"/>
      <c r="AMS5" s="2"/>
      <c r="AMT5" s="2"/>
      <c r="AMU5" s="2"/>
      <c r="AMV5" s="2"/>
      <c r="AMW5" s="2"/>
      <c r="AMX5" s="2"/>
      <c r="AMY5" s="2"/>
      <c r="AMZ5" s="2"/>
      <c r="ANA5" s="2"/>
      <c r="ANB5" s="2"/>
      <c r="ANC5" s="2"/>
      <c r="AND5" s="2"/>
      <c r="ANE5" s="2"/>
      <c r="ANF5" s="2"/>
      <c r="ANG5" s="2"/>
      <c r="ANH5" s="2"/>
      <c r="ANI5" s="2"/>
      <c r="ANJ5" s="2"/>
      <c r="ANK5" s="2"/>
      <c r="ANL5" s="2"/>
      <c r="ANM5" s="2"/>
      <c r="ANN5" s="2"/>
      <c r="ANO5" s="2"/>
      <c r="ANP5" s="2"/>
      <c r="ANQ5" s="2"/>
      <c r="ANR5" s="2"/>
      <c r="ANS5" s="2"/>
      <c r="ANT5" s="2"/>
      <c r="ANU5" s="2"/>
      <c r="ANV5" s="2"/>
      <c r="ANW5" s="2"/>
      <c r="ANX5" s="2"/>
      <c r="ANY5" s="2"/>
      <c r="ANZ5" s="2"/>
      <c r="AOA5" s="2"/>
      <c r="AOB5" s="2"/>
      <c r="AOC5" s="2"/>
      <c r="AOD5" s="2"/>
      <c r="AOE5" s="2"/>
      <c r="AOF5" s="2"/>
      <c r="AOG5" s="2"/>
      <c r="AOH5" s="2"/>
      <c r="AOI5" s="2"/>
      <c r="AOJ5" s="2"/>
      <c r="AOK5" s="2"/>
      <c r="AOL5" s="2"/>
      <c r="AOM5" s="2"/>
      <c r="AON5" s="2"/>
      <c r="AOO5" s="2"/>
      <c r="AOP5" s="2"/>
      <c r="AOQ5" s="2"/>
      <c r="AOR5" s="2"/>
      <c r="AOS5" s="2"/>
      <c r="AOT5" s="2"/>
      <c r="AOU5" s="2"/>
      <c r="AOV5" s="2"/>
      <c r="AOW5" s="2"/>
      <c r="AOX5" s="2"/>
      <c r="AOY5" s="2"/>
      <c r="AOZ5" s="2"/>
      <c r="APA5" s="2"/>
      <c r="APB5" s="2"/>
      <c r="APC5" s="2"/>
      <c r="APD5" s="2"/>
      <c r="APE5" s="2"/>
      <c r="APF5" s="2"/>
      <c r="APG5" s="2"/>
      <c r="APH5" s="2"/>
      <c r="API5" s="2"/>
      <c r="APJ5" s="2"/>
      <c r="APK5" s="2"/>
      <c r="APL5" s="2"/>
      <c r="APM5" s="2"/>
      <c r="APN5" s="2"/>
      <c r="APO5" s="2"/>
      <c r="APP5" s="2"/>
      <c r="APQ5" s="2"/>
      <c r="APR5" s="2"/>
      <c r="APS5" s="2"/>
      <c r="APT5" s="2"/>
      <c r="APU5" s="2"/>
      <c r="APV5" s="2"/>
      <c r="APW5" s="2"/>
      <c r="APX5" s="2"/>
      <c r="APY5" s="2"/>
      <c r="APZ5" s="2"/>
      <c r="AQA5" s="2"/>
      <c r="AQB5" s="2"/>
      <c r="AQC5" s="2"/>
      <c r="AQD5" s="2"/>
      <c r="AQE5" s="2"/>
      <c r="AQF5" s="2"/>
      <c r="AQG5" s="2"/>
      <c r="AQH5" s="2"/>
      <c r="AQI5" s="2"/>
      <c r="AQJ5" s="2"/>
      <c r="AQK5" s="2"/>
      <c r="AQL5" s="2"/>
      <c r="AQM5" s="2"/>
      <c r="AQN5" s="2"/>
      <c r="AQO5" s="2"/>
      <c r="AQP5" s="2"/>
      <c r="AQQ5" s="2"/>
      <c r="AQR5" s="2"/>
      <c r="AQS5" s="2"/>
      <c r="AQT5" s="2"/>
      <c r="AQU5" s="2"/>
      <c r="AQV5" s="2"/>
      <c r="AQW5" s="2"/>
      <c r="AQX5" s="2"/>
      <c r="AQY5" s="2"/>
      <c r="AQZ5" s="2"/>
      <c r="ARA5" s="2"/>
      <c r="ARB5" s="2"/>
      <c r="ARC5" s="2"/>
      <c r="ARD5" s="2"/>
      <c r="ARE5" s="2"/>
      <c r="ARF5" s="2"/>
      <c r="ARG5" s="2"/>
      <c r="ARH5" s="2"/>
      <c r="ARI5" s="2"/>
      <c r="ARJ5" s="2"/>
      <c r="ARK5" s="2"/>
      <c r="ARL5" s="2"/>
      <c r="ARM5" s="2"/>
      <c r="ARN5" s="2"/>
      <c r="ARO5" s="2"/>
      <c r="ARP5" s="2"/>
      <c r="ARQ5" s="2"/>
      <c r="ARR5" s="2"/>
      <c r="ARS5" s="2"/>
      <c r="ART5" s="2"/>
      <c r="ARU5" s="2"/>
      <c r="ARV5" s="2"/>
      <c r="ARW5" s="2"/>
      <c r="ARX5" s="2"/>
      <c r="ARY5" s="2"/>
      <c r="ARZ5" s="2"/>
      <c r="ASA5" s="2"/>
      <c r="ASB5" s="2"/>
      <c r="ASC5" s="2"/>
      <c r="ASD5" s="2"/>
      <c r="ASE5" s="2"/>
      <c r="ASF5" s="2"/>
      <c r="ASG5" s="2"/>
      <c r="ASH5" s="2"/>
      <c r="ASI5" s="2"/>
      <c r="ASJ5" s="2"/>
      <c r="ASK5" s="2"/>
      <c r="ASL5" s="2"/>
      <c r="ASM5" s="2"/>
      <c r="ASN5" s="2"/>
      <c r="ASO5" s="2"/>
      <c r="ASP5" s="2"/>
      <c r="ASQ5" s="2"/>
      <c r="ASR5" s="2"/>
      <c r="ASS5" s="2"/>
      <c r="AST5" s="2"/>
      <c r="ASU5" s="2"/>
      <c r="ASV5" s="2"/>
      <c r="ASW5" s="2"/>
      <c r="ASX5" s="2"/>
      <c r="ASY5" s="2"/>
      <c r="ASZ5" s="2"/>
      <c r="ATA5" s="2"/>
      <c r="ATB5" s="2"/>
      <c r="ATC5" s="2"/>
      <c r="ATD5" s="2"/>
      <c r="ATE5" s="2"/>
      <c r="ATF5" s="2"/>
      <c r="ATG5" s="2"/>
      <c r="ATH5" s="2"/>
      <c r="ATI5" s="2"/>
      <c r="ATJ5" s="2"/>
      <c r="ATK5" s="2"/>
      <c r="ATL5" s="2"/>
      <c r="ATM5" s="2"/>
      <c r="ATN5" s="2"/>
      <c r="ATO5" s="2"/>
      <c r="ATP5" s="2"/>
      <c r="ATQ5" s="2"/>
      <c r="ATR5" s="2"/>
      <c r="ATS5" s="2"/>
      <c r="ATT5" s="2"/>
      <c r="ATU5" s="2"/>
      <c r="ATV5" s="2"/>
      <c r="ATW5" s="2"/>
      <c r="ATX5" s="2"/>
      <c r="ATY5" s="2"/>
      <c r="ATZ5" s="2"/>
      <c r="AUA5" s="2"/>
      <c r="AUB5" s="2"/>
      <c r="AUC5" s="2"/>
      <c r="AUD5" s="2"/>
      <c r="AUE5" s="2"/>
      <c r="AUF5" s="2"/>
      <c r="AUG5" s="2"/>
      <c r="AUH5" s="2"/>
      <c r="AUI5" s="2"/>
      <c r="AUJ5" s="2"/>
      <c r="AUK5" s="2"/>
      <c r="AUL5" s="2"/>
      <c r="AUM5" s="2"/>
      <c r="AUN5" s="2"/>
      <c r="AUO5" s="2"/>
      <c r="AUP5" s="2"/>
      <c r="AUQ5" s="2"/>
      <c r="AUR5" s="2"/>
      <c r="AUS5" s="2"/>
      <c r="AUT5" s="2"/>
      <c r="AUU5" s="2"/>
      <c r="AUV5" s="2"/>
      <c r="AUW5" s="2"/>
      <c r="AUX5" s="2"/>
      <c r="AUY5" s="2"/>
      <c r="AUZ5" s="2"/>
      <c r="AVA5" s="2"/>
      <c r="AVB5" s="2"/>
      <c r="AVC5" s="2"/>
      <c r="AVD5" s="2"/>
      <c r="AVE5" s="2"/>
      <c r="AVF5" s="2"/>
      <c r="AVG5" s="2"/>
      <c r="AVH5" s="2"/>
      <c r="AVI5" s="2"/>
      <c r="AVJ5" s="2"/>
      <c r="AVK5" s="2"/>
      <c r="AVL5" s="2"/>
      <c r="AVM5" s="2"/>
      <c r="AVN5" s="2"/>
      <c r="AVO5" s="2"/>
      <c r="AVP5" s="2"/>
      <c r="AVQ5" s="2"/>
      <c r="AVR5" s="2"/>
      <c r="AVS5" s="2"/>
      <c r="AVT5" s="2"/>
      <c r="AVU5" s="2"/>
      <c r="AVV5" s="2"/>
      <c r="AVW5" s="2"/>
      <c r="AVX5" s="2"/>
      <c r="AVY5" s="2"/>
      <c r="AVZ5" s="2"/>
      <c r="AWA5" s="2"/>
      <c r="AWB5" s="2"/>
      <c r="AWC5" s="2"/>
      <c r="AWD5" s="2"/>
      <c r="AWE5" s="2"/>
      <c r="AWF5" s="2"/>
      <c r="AWG5" s="2"/>
      <c r="AWH5" s="2"/>
      <c r="AWI5" s="2"/>
      <c r="AWJ5" s="2"/>
      <c r="AWK5" s="2"/>
      <c r="AWL5" s="2"/>
      <c r="AWM5" s="2"/>
      <c r="AWN5" s="2"/>
      <c r="AWO5" s="2"/>
      <c r="AWP5" s="2"/>
      <c r="AWQ5" s="2"/>
      <c r="AWR5" s="2"/>
      <c r="AWS5" s="2"/>
      <c r="AWT5" s="2"/>
      <c r="AWU5" s="2"/>
      <c r="AWV5" s="2"/>
      <c r="AWW5" s="2"/>
      <c r="AWX5" s="2"/>
      <c r="AWY5" s="2"/>
      <c r="AWZ5" s="2"/>
      <c r="AXA5" s="2"/>
      <c r="AXB5" s="2"/>
      <c r="AXC5" s="2"/>
      <c r="AXD5" s="2"/>
      <c r="AXE5" s="2"/>
      <c r="AXF5" s="2"/>
      <c r="AXG5" s="2"/>
      <c r="AXH5" s="2"/>
      <c r="AXI5" s="2"/>
      <c r="AXJ5" s="2"/>
      <c r="AXK5" s="2"/>
      <c r="AXL5" s="2"/>
      <c r="AXM5" s="2"/>
      <c r="AXN5" s="2"/>
      <c r="AXO5" s="2"/>
      <c r="AXP5" s="2"/>
      <c r="AXQ5" s="2"/>
      <c r="AXR5" s="2"/>
      <c r="AXS5" s="2"/>
      <c r="AXT5" s="2"/>
      <c r="AXU5" s="2"/>
      <c r="AXV5" s="2"/>
      <c r="AXW5" s="2"/>
      <c r="AXX5" s="2"/>
      <c r="AXY5" s="2"/>
      <c r="AXZ5" s="2"/>
      <c r="AYA5" s="2"/>
      <c r="AYB5" s="2"/>
      <c r="AYC5" s="2"/>
      <c r="AYD5" s="2"/>
      <c r="AYE5" s="2"/>
      <c r="AYF5" s="2"/>
      <c r="AYG5" s="2"/>
      <c r="AYH5" s="2"/>
      <c r="AYI5" s="2"/>
      <c r="AYJ5" s="2"/>
      <c r="AYK5" s="2"/>
      <c r="AYL5" s="2"/>
      <c r="AYM5" s="2"/>
      <c r="AYN5" s="2"/>
      <c r="AYO5" s="2"/>
      <c r="AYP5" s="2"/>
      <c r="AYQ5" s="2"/>
      <c r="AYR5" s="2"/>
      <c r="AYS5" s="2"/>
      <c r="AYT5" s="2"/>
      <c r="AYU5" s="2"/>
      <c r="AYV5" s="2"/>
      <c r="AYW5" s="2"/>
      <c r="AYX5" s="2"/>
      <c r="AYY5" s="2"/>
      <c r="AYZ5" s="2"/>
      <c r="AZA5" s="2"/>
      <c r="AZB5" s="2"/>
      <c r="AZC5" s="2"/>
      <c r="AZD5" s="2"/>
      <c r="AZE5" s="2"/>
      <c r="AZF5" s="2"/>
      <c r="AZG5" s="2"/>
      <c r="AZH5" s="2"/>
      <c r="AZI5" s="2"/>
      <c r="AZJ5" s="2"/>
      <c r="AZK5" s="2"/>
      <c r="AZL5" s="2"/>
      <c r="AZM5" s="2"/>
      <c r="AZN5" s="2"/>
      <c r="AZO5" s="2"/>
      <c r="AZP5" s="2"/>
      <c r="AZQ5" s="2"/>
      <c r="AZR5" s="2"/>
      <c r="AZS5" s="2"/>
      <c r="AZT5" s="2"/>
      <c r="AZU5" s="2"/>
      <c r="AZV5" s="2"/>
      <c r="AZW5" s="2"/>
      <c r="AZX5" s="2"/>
      <c r="AZY5" s="2"/>
      <c r="AZZ5" s="2"/>
      <c r="BAA5" s="2"/>
      <c r="BAB5" s="2"/>
      <c r="BAC5" s="2"/>
      <c r="BAD5" s="2"/>
      <c r="BAE5" s="2"/>
      <c r="BAF5" s="2"/>
      <c r="BAG5" s="2"/>
      <c r="BAH5" s="2"/>
      <c r="BAI5" s="2"/>
      <c r="BAJ5" s="2"/>
      <c r="BAK5" s="2"/>
      <c r="BAL5" s="2"/>
      <c r="BAM5" s="2"/>
      <c r="BAN5" s="2"/>
      <c r="BAO5" s="2"/>
      <c r="BAP5" s="2"/>
      <c r="BAQ5" s="2"/>
      <c r="BAR5" s="2"/>
      <c r="BAS5" s="2"/>
      <c r="BAT5" s="2"/>
      <c r="BAU5" s="2"/>
      <c r="BAV5" s="2"/>
      <c r="BAW5" s="2"/>
      <c r="BAX5" s="2"/>
      <c r="BAY5" s="2"/>
      <c r="BAZ5" s="2"/>
      <c r="BBA5" s="2"/>
      <c r="BBB5" s="2"/>
      <c r="BBC5" s="2"/>
      <c r="BBD5" s="2"/>
      <c r="BBE5" s="2"/>
      <c r="BBF5" s="2"/>
      <c r="BBG5" s="2"/>
      <c r="BBH5" s="2"/>
      <c r="BBI5" s="2"/>
      <c r="BBJ5" s="2"/>
      <c r="BBK5" s="2"/>
      <c r="BBL5" s="2"/>
      <c r="BBM5" s="2"/>
      <c r="BBN5" s="2"/>
      <c r="BBO5" s="2"/>
      <c r="BBP5" s="2"/>
      <c r="BBQ5" s="2"/>
      <c r="BBR5" s="2"/>
      <c r="BBS5" s="2"/>
      <c r="BBT5" s="2"/>
      <c r="BBU5" s="2"/>
      <c r="BBV5" s="2"/>
      <c r="BBW5" s="2"/>
      <c r="BBX5" s="2"/>
      <c r="BBY5" s="2"/>
      <c r="BBZ5" s="2"/>
      <c r="BCA5" s="2"/>
      <c r="BCB5" s="2"/>
      <c r="BCC5" s="2"/>
      <c r="BCD5" s="2"/>
      <c r="BCE5" s="2"/>
      <c r="BCF5" s="2"/>
      <c r="BCG5" s="2"/>
      <c r="BCH5" s="2"/>
      <c r="BCI5" s="2"/>
      <c r="BCJ5" s="2"/>
      <c r="BCK5" s="2"/>
      <c r="BCL5" s="2"/>
      <c r="BCM5" s="2"/>
      <c r="BCN5" s="2"/>
      <c r="BCO5" s="2"/>
      <c r="BCP5" s="2"/>
      <c r="BCQ5" s="2"/>
      <c r="BCR5" s="2"/>
      <c r="BCS5" s="2"/>
      <c r="BCT5" s="2"/>
      <c r="BCU5" s="2"/>
      <c r="BCV5" s="2"/>
      <c r="BCW5" s="2"/>
      <c r="BCX5" s="2"/>
      <c r="BCY5" s="2"/>
      <c r="BCZ5" s="2"/>
      <c r="BDA5" s="2"/>
      <c r="BDB5" s="2"/>
      <c r="BDC5" s="2"/>
      <c r="BDD5" s="2"/>
      <c r="BDE5" s="2"/>
      <c r="BDF5" s="2"/>
      <c r="BDG5" s="2"/>
      <c r="BDH5" s="2"/>
      <c r="BDI5" s="2"/>
      <c r="BDJ5" s="2"/>
      <c r="BDK5" s="2"/>
      <c r="BDL5" s="2"/>
      <c r="BDM5" s="2"/>
      <c r="BDN5" s="2"/>
      <c r="BDO5" s="2"/>
      <c r="BDP5" s="2"/>
      <c r="BDQ5" s="2"/>
      <c r="BDR5" s="2"/>
      <c r="BDS5" s="2"/>
      <c r="BDT5" s="2"/>
      <c r="BDU5" s="2"/>
      <c r="BDV5" s="2"/>
      <c r="BDW5" s="2"/>
      <c r="BDX5" s="2"/>
      <c r="BDY5" s="2"/>
      <c r="BDZ5" s="2"/>
      <c r="BEA5" s="2"/>
      <c r="BEB5" s="2"/>
      <c r="BEC5" s="2"/>
      <c r="BED5" s="2"/>
      <c r="BEE5" s="2"/>
      <c r="BEF5" s="2"/>
      <c r="BEG5" s="2"/>
      <c r="BEH5" s="2"/>
      <c r="BEI5" s="2"/>
      <c r="BEJ5" s="2"/>
      <c r="BEK5" s="2"/>
      <c r="BEL5" s="2"/>
      <c r="BEM5" s="2"/>
      <c r="BEN5" s="2"/>
      <c r="BEO5" s="2"/>
      <c r="BEP5" s="2"/>
      <c r="BEQ5" s="2"/>
      <c r="BER5" s="2"/>
      <c r="BES5" s="2"/>
      <c r="BET5" s="2"/>
      <c r="BEU5" s="2"/>
      <c r="BEV5" s="2"/>
      <c r="BEW5" s="2"/>
      <c r="BEX5" s="2"/>
      <c r="BEY5" s="2"/>
      <c r="BEZ5" s="2"/>
      <c r="BFA5" s="2"/>
      <c r="BFB5" s="2"/>
      <c r="BFC5" s="2"/>
      <c r="BFD5" s="2"/>
      <c r="BFE5" s="2"/>
      <c r="BFF5" s="2"/>
      <c r="BFG5" s="2"/>
      <c r="BFH5" s="2"/>
      <c r="BFI5" s="2"/>
      <c r="BFJ5" s="2"/>
      <c r="BFK5" s="2"/>
      <c r="BFL5" s="2"/>
      <c r="BFM5" s="2"/>
      <c r="BFN5" s="2"/>
      <c r="BFO5" s="2"/>
      <c r="BFP5" s="2"/>
      <c r="BFQ5" s="2"/>
      <c r="BFR5" s="2"/>
      <c r="BFS5" s="2"/>
      <c r="BFT5" s="2"/>
      <c r="BFU5" s="2"/>
      <c r="BFV5" s="2"/>
      <c r="BFW5" s="2"/>
      <c r="BFX5" s="2"/>
      <c r="BFY5" s="2"/>
      <c r="BFZ5" s="2"/>
      <c r="BGA5" s="2"/>
      <c r="BGB5" s="2"/>
      <c r="BGC5" s="2"/>
      <c r="BGD5" s="2"/>
      <c r="BGE5" s="2"/>
      <c r="BGF5" s="2"/>
      <c r="BGG5" s="2"/>
      <c r="BGH5" s="2"/>
      <c r="BGI5" s="2"/>
      <c r="BGJ5" s="2"/>
      <c r="BGK5" s="2"/>
      <c r="BGL5" s="2"/>
      <c r="BGM5" s="2"/>
      <c r="BGN5" s="2"/>
      <c r="BGO5" s="2"/>
      <c r="BGP5" s="2"/>
      <c r="BGQ5" s="2"/>
      <c r="BGR5" s="2"/>
      <c r="BGS5" s="2"/>
      <c r="BGT5" s="2"/>
      <c r="BGU5" s="2"/>
      <c r="BGV5" s="2"/>
      <c r="BGW5" s="2"/>
      <c r="BGX5" s="2"/>
      <c r="BGY5" s="2"/>
      <c r="BGZ5" s="2"/>
      <c r="BHA5" s="2"/>
      <c r="BHB5" s="2"/>
      <c r="BHC5" s="2"/>
      <c r="BHD5" s="2"/>
      <c r="BHE5" s="2"/>
      <c r="BHF5" s="2"/>
      <c r="BHG5" s="2"/>
      <c r="BHH5" s="2"/>
      <c r="BHI5" s="2"/>
      <c r="BHJ5" s="2"/>
      <c r="BHK5" s="2"/>
      <c r="BHL5" s="2"/>
      <c r="BHM5" s="2"/>
      <c r="BHN5" s="2"/>
      <c r="BHO5" s="2"/>
      <c r="BHP5" s="2"/>
      <c r="BHQ5" s="2"/>
      <c r="BHR5" s="2"/>
      <c r="BHS5" s="2"/>
      <c r="BHT5" s="2"/>
      <c r="BHU5" s="2"/>
      <c r="BHV5" s="2"/>
      <c r="BHW5" s="2"/>
      <c r="BHX5" s="2"/>
      <c r="BHY5" s="2"/>
      <c r="BHZ5" s="2"/>
      <c r="BIA5" s="2"/>
      <c r="BIB5" s="2"/>
      <c r="BIC5" s="2"/>
      <c r="BID5" s="2"/>
      <c r="BIE5" s="2"/>
      <c r="BIF5" s="2"/>
      <c r="BIG5" s="2"/>
      <c r="BIH5" s="2"/>
      <c r="BII5" s="2"/>
      <c r="BIJ5" s="2"/>
      <c r="BIK5" s="2"/>
      <c r="BIL5" s="2"/>
      <c r="BIM5" s="2"/>
      <c r="BIN5" s="2"/>
      <c r="BIO5" s="2"/>
      <c r="BIP5" s="2"/>
      <c r="BIQ5" s="2"/>
      <c r="BIR5" s="2"/>
      <c r="BIS5" s="2"/>
      <c r="BIT5" s="2"/>
      <c r="BIU5" s="2"/>
      <c r="BIV5" s="2"/>
      <c r="BIW5" s="2"/>
      <c r="BIX5" s="2"/>
      <c r="BIY5" s="2"/>
      <c r="BIZ5" s="2"/>
      <c r="BJA5" s="2"/>
      <c r="BJB5" s="2"/>
      <c r="BJC5" s="2"/>
      <c r="BJD5" s="2"/>
      <c r="BJE5" s="2"/>
      <c r="BJF5" s="2"/>
      <c r="BJG5" s="2"/>
      <c r="BJH5" s="2"/>
      <c r="BJI5" s="2"/>
      <c r="BJJ5" s="2"/>
      <c r="BJK5" s="2"/>
      <c r="BJL5" s="2"/>
      <c r="BJM5" s="2"/>
      <c r="BJN5" s="2"/>
      <c r="BJO5" s="2"/>
      <c r="BJP5" s="2"/>
      <c r="BJQ5" s="2"/>
      <c r="BJR5" s="2"/>
      <c r="BJS5" s="2"/>
      <c r="BJT5" s="2"/>
      <c r="BJU5" s="2"/>
      <c r="BJV5" s="2"/>
      <c r="BJW5" s="2"/>
      <c r="BJX5" s="2"/>
      <c r="BJY5" s="2"/>
      <c r="BJZ5" s="2"/>
      <c r="BKA5" s="2"/>
      <c r="BKB5" s="2"/>
      <c r="BKC5" s="2"/>
      <c r="BKD5" s="2"/>
      <c r="BKE5" s="2"/>
      <c r="BKF5" s="2"/>
      <c r="BKG5" s="2"/>
      <c r="BKH5" s="2"/>
      <c r="BKI5" s="2"/>
      <c r="BKJ5" s="2"/>
      <c r="BKK5" s="2"/>
      <c r="BKL5" s="2"/>
      <c r="BKM5" s="2"/>
      <c r="BKN5" s="2"/>
      <c r="BKO5" s="2"/>
      <c r="BKP5" s="2"/>
      <c r="BKQ5" s="2"/>
      <c r="BKR5" s="2"/>
      <c r="BKS5" s="2"/>
      <c r="BKT5" s="2"/>
      <c r="BKU5" s="2"/>
      <c r="BKV5" s="2"/>
      <c r="BKW5" s="2"/>
      <c r="BKX5" s="2"/>
      <c r="BKY5" s="2"/>
      <c r="BKZ5" s="2"/>
      <c r="BLA5" s="2"/>
      <c r="BLB5" s="2"/>
      <c r="BLC5" s="2"/>
      <c r="BLD5" s="2"/>
      <c r="BLE5" s="2"/>
      <c r="BLF5" s="2"/>
      <c r="BLG5" s="2"/>
      <c r="BLH5" s="2"/>
      <c r="BLI5" s="2"/>
      <c r="BLJ5" s="2"/>
      <c r="BLK5" s="2"/>
      <c r="BLL5" s="2"/>
      <c r="BLM5" s="2"/>
      <c r="BLN5" s="2"/>
      <c r="BLO5" s="2"/>
      <c r="BLP5" s="2"/>
      <c r="BLQ5" s="2"/>
      <c r="BLR5" s="2"/>
      <c r="BLS5" s="2"/>
      <c r="BLT5" s="2"/>
      <c r="BLU5" s="2"/>
      <c r="BLV5" s="2"/>
      <c r="BLW5" s="2"/>
      <c r="BLX5" s="2"/>
      <c r="BLY5" s="2"/>
      <c r="BLZ5" s="2"/>
      <c r="BMA5" s="2"/>
      <c r="BMB5" s="2"/>
      <c r="BMC5" s="2"/>
      <c r="BMD5" s="2"/>
      <c r="BME5" s="2"/>
      <c r="BMF5" s="2"/>
      <c r="BMG5" s="2"/>
      <c r="BMH5" s="2"/>
      <c r="BMI5" s="2"/>
      <c r="BMJ5" s="2"/>
      <c r="BMK5" s="2"/>
      <c r="BML5" s="2"/>
      <c r="BMM5" s="2"/>
      <c r="BMN5" s="2"/>
      <c r="BMO5" s="2"/>
      <c r="BMP5" s="2"/>
      <c r="BMQ5" s="2"/>
      <c r="BMR5" s="2"/>
      <c r="BMS5" s="2"/>
      <c r="BMT5" s="2"/>
      <c r="BMU5" s="2"/>
      <c r="BMV5" s="2"/>
      <c r="BMW5" s="2"/>
      <c r="BMX5" s="2"/>
      <c r="BMY5" s="2"/>
      <c r="BMZ5" s="2"/>
      <c r="BNA5" s="2"/>
      <c r="BNB5" s="2"/>
      <c r="BNC5" s="2"/>
      <c r="BND5" s="2"/>
      <c r="BNE5" s="2"/>
      <c r="BNF5" s="2"/>
      <c r="BNG5" s="2"/>
      <c r="BNH5" s="2"/>
      <c r="BNI5" s="2"/>
      <c r="BNJ5" s="2"/>
      <c r="BNK5" s="2"/>
      <c r="BNL5" s="2"/>
      <c r="BNM5" s="2"/>
      <c r="BNN5" s="2"/>
      <c r="BNO5" s="2"/>
      <c r="BNP5" s="2"/>
      <c r="BNQ5" s="2"/>
      <c r="BNR5" s="2"/>
      <c r="BNS5" s="2"/>
      <c r="BNT5" s="2"/>
      <c r="BNU5" s="2"/>
      <c r="BNV5" s="2"/>
      <c r="BNW5" s="2"/>
      <c r="BNX5" s="2"/>
      <c r="BNY5" s="2"/>
      <c r="BNZ5" s="2"/>
      <c r="BOA5" s="2"/>
      <c r="BOB5" s="2"/>
      <c r="BOC5" s="2"/>
      <c r="BOD5" s="2"/>
      <c r="BOE5" s="2"/>
      <c r="BOF5" s="2"/>
      <c r="BOG5" s="2"/>
      <c r="BOH5" s="2"/>
      <c r="BOI5" s="2"/>
      <c r="BOJ5" s="2"/>
      <c r="BOK5" s="2"/>
      <c r="BOL5" s="2"/>
      <c r="BOM5" s="2"/>
      <c r="BON5" s="2"/>
      <c r="BOO5" s="2"/>
      <c r="BOP5" s="2"/>
      <c r="BOQ5" s="2"/>
      <c r="BOR5" s="2"/>
      <c r="BOS5" s="2"/>
      <c r="BOT5" s="2"/>
      <c r="BOU5" s="2"/>
      <c r="BOV5" s="2"/>
      <c r="BOW5" s="2"/>
      <c r="BOX5" s="2"/>
      <c r="BOY5" s="2"/>
      <c r="BOZ5" s="2"/>
      <c r="BPA5" s="2"/>
      <c r="BPB5" s="2"/>
      <c r="BPC5" s="2"/>
      <c r="BPD5" s="2"/>
      <c r="BPE5" s="2"/>
      <c r="BPF5" s="2"/>
      <c r="BPG5" s="2"/>
      <c r="BPH5" s="2"/>
      <c r="BPI5" s="2"/>
      <c r="BPJ5" s="2"/>
      <c r="BPK5" s="2"/>
      <c r="BPL5" s="2"/>
      <c r="BPM5" s="2"/>
      <c r="BPN5" s="2"/>
      <c r="BPO5" s="2"/>
      <c r="BPP5" s="2"/>
      <c r="BPQ5" s="2"/>
      <c r="BPR5" s="2"/>
      <c r="BPS5" s="2"/>
      <c r="BPT5" s="2"/>
      <c r="BPU5" s="2"/>
      <c r="BPV5" s="2"/>
      <c r="BPW5" s="2"/>
      <c r="BPX5" s="2"/>
      <c r="BPY5" s="2"/>
      <c r="BPZ5" s="2"/>
      <c r="BQA5" s="2"/>
      <c r="BQB5" s="2"/>
      <c r="BQC5" s="2"/>
      <c r="BQD5" s="2"/>
      <c r="BQE5" s="2"/>
      <c r="BQF5" s="2"/>
      <c r="BQG5" s="2"/>
      <c r="BQH5" s="2"/>
      <c r="BQI5" s="2"/>
      <c r="BQJ5" s="2"/>
      <c r="BQK5" s="2"/>
      <c r="BQL5" s="2"/>
    </row>
    <row r="6" spans="1:1806" ht="12.9" customHeight="1" x14ac:dyDescent="0.3">
      <c r="A6" s="7">
        <v>2018</v>
      </c>
      <c r="B6" s="6"/>
      <c r="C6" s="6"/>
      <c r="D6" s="6"/>
      <c r="E6" s="6"/>
      <c r="F6" s="6"/>
      <c r="G6" s="6"/>
      <c r="H6" s="8"/>
      <c r="I6" s="23"/>
      <c r="J6" s="23"/>
      <c r="K6" s="23"/>
    </row>
    <row r="7" spans="1:1806" ht="12.9" customHeight="1" x14ac:dyDescent="0.3">
      <c r="A7" s="7" t="s">
        <v>7</v>
      </c>
      <c r="B7" s="25">
        <f>SUM(B9:B17)</f>
        <v>3711948</v>
      </c>
      <c r="C7" s="11">
        <v>5.6671729889535696</v>
      </c>
      <c r="D7" s="11"/>
      <c r="E7" s="25">
        <f>SUM(E9:E17)</f>
        <v>2154770925</v>
      </c>
      <c r="F7" s="11">
        <v>580.5</v>
      </c>
      <c r="G7" s="11">
        <v>101.9</v>
      </c>
      <c r="H7" s="55"/>
      <c r="I7" s="23"/>
      <c r="J7" s="23"/>
      <c r="K7" s="23"/>
    </row>
    <row r="8" spans="1:1806" ht="9.15" customHeight="1" x14ac:dyDescent="0.3">
      <c r="A8" s="7"/>
      <c r="B8" s="14"/>
      <c r="C8" s="14"/>
      <c r="D8" s="14"/>
      <c r="E8" s="14"/>
      <c r="F8" s="14"/>
      <c r="G8" s="14"/>
      <c r="H8" s="8"/>
      <c r="I8" s="23"/>
      <c r="J8" s="23"/>
      <c r="K8" s="23"/>
    </row>
    <row r="9" spans="1:1806" ht="12.9" customHeight="1" x14ac:dyDescent="0.3">
      <c r="A9" s="17" t="s">
        <v>8</v>
      </c>
      <c r="B9" s="26">
        <v>727421</v>
      </c>
      <c r="C9" s="20">
        <v>7.8</v>
      </c>
      <c r="D9" s="20"/>
      <c r="E9" s="26">
        <v>874364035</v>
      </c>
      <c r="F9" s="20">
        <v>1202</v>
      </c>
      <c r="G9" s="20">
        <v>154.19999999999999</v>
      </c>
      <c r="H9" s="8"/>
      <c r="I9" s="23"/>
      <c r="J9" s="23"/>
      <c r="K9" s="23"/>
    </row>
    <row r="10" spans="1:1806" ht="12.9" customHeight="1" x14ac:dyDescent="0.3">
      <c r="A10" s="17" t="s">
        <v>9</v>
      </c>
      <c r="B10" s="26">
        <v>288071</v>
      </c>
      <c r="C10" s="20">
        <v>3.1</v>
      </c>
      <c r="D10" s="20"/>
      <c r="E10" s="26">
        <v>72706314</v>
      </c>
      <c r="F10" s="20">
        <v>252.4</v>
      </c>
      <c r="G10" s="20">
        <v>80.2</v>
      </c>
      <c r="H10" s="8"/>
      <c r="I10" s="23"/>
      <c r="J10" s="23"/>
      <c r="K10" s="23"/>
    </row>
    <row r="11" spans="1:1806" ht="12.9" customHeight="1" x14ac:dyDescent="0.3">
      <c r="A11" s="17" t="s">
        <v>10</v>
      </c>
      <c r="B11" s="26">
        <v>1051593</v>
      </c>
      <c r="C11" s="20">
        <v>5.7</v>
      </c>
      <c r="D11" s="20"/>
      <c r="E11" s="26">
        <v>607615270</v>
      </c>
      <c r="F11" s="20">
        <v>577.79999999999995</v>
      </c>
      <c r="G11" s="20">
        <v>102</v>
      </c>
      <c r="H11" s="8"/>
      <c r="I11" s="23"/>
      <c r="J11" s="23"/>
      <c r="K11" s="23"/>
    </row>
    <row r="12" spans="1:1806" ht="12.9" customHeight="1" x14ac:dyDescent="0.3">
      <c r="A12" s="17" t="s">
        <v>11</v>
      </c>
      <c r="B12" s="26">
        <v>217453</v>
      </c>
      <c r="C12" s="20">
        <v>7.3</v>
      </c>
      <c r="D12" s="20"/>
      <c r="E12" s="26">
        <v>91462815</v>
      </c>
      <c r="F12" s="20">
        <v>420.6</v>
      </c>
      <c r="G12" s="20">
        <v>57.3</v>
      </c>
      <c r="H12" s="8"/>
      <c r="I12" s="23"/>
      <c r="J12" s="23"/>
      <c r="K12" s="23"/>
    </row>
    <row r="13" spans="1:1806" ht="12.9" customHeight="1" x14ac:dyDescent="0.3">
      <c r="A13" s="17" t="s">
        <v>12</v>
      </c>
      <c r="B13" s="26">
        <v>220264</v>
      </c>
      <c r="C13" s="20">
        <v>8.1999999999999993</v>
      </c>
      <c r="D13" s="20"/>
      <c r="E13" s="26">
        <v>171188488</v>
      </c>
      <c r="F13" s="20">
        <v>777.2</v>
      </c>
      <c r="G13" s="20">
        <v>95</v>
      </c>
      <c r="H13" s="8"/>
      <c r="I13" s="23"/>
      <c r="J13" s="23"/>
      <c r="K13" s="23"/>
    </row>
    <row r="14" spans="1:1806" ht="12.9" customHeight="1" x14ac:dyDescent="0.3">
      <c r="A14" s="17" t="s">
        <v>13</v>
      </c>
      <c r="B14" s="26">
        <v>229870</v>
      </c>
      <c r="C14" s="20">
        <v>8.6</v>
      </c>
      <c r="D14" s="20"/>
      <c r="E14" s="26">
        <v>135254385</v>
      </c>
      <c r="F14" s="20">
        <v>588.4</v>
      </c>
      <c r="G14" s="20">
        <v>68.7</v>
      </c>
      <c r="H14" s="8"/>
      <c r="I14" s="23"/>
      <c r="J14" s="23"/>
      <c r="K14" s="23"/>
    </row>
    <row r="15" spans="1:1806" ht="12.9" customHeight="1" x14ac:dyDescent="0.3">
      <c r="A15" s="17" t="s">
        <v>14</v>
      </c>
      <c r="B15" s="26">
        <v>605547</v>
      </c>
      <c r="C15" s="20">
        <v>3.9</v>
      </c>
      <c r="D15" s="20"/>
      <c r="E15" s="26">
        <v>162721603</v>
      </c>
      <c r="F15" s="20">
        <v>268.7</v>
      </c>
      <c r="G15" s="20">
        <v>68.2</v>
      </c>
      <c r="H15" s="8"/>
      <c r="I15" s="23"/>
      <c r="J15" s="23"/>
      <c r="K15" s="23"/>
    </row>
    <row r="16" spans="1:1806" ht="12.9" customHeight="1" x14ac:dyDescent="0.3">
      <c r="A16" s="17" t="s">
        <v>15</v>
      </c>
      <c r="B16" s="26">
        <v>222230</v>
      </c>
      <c r="C16" s="20">
        <v>0.6</v>
      </c>
      <c r="D16" s="20"/>
      <c r="E16" s="26">
        <v>8320516</v>
      </c>
      <c r="F16" s="20">
        <v>37.4</v>
      </c>
      <c r="G16" s="20">
        <v>63.1</v>
      </c>
      <c r="H16" s="8"/>
      <c r="I16" s="23"/>
      <c r="J16" s="23"/>
      <c r="K16" s="23"/>
    </row>
    <row r="17" spans="1:11" ht="12.9" customHeight="1" x14ac:dyDescent="0.3">
      <c r="A17" s="17" t="s">
        <v>16</v>
      </c>
      <c r="B17" s="26">
        <v>149499</v>
      </c>
      <c r="C17" s="20">
        <v>4.8</v>
      </c>
      <c r="D17" s="20"/>
      <c r="E17" s="26">
        <v>31137499</v>
      </c>
      <c r="F17" s="20">
        <v>208.3</v>
      </c>
      <c r="G17" s="20">
        <v>43.4</v>
      </c>
      <c r="H17" s="8"/>
      <c r="I17" s="23"/>
      <c r="J17" s="23"/>
      <c r="K17" s="23"/>
    </row>
    <row r="18" spans="1:11" ht="9.15" customHeight="1" x14ac:dyDescent="0.3">
      <c r="A18" s="17"/>
      <c r="B18" s="22"/>
      <c r="C18" s="22"/>
      <c r="D18" s="22"/>
      <c r="E18" s="22"/>
      <c r="F18" s="22"/>
      <c r="G18" s="22"/>
      <c r="H18" s="8"/>
      <c r="I18" s="23"/>
      <c r="J18" s="23"/>
      <c r="K18" s="23"/>
    </row>
    <row r="19" spans="1:11" ht="12.9" customHeight="1" x14ac:dyDescent="0.3">
      <c r="A19" s="7">
        <v>2019</v>
      </c>
      <c r="E19" s="27"/>
      <c r="F19" s="27"/>
      <c r="G19" s="27"/>
      <c r="H19" s="22"/>
    </row>
    <row r="20" spans="1:11" ht="15" customHeight="1" x14ac:dyDescent="0.3">
      <c r="A20" s="7" t="s">
        <v>7</v>
      </c>
      <c r="B20" s="25">
        <f>SUM(B22:B30)</f>
        <v>3220602</v>
      </c>
      <c r="C20" s="28">
        <v>5.5</v>
      </c>
      <c r="D20" s="28"/>
      <c r="E20" s="25">
        <f>SUM(E22:E30)</f>
        <v>1753781316</v>
      </c>
      <c r="F20" s="11">
        <v>544.6</v>
      </c>
      <c r="G20" s="11">
        <v>101.9</v>
      </c>
      <c r="H20" s="54"/>
    </row>
    <row r="21" spans="1:11" ht="9.75" customHeight="1" x14ac:dyDescent="0.3">
      <c r="A21" s="7"/>
      <c r="B21" s="14"/>
      <c r="C21" s="14"/>
      <c r="D21" s="14"/>
      <c r="E21" s="14"/>
      <c r="F21" s="14"/>
      <c r="G21" s="14"/>
    </row>
    <row r="22" spans="1:11" ht="13.5" customHeight="1" x14ac:dyDescent="0.3">
      <c r="A22" s="17" t="s">
        <v>8</v>
      </c>
      <c r="B22" s="26">
        <v>584251</v>
      </c>
      <c r="C22" s="20">
        <v>7.5</v>
      </c>
      <c r="D22" s="20"/>
      <c r="E22" s="26">
        <v>672115467</v>
      </c>
      <c r="F22" s="20">
        <v>1150.4000000000001</v>
      </c>
      <c r="G22" s="20">
        <v>153.19999999999999</v>
      </c>
    </row>
    <row r="23" spans="1:11" ht="13.5" customHeight="1" x14ac:dyDescent="0.3">
      <c r="A23" s="17" t="s">
        <v>9</v>
      </c>
      <c r="B23" s="26">
        <v>285988</v>
      </c>
      <c r="C23" s="20">
        <v>2.9</v>
      </c>
      <c r="D23" s="20"/>
      <c r="E23" s="26">
        <v>66971465</v>
      </c>
      <c r="F23" s="20">
        <v>234.2</v>
      </c>
      <c r="G23" s="20">
        <v>79.7</v>
      </c>
    </row>
    <row r="24" spans="1:11" ht="13.5" customHeight="1" x14ac:dyDescent="0.3">
      <c r="A24" s="17" t="s">
        <v>10</v>
      </c>
      <c r="B24" s="26">
        <v>1003379</v>
      </c>
      <c r="C24" s="20">
        <v>5.7</v>
      </c>
      <c r="D24" s="20"/>
      <c r="E24" s="26">
        <v>574986163</v>
      </c>
      <c r="F24" s="20">
        <v>573</v>
      </c>
      <c r="G24" s="20">
        <v>100.5</v>
      </c>
    </row>
    <row r="25" spans="1:11" ht="13.5" customHeight="1" x14ac:dyDescent="0.3">
      <c r="A25" s="17" t="s">
        <v>11</v>
      </c>
      <c r="B25" s="26">
        <v>143268</v>
      </c>
      <c r="C25" s="20">
        <v>7.3</v>
      </c>
      <c r="D25" s="20"/>
      <c r="E25" s="26">
        <v>54364610</v>
      </c>
      <c r="F25" s="20">
        <v>379.5</v>
      </c>
      <c r="G25" s="20">
        <v>51.9</v>
      </c>
    </row>
    <row r="26" spans="1:11" ht="13.5" customHeight="1" x14ac:dyDescent="0.3">
      <c r="A26" s="17" t="s">
        <v>12</v>
      </c>
      <c r="B26" s="26">
        <v>174514</v>
      </c>
      <c r="C26" s="20">
        <v>7.3</v>
      </c>
      <c r="D26" s="20"/>
      <c r="E26" s="26">
        <v>112745566</v>
      </c>
      <c r="F26" s="20">
        <v>646.1</v>
      </c>
      <c r="G26" s="20">
        <v>88.5</v>
      </c>
    </row>
    <row r="27" spans="1:11" ht="13.5" customHeight="1" x14ac:dyDescent="0.3">
      <c r="A27" s="17" t="s">
        <v>13</v>
      </c>
      <c r="B27" s="26">
        <v>165832</v>
      </c>
      <c r="C27" s="20">
        <v>8.1</v>
      </c>
      <c r="D27" s="20"/>
      <c r="E27" s="26">
        <v>95030097</v>
      </c>
      <c r="F27" s="20">
        <v>573.1</v>
      </c>
      <c r="G27" s="20">
        <v>70.400000000000006</v>
      </c>
    </row>
    <row r="28" spans="1:11" ht="13.5" customHeight="1" x14ac:dyDescent="0.3">
      <c r="A28" s="17" t="s">
        <v>14</v>
      </c>
      <c r="B28" s="26">
        <v>565825</v>
      </c>
      <c r="C28" s="20">
        <v>3.8</v>
      </c>
      <c r="D28" s="20"/>
      <c r="E28" s="26">
        <v>134427307</v>
      </c>
      <c r="F28" s="20">
        <v>237.6</v>
      </c>
      <c r="G28" s="20">
        <v>61.8</v>
      </c>
    </row>
    <row r="29" spans="1:11" ht="13.5" customHeight="1" x14ac:dyDescent="0.3">
      <c r="A29" s="17" t="s">
        <v>15</v>
      </c>
      <c r="B29" s="26">
        <v>140179</v>
      </c>
      <c r="C29" s="20">
        <v>0.7</v>
      </c>
      <c r="D29" s="20"/>
      <c r="E29" s="26">
        <v>9286523</v>
      </c>
      <c r="F29" s="20">
        <v>66.2</v>
      </c>
      <c r="G29" s="20">
        <v>97.7</v>
      </c>
    </row>
    <row r="30" spans="1:11" ht="13.5" customHeight="1" x14ac:dyDescent="0.3">
      <c r="A30" s="17" t="s">
        <v>16</v>
      </c>
      <c r="B30" s="26">
        <v>157366</v>
      </c>
      <c r="C30" s="20">
        <v>4.5999999999999996</v>
      </c>
      <c r="D30" s="20"/>
      <c r="E30" s="26">
        <v>33854118</v>
      </c>
      <c r="F30" s="20">
        <v>215.1</v>
      </c>
      <c r="G30" s="20">
        <v>47</v>
      </c>
    </row>
    <row r="31" spans="1:11" ht="9.15" customHeight="1" x14ac:dyDescent="0.3"/>
    <row r="32" spans="1:11" ht="12.9" customHeight="1" x14ac:dyDescent="0.3">
      <c r="A32" s="7">
        <v>2021</v>
      </c>
      <c r="E32" s="27"/>
      <c r="F32" s="27"/>
      <c r="G32" s="27"/>
      <c r="H32" s="22"/>
    </row>
    <row r="33" spans="1:24" ht="12" customHeight="1" x14ac:dyDescent="0.3">
      <c r="A33" s="7" t="s">
        <v>7</v>
      </c>
      <c r="B33" s="9">
        <f>SUM(B35:B43)</f>
        <v>233536</v>
      </c>
      <c r="C33" s="12">
        <v>7.2</v>
      </c>
      <c r="D33" s="11"/>
      <c r="E33" s="9">
        <f>SUM(E35:E43)</f>
        <v>179373938</v>
      </c>
      <c r="F33" s="12">
        <f>+E33/B33</f>
        <v>768.07831768977803</v>
      </c>
      <c r="G33" s="12">
        <f>+F33/C33</f>
        <v>106.67754412358028</v>
      </c>
      <c r="H33" s="54"/>
    </row>
    <row r="34" spans="1:24" ht="9.75" customHeight="1" x14ac:dyDescent="0.3">
      <c r="A34" s="7"/>
      <c r="B34" s="13"/>
      <c r="C34" s="13"/>
      <c r="D34" s="14"/>
      <c r="E34" s="13"/>
      <c r="F34" s="13"/>
      <c r="G34" s="13"/>
    </row>
    <row r="35" spans="1:24" ht="13.5" customHeight="1" x14ac:dyDescent="0.3">
      <c r="A35" s="17" t="s">
        <v>8</v>
      </c>
      <c r="B35" s="29">
        <f>22132+38708</f>
        <v>60840</v>
      </c>
      <c r="C35" s="30">
        <f>(22132*10.6+38708*7.6)/B35</f>
        <v>8.6913214990138066</v>
      </c>
      <c r="D35" s="20"/>
      <c r="E35" s="29">
        <f>30018564+44835730</f>
        <v>74854294</v>
      </c>
      <c r="F35" s="21">
        <f t="shared" ref="F35:F43" si="0">+E35/B35</f>
        <v>1230.3467126890205</v>
      </c>
      <c r="G35" s="21">
        <f t="shared" ref="G35:G43" si="1">+F35/C35</f>
        <v>141.56037293392339</v>
      </c>
    </row>
    <row r="36" spans="1:24" ht="13.5" customHeight="1" x14ac:dyDescent="0.3">
      <c r="A36" s="17" t="s">
        <v>9</v>
      </c>
      <c r="B36" s="29">
        <f>8399+10582</f>
        <v>18981</v>
      </c>
      <c r="C36" s="30">
        <f>(8399*5.4+10582*3.3)/B36</f>
        <v>4.2292397660818724</v>
      </c>
      <c r="D36" s="20"/>
      <c r="E36" s="29">
        <f>2601933+2915540</f>
        <v>5517473</v>
      </c>
      <c r="F36" s="21">
        <f t="shared" si="0"/>
        <v>290.68399978926294</v>
      </c>
      <c r="G36" s="21">
        <f t="shared" si="1"/>
        <v>68.731974507693522</v>
      </c>
    </row>
    <row r="37" spans="1:24" ht="13.5" customHeight="1" x14ac:dyDescent="0.3">
      <c r="A37" s="17" t="s">
        <v>10</v>
      </c>
      <c r="B37" s="29">
        <f>51798+38386</f>
        <v>90184</v>
      </c>
      <c r="C37" s="30">
        <f>(51798*5.5+38386*9)/B37</f>
        <v>6.9897431916969754</v>
      </c>
      <c r="D37" s="20"/>
      <c r="E37" s="29">
        <f>33436098+37331217</f>
        <v>70767315</v>
      </c>
      <c r="F37" s="21">
        <f t="shared" si="0"/>
        <v>784.69922602678969</v>
      </c>
      <c r="G37" s="21">
        <f t="shared" si="1"/>
        <v>112.2643857586819</v>
      </c>
    </row>
    <row r="38" spans="1:24" ht="13.5" customHeight="1" x14ac:dyDescent="0.3">
      <c r="A38" s="17" t="s">
        <v>11</v>
      </c>
      <c r="B38" s="29">
        <f>3516+8216</f>
        <v>11732</v>
      </c>
      <c r="C38" s="30">
        <f>(3516*7.1+8216*8.4)/B38</f>
        <v>8.0103989089669287</v>
      </c>
      <c r="D38" s="20"/>
      <c r="E38" s="29">
        <f>1707096+3448773</f>
        <v>5155869</v>
      </c>
      <c r="F38" s="21">
        <f t="shared" si="0"/>
        <v>439.47059324923288</v>
      </c>
      <c r="G38" s="21">
        <f t="shared" si="1"/>
        <v>54.862510374768561</v>
      </c>
    </row>
    <row r="39" spans="1:24" ht="13.5" customHeight="1" x14ac:dyDescent="0.3">
      <c r="A39" s="17" t="s">
        <v>12</v>
      </c>
      <c r="B39" s="29">
        <f>2485+7445</f>
        <v>9930</v>
      </c>
      <c r="C39" s="21">
        <f>(2485*8.8+7446*10.6)/B39</f>
        <v>10.150614300100704</v>
      </c>
      <c r="D39" s="20"/>
      <c r="E39" s="29">
        <f>3181748+6896599</f>
        <v>10078347</v>
      </c>
      <c r="F39" s="21">
        <f t="shared" si="0"/>
        <v>1014.9392749244713</v>
      </c>
      <c r="G39" s="21">
        <f t="shared" si="1"/>
        <v>99.987965744536481</v>
      </c>
    </row>
    <row r="40" spans="1:24" ht="13.5" customHeight="1" x14ac:dyDescent="0.3">
      <c r="A40" s="17" t="s">
        <v>13</v>
      </c>
      <c r="B40" s="29">
        <f>92+10088</f>
        <v>10180</v>
      </c>
      <c r="C40" s="21">
        <f>(92*6+10088*7.8)/B40</f>
        <v>7.7837328094302549</v>
      </c>
      <c r="D40" s="20"/>
      <c r="E40" s="29">
        <f>62328+4723207</f>
        <v>4785535</v>
      </c>
      <c r="F40" s="21">
        <f t="shared" si="0"/>
        <v>470.09184675834973</v>
      </c>
      <c r="G40" s="21">
        <f t="shared" si="1"/>
        <v>60.394139710039582</v>
      </c>
    </row>
    <row r="41" spans="1:24" ht="13.5" customHeight="1" x14ac:dyDescent="0.3">
      <c r="A41" s="17" t="s">
        <v>14</v>
      </c>
      <c r="B41" s="29">
        <f>2581+9870</f>
        <v>12451</v>
      </c>
      <c r="C41" s="21">
        <f>(2581*9+9870*7.2)/B41</f>
        <v>7.5731266564934545</v>
      </c>
      <c r="D41" s="20"/>
      <c r="E41" s="29">
        <f>1560667+3220262</f>
        <v>4780929</v>
      </c>
      <c r="F41" s="21">
        <f t="shared" si="0"/>
        <v>383.97951971729179</v>
      </c>
      <c r="G41" s="21">
        <f t="shared" si="1"/>
        <v>50.70290477554007</v>
      </c>
    </row>
    <row r="42" spans="1:24" ht="13.5" customHeight="1" x14ac:dyDescent="0.3">
      <c r="A42" s="17" t="s">
        <v>15</v>
      </c>
      <c r="B42" s="29">
        <v>6223</v>
      </c>
      <c r="C42" s="21">
        <v>0.7</v>
      </c>
      <c r="D42" s="20"/>
      <c r="E42" s="29">
        <v>255148</v>
      </c>
      <c r="F42" s="21">
        <f t="shared" si="0"/>
        <v>41.000803470994697</v>
      </c>
      <c r="G42" s="21">
        <f t="shared" si="1"/>
        <v>58.572576387135285</v>
      </c>
    </row>
    <row r="43" spans="1:24" ht="13.5" customHeight="1" x14ac:dyDescent="0.3">
      <c r="A43" s="17" t="s">
        <v>16</v>
      </c>
      <c r="B43" s="29">
        <f>3160+9855</f>
        <v>13015</v>
      </c>
      <c r="C43" s="21">
        <f>(3160*8.4+9855*5.9)/B43</f>
        <v>6.5069919323857084</v>
      </c>
      <c r="D43" s="20"/>
      <c r="E43" s="29">
        <f>1032191+2146837</f>
        <v>3179028</v>
      </c>
      <c r="F43" s="21">
        <f t="shared" si="0"/>
        <v>244.25877833269305</v>
      </c>
      <c r="G43" s="21">
        <f t="shared" si="1"/>
        <v>37.537894755486285</v>
      </c>
    </row>
    <row r="44" spans="1:24" ht="9.15" customHeight="1" x14ac:dyDescent="0.3"/>
    <row r="45" spans="1:24" ht="12.9" customHeight="1" x14ac:dyDescent="0.3">
      <c r="A45" s="7">
        <v>2022</v>
      </c>
    </row>
    <row r="46" spans="1:24" ht="12.9" customHeight="1" x14ac:dyDescent="0.3">
      <c r="A46" s="7" t="s">
        <v>7</v>
      </c>
      <c r="B46" s="9">
        <f>SUM(B48:B56)</f>
        <v>2466929</v>
      </c>
      <c r="C46" s="10">
        <v>6.2</v>
      </c>
      <c r="D46" s="11"/>
      <c r="E46" s="9">
        <f>SUM(E48:E56)</f>
        <v>1396774969</v>
      </c>
      <c r="F46" s="12">
        <f>+E46/B46</f>
        <v>566.19990644238237</v>
      </c>
      <c r="G46" s="12">
        <f>+F46/C46</f>
        <v>91.322565555222965</v>
      </c>
      <c r="L46" s="31"/>
      <c r="R46" s="31"/>
      <c r="X46" s="31"/>
    </row>
    <row r="47" spans="1:24" ht="9.15" customHeight="1" x14ac:dyDescent="0.3">
      <c r="A47" s="7"/>
      <c r="B47" s="13"/>
      <c r="C47" s="13"/>
      <c r="D47" s="14"/>
      <c r="E47" s="13"/>
      <c r="F47" s="13"/>
      <c r="G47" s="13"/>
      <c r="J47" s="31"/>
      <c r="K47" s="31"/>
      <c r="L47" s="31"/>
      <c r="Q47" s="31"/>
      <c r="R47" s="31"/>
      <c r="X47" s="31"/>
    </row>
    <row r="48" spans="1:24" ht="12.9" customHeight="1" x14ac:dyDescent="0.3">
      <c r="A48" s="17" t="s">
        <v>8</v>
      </c>
      <c r="B48" s="18">
        <v>539287</v>
      </c>
      <c r="C48" s="32">
        <v>8.6</v>
      </c>
      <c r="D48" s="20"/>
      <c r="E48" s="18">
        <v>614116485</v>
      </c>
      <c r="F48" s="21">
        <f t="shared" ref="F48:F56" si="2">+E48/B48</f>
        <v>1138.7563301173586</v>
      </c>
      <c r="G48" s="21">
        <f t="shared" ref="G48:G56" si="3">+F48/C48</f>
        <v>132.41352675783241</v>
      </c>
      <c r="L48" s="31"/>
      <c r="R48" s="31"/>
      <c r="X48" s="31"/>
    </row>
    <row r="49" spans="1:24" ht="12.9" customHeight="1" x14ac:dyDescent="0.3">
      <c r="A49" s="17" t="s">
        <v>9</v>
      </c>
      <c r="B49" s="18">
        <v>309185</v>
      </c>
      <c r="C49" s="32">
        <v>2.8</v>
      </c>
      <c r="D49" s="20"/>
      <c r="E49" s="18">
        <v>66330233</v>
      </c>
      <c r="F49" s="21">
        <f t="shared" si="2"/>
        <v>214.53250642819023</v>
      </c>
      <c r="G49" s="21">
        <f t="shared" si="3"/>
        <v>76.61875229578223</v>
      </c>
      <c r="I49" s="53"/>
      <c r="J49" s="31"/>
      <c r="K49" s="31"/>
      <c r="L49" s="31"/>
      <c r="Q49" s="31"/>
      <c r="R49" s="31"/>
      <c r="X49" s="31"/>
    </row>
    <row r="50" spans="1:24" ht="12.9" customHeight="1" x14ac:dyDescent="0.3">
      <c r="A50" s="17" t="s">
        <v>10</v>
      </c>
      <c r="B50" s="18">
        <v>622662</v>
      </c>
      <c r="C50" s="32">
        <v>6.6</v>
      </c>
      <c r="D50" s="20"/>
      <c r="E50" s="18">
        <v>404568391</v>
      </c>
      <c r="F50" s="21">
        <f t="shared" si="2"/>
        <v>649.73997289058912</v>
      </c>
      <c r="G50" s="21">
        <f t="shared" si="3"/>
        <v>98.445450437968049</v>
      </c>
      <c r="L50" s="31"/>
      <c r="R50" s="31"/>
      <c r="X50" s="31"/>
    </row>
    <row r="51" spans="1:24" ht="12.9" customHeight="1" x14ac:dyDescent="0.3">
      <c r="A51" s="17" t="s">
        <v>11</v>
      </c>
      <c r="B51" s="18">
        <v>89984</v>
      </c>
      <c r="C51" s="32">
        <v>8.5</v>
      </c>
      <c r="D51" s="20"/>
      <c r="E51" s="18">
        <v>35403001</v>
      </c>
      <c r="F51" s="21">
        <f t="shared" si="2"/>
        <v>393.43662206614511</v>
      </c>
      <c r="G51" s="21">
        <f t="shared" si="3"/>
        <v>46.286661419546483</v>
      </c>
      <c r="J51" s="31"/>
      <c r="K51" s="31"/>
      <c r="L51" s="31"/>
      <c r="Q51" s="31"/>
      <c r="R51" s="31"/>
      <c r="X51" s="31"/>
    </row>
    <row r="52" spans="1:24" ht="12.9" customHeight="1" x14ac:dyDescent="0.3">
      <c r="A52" s="17" t="s">
        <v>12</v>
      </c>
      <c r="B52" s="18">
        <v>85317</v>
      </c>
      <c r="C52" s="19">
        <v>9.4</v>
      </c>
      <c r="D52" s="20"/>
      <c r="E52" s="18">
        <v>72488308</v>
      </c>
      <c r="F52" s="21">
        <f t="shared" si="2"/>
        <v>849.63498482131342</v>
      </c>
      <c r="G52" s="21">
        <f t="shared" si="3"/>
        <v>90.386700512905676</v>
      </c>
      <c r="L52" s="31"/>
      <c r="R52" s="31"/>
      <c r="X52" s="31"/>
    </row>
    <row r="53" spans="1:24" ht="12.9" customHeight="1" x14ac:dyDescent="0.3">
      <c r="A53" s="17" t="s">
        <v>13</v>
      </c>
      <c r="B53" s="18">
        <v>80797</v>
      </c>
      <c r="C53" s="19">
        <v>9.8000000000000007</v>
      </c>
      <c r="D53" s="20"/>
      <c r="E53" s="18">
        <v>45621558</v>
      </c>
      <c r="F53" s="21">
        <f t="shared" si="2"/>
        <v>564.64420708689681</v>
      </c>
      <c r="G53" s="21">
        <f t="shared" si="3"/>
        <v>57.61675582519355</v>
      </c>
      <c r="J53" s="31"/>
      <c r="K53" s="31"/>
      <c r="L53" s="31"/>
      <c r="Q53" s="31"/>
      <c r="R53" s="31"/>
      <c r="X53" s="31"/>
    </row>
    <row r="54" spans="1:24" ht="12.9" customHeight="1" x14ac:dyDescent="0.3">
      <c r="A54" s="17" t="s">
        <v>14</v>
      </c>
      <c r="B54" s="18">
        <v>501246</v>
      </c>
      <c r="C54" s="19">
        <v>4</v>
      </c>
      <c r="D54" s="20"/>
      <c r="E54" s="18">
        <v>103781918</v>
      </c>
      <c r="F54" s="21">
        <f t="shared" si="2"/>
        <v>207.04787270122853</v>
      </c>
      <c r="G54" s="21">
        <f t="shared" si="3"/>
        <v>51.761968175307132</v>
      </c>
      <c r="L54" s="31"/>
      <c r="R54" s="31"/>
      <c r="X54" s="31"/>
    </row>
    <row r="55" spans="1:24" ht="12.9" customHeight="1" x14ac:dyDescent="0.3">
      <c r="A55" s="17" t="s">
        <v>15</v>
      </c>
      <c r="B55" s="18">
        <v>29486</v>
      </c>
      <c r="C55" s="19">
        <v>1</v>
      </c>
      <c r="D55" s="20"/>
      <c r="E55" s="18">
        <v>2229689</v>
      </c>
      <c r="F55" s="21">
        <f t="shared" si="2"/>
        <v>75.618564742589697</v>
      </c>
      <c r="G55" s="21">
        <f t="shared" si="3"/>
        <v>75.618564742589697</v>
      </c>
      <c r="J55" s="31"/>
      <c r="K55" s="31"/>
      <c r="L55" s="31"/>
      <c r="Q55" s="31"/>
      <c r="R55" s="31"/>
      <c r="X55" s="31"/>
    </row>
    <row r="56" spans="1:24" ht="12.9" customHeight="1" x14ac:dyDescent="0.3">
      <c r="A56" s="17" t="s">
        <v>16</v>
      </c>
      <c r="B56" s="18">
        <v>208965</v>
      </c>
      <c r="C56" s="19">
        <v>6.1</v>
      </c>
      <c r="D56" s="20"/>
      <c r="E56" s="18">
        <v>52235386</v>
      </c>
      <c r="F56" s="21">
        <f t="shared" si="2"/>
        <v>249.97193788433469</v>
      </c>
      <c r="G56" s="21">
        <f t="shared" si="3"/>
        <v>40.979006210546672</v>
      </c>
      <c r="L56" s="31"/>
      <c r="R56" s="31"/>
      <c r="X56" s="31"/>
    </row>
    <row r="57" spans="1:24" ht="12.9" customHeight="1" x14ac:dyDescent="0.3">
      <c r="L57" s="31"/>
      <c r="R57" s="31"/>
      <c r="X57" s="31"/>
    </row>
    <row r="58" spans="1:24" ht="12.9" customHeight="1" x14ac:dyDescent="0.3">
      <c r="A58" s="7">
        <v>2023</v>
      </c>
      <c r="J58" s="31"/>
      <c r="K58" s="31"/>
      <c r="L58" s="31"/>
      <c r="Q58" s="31"/>
      <c r="R58" s="31"/>
      <c r="X58" s="31"/>
    </row>
    <row r="59" spans="1:24" ht="12.9" customHeight="1" x14ac:dyDescent="0.3">
      <c r="A59" s="7" t="s">
        <v>7</v>
      </c>
      <c r="B59" s="9">
        <f>SUM(B61:B69)</f>
        <v>3835042</v>
      </c>
      <c r="C59" s="10">
        <v>5.6</v>
      </c>
      <c r="D59" s="11"/>
      <c r="E59" s="9">
        <f>SUM(E61:E69)</f>
        <v>1776503735</v>
      </c>
      <c r="F59" s="12">
        <f>+E59/B59</f>
        <v>463.22927754115864</v>
      </c>
      <c r="G59" s="12">
        <f>+F59/C59</f>
        <v>82.719513846635479</v>
      </c>
    </row>
    <row r="60" spans="1:24" ht="12.9" customHeight="1" x14ac:dyDescent="0.3">
      <c r="A60" s="7"/>
      <c r="B60" s="13"/>
      <c r="C60" s="13"/>
      <c r="D60" s="14"/>
      <c r="E60" s="13"/>
      <c r="F60" s="13"/>
      <c r="G60" s="13"/>
    </row>
    <row r="61" spans="1:24" ht="12.9" customHeight="1" x14ac:dyDescent="0.3">
      <c r="A61" s="17" t="s">
        <v>8</v>
      </c>
      <c r="B61" s="18">
        <v>691490</v>
      </c>
      <c r="C61" s="19">
        <v>8.5</v>
      </c>
      <c r="D61" s="18"/>
      <c r="E61" s="18">
        <v>689376525</v>
      </c>
      <c r="F61" s="21">
        <f t="shared" ref="F61:F69" si="4">+E61/B61</f>
        <v>996.94359282129892</v>
      </c>
      <c r="G61" s="21">
        <f t="shared" ref="G61:G69" si="5">+F61/C61</f>
        <v>117.28748150838811</v>
      </c>
      <c r="H61" s="54"/>
    </row>
    <row r="62" spans="1:24" ht="12.9" customHeight="1" x14ac:dyDescent="0.3">
      <c r="A62" s="17" t="s">
        <v>9</v>
      </c>
      <c r="B62" s="18">
        <v>552156</v>
      </c>
      <c r="C62" s="19">
        <v>2.2000000000000002</v>
      </c>
      <c r="D62" s="18"/>
      <c r="E62" s="18">
        <v>102193453</v>
      </c>
      <c r="F62" s="21">
        <f t="shared" si="4"/>
        <v>185.08076159636045</v>
      </c>
      <c r="G62" s="21">
        <f t="shared" si="5"/>
        <v>84.127618907436556</v>
      </c>
    </row>
    <row r="63" spans="1:24" ht="12.9" customHeight="1" x14ac:dyDescent="0.3">
      <c r="A63" s="17" t="s">
        <v>10</v>
      </c>
      <c r="B63" s="18">
        <v>1044816</v>
      </c>
      <c r="C63" s="19">
        <v>6.1</v>
      </c>
      <c r="D63" s="18"/>
      <c r="E63" s="18">
        <v>537807109</v>
      </c>
      <c r="F63" s="21">
        <f t="shared" si="4"/>
        <v>514.73858459288522</v>
      </c>
      <c r="G63" s="21">
        <f t="shared" si="5"/>
        <v>84.383374523423811</v>
      </c>
    </row>
    <row r="64" spans="1:24" ht="12.9" customHeight="1" x14ac:dyDescent="0.3">
      <c r="A64" s="17" t="s">
        <v>11</v>
      </c>
      <c r="B64" s="18">
        <v>164861</v>
      </c>
      <c r="C64" s="19">
        <v>8.1999999999999993</v>
      </c>
      <c r="D64" s="18"/>
      <c r="E64" s="18">
        <v>63901635</v>
      </c>
      <c r="F64" s="21">
        <f t="shared" si="4"/>
        <v>387.60916772311219</v>
      </c>
      <c r="G64" s="21">
        <f t="shared" si="5"/>
        <v>47.269410697940515</v>
      </c>
    </row>
    <row r="65" spans="1:7" ht="12.9" customHeight="1" x14ac:dyDescent="0.3">
      <c r="A65" s="17" t="s">
        <v>12</v>
      </c>
      <c r="B65" s="18">
        <v>149523</v>
      </c>
      <c r="C65" s="19">
        <v>9.6</v>
      </c>
      <c r="D65" s="18"/>
      <c r="E65" s="18">
        <v>122096623</v>
      </c>
      <c r="F65" s="21">
        <f t="shared" si="4"/>
        <v>816.57419259913195</v>
      </c>
      <c r="G65" s="21">
        <f t="shared" si="5"/>
        <v>85.059811729076245</v>
      </c>
    </row>
    <row r="66" spans="1:7" ht="12.9" customHeight="1" x14ac:dyDescent="0.3">
      <c r="A66" s="17" t="s">
        <v>13</v>
      </c>
      <c r="B66" s="18">
        <v>129385</v>
      </c>
      <c r="C66" s="19">
        <v>9.8000000000000007</v>
      </c>
      <c r="D66" s="18"/>
      <c r="E66" s="18">
        <v>76343702</v>
      </c>
      <c r="F66" s="21">
        <f t="shared" si="4"/>
        <v>590.05063956409163</v>
      </c>
      <c r="G66" s="21">
        <f t="shared" si="5"/>
        <v>60.209248935111383</v>
      </c>
    </row>
    <row r="67" spans="1:7" ht="12.9" customHeight="1" x14ac:dyDescent="0.3">
      <c r="A67" s="17" t="s">
        <v>14</v>
      </c>
      <c r="B67" s="18">
        <v>577729</v>
      </c>
      <c r="C67" s="19">
        <v>3.6</v>
      </c>
      <c r="D67" s="18"/>
      <c r="E67" s="18">
        <v>88022886</v>
      </c>
      <c r="F67" s="21">
        <f t="shared" si="4"/>
        <v>152.36016540627179</v>
      </c>
      <c r="G67" s="21">
        <f t="shared" si="5"/>
        <v>42.322268168408833</v>
      </c>
    </row>
    <row r="68" spans="1:7" ht="12.9" customHeight="1" x14ac:dyDescent="0.3">
      <c r="A68" s="17" t="s">
        <v>15</v>
      </c>
      <c r="B68" s="18">
        <v>175714</v>
      </c>
      <c r="C68" s="19">
        <v>0.9</v>
      </c>
      <c r="D68" s="18"/>
      <c r="E68" s="18">
        <v>8626758</v>
      </c>
      <c r="F68" s="21">
        <f t="shared" si="4"/>
        <v>49.095450561708233</v>
      </c>
      <c r="G68" s="21">
        <f t="shared" si="5"/>
        <v>54.550500624120261</v>
      </c>
    </row>
    <row r="69" spans="1:7" ht="12.9" customHeight="1" x14ac:dyDescent="0.3">
      <c r="A69" s="17" t="s">
        <v>16</v>
      </c>
      <c r="B69" s="18">
        <v>349368</v>
      </c>
      <c r="C69" s="19">
        <v>5.4</v>
      </c>
      <c r="D69" s="18"/>
      <c r="E69" s="18">
        <v>88135044</v>
      </c>
      <c r="F69" s="21">
        <f t="shared" si="4"/>
        <v>252.26993886102906</v>
      </c>
      <c r="G69" s="21">
        <f t="shared" si="5"/>
        <v>46.716655344635008</v>
      </c>
    </row>
    <row r="70" spans="1:7" ht="12.9" customHeight="1" x14ac:dyDescent="0.3"/>
    <row r="71" spans="1:7" ht="12.9" customHeight="1" x14ac:dyDescent="0.3">
      <c r="A71" s="35">
        <v>2024</v>
      </c>
    </row>
    <row r="72" spans="1:7" ht="12.9" customHeight="1" x14ac:dyDescent="0.3">
      <c r="A72" s="36"/>
    </row>
    <row r="73" spans="1:7" ht="12.9" customHeight="1" x14ac:dyDescent="0.3">
      <c r="A73" s="35" t="s">
        <v>7</v>
      </c>
      <c r="B73" s="9">
        <f>SUM(B75:B83)</f>
        <v>3341829.1876888457</v>
      </c>
      <c r="C73" s="10">
        <v>5.6</v>
      </c>
      <c r="D73" s="11"/>
      <c r="E73" s="9">
        <f>SUM(E75:E83)</f>
        <v>1750290148.3330579</v>
      </c>
      <c r="F73" s="12">
        <f>+E73/B73</f>
        <v>523.75212796065432</v>
      </c>
      <c r="G73" s="12">
        <f>+F73/C73</f>
        <v>93.527165707259712</v>
      </c>
    </row>
    <row r="74" spans="1:7" ht="12.9" customHeight="1" x14ac:dyDescent="0.3">
      <c r="A74" s="35"/>
      <c r="B74" s="13"/>
      <c r="C74" s="13"/>
      <c r="D74" s="14"/>
      <c r="E74" s="13"/>
      <c r="F74" s="13"/>
      <c r="G74" s="13"/>
    </row>
    <row r="75" spans="1:7" ht="12.9" customHeight="1" x14ac:dyDescent="0.3">
      <c r="A75" s="17" t="s">
        <v>8</v>
      </c>
      <c r="B75" s="51">
        <v>647839.45644271001</v>
      </c>
      <c r="C75" s="52">
        <v>9.0514816565439293</v>
      </c>
      <c r="D75" s="50"/>
      <c r="E75" s="51">
        <v>711135291.125893</v>
      </c>
      <c r="F75" s="52">
        <v>1097.7029633711099</v>
      </c>
      <c r="G75" s="52">
        <v>121.273290387492</v>
      </c>
    </row>
    <row r="76" spans="1:7" ht="12.9" customHeight="1" x14ac:dyDescent="0.3">
      <c r="A76" s="17" t="s">
        <v>9</v>
      </c>
      <c r="B76" s="51">
        <v>397185.86522809701</v>
      </c>
      <c r="C76" s="52">
        <v>2.3845623376390002</v>
      </c>
      <c r="D76" s="50"/>
      <c r="E76" s="51">
        <v>75725204.229877397</v>
      </c>
      <c r="F76" s="52">
        <v>190.65432800935599</v>
      </c>
      <c r="G76" s="52">
        <v>79.953593579829402</v>
      </c>
    </row>
    <row r="77" spans="1:7" ht="12.9" customHeight="1" x14ac:dyDescent="0.3">
      <c r="A77" s="17" t="s">
        <v>10</v>
      </c>
      <c r="B77" s="51">
        <v>898297.20939108403</v>
      </c>
      <c r="C77" s="52">
        <v>6.10317565311757</v>
      </c>
      <c r="D77" s="50"/>
      <c r="E77" s="51">
        <v>508733037.96707499</v>
      </c>
      <c r="F77" s="52">
        <v>566.33042232416994</v>
      </c>
      <c r="G77" s="52">
        <v>92.7927450416542</v>
      </c>
    </row>
    <row r="78" spans="1:7" ht="12.9" customHeight="1" x14ac:dyDescent="0.3">
      <c r="A78" s="17" t="s">
        <v>11</v>
      </c>
      <c r="B78" s="51">
        <v>165180.78723471001</v>
      </c>
      <c r="C78" s="52">
        <v>8.0950807331613301</v>
      </c>
      <c r="D78" s="50"/>
      <c r="E78" s="51">
        <v>69311655.577352807</v>
      </c>
      <c r="F78" s="52">
        <v>419.61088052490101</v>
      </c>
      <c r="G78" s="52">
        <v>51.835292859523101</v>
      </c>
    </row>
    <row r="79" spans="1:7" ht="12.9" customHeight="1" x14ac:dyDescent="0.3">
      <c r="A79" s="17" t="s">
        <v>12</v>
      </c>
      <c r="B79" s="51">
        <v>145320.264219112</v>
      </c>
      <c r="C79" s="52">
        <v>9.3204580631078304</v>
      </c>
      <c r="D79" s="50"/>
      <c r="E79" s="51">
        <v>128248051.58209901</v>
      </c>
      <c r="F79" s="52">
        <v>882.52008259996103</v>
      </c>
      <c r="G79" s="52">
        <v>94.686342304692701</v>
      </c>
    </row>
    <row r="80" spans="1:7" ht="12.9" customHeight="1" x14ac:dyDescent="0.3">
      <c r="A80" s="17" t="s">
        <v>13</v>
      </c>
      <c r="B80" s="51">
        <v>109252.53346774</v>
      </c>
      <c r="C80" s="52">
        <v>8.3156533324759891</v>
      </c>
      <c r="D80" s="50"/>
      <c r="E80" s="51">
        <v>61775306.5371795</v>
      </c>
      <c r="F80" s="52">
        <v>565.435917835449</v>
      </c>
      <c r="G80" s="52">
        <v>67.996571673712396</v>
      </c>
    </row>
    <row r="81" spans="1:7" ht="12.9" customHeight="1" x14ac:dyDescent="0.3">
      <c r="A81" s="17" t="s">
        <v>14</v>
      </c>
      <c r="B81" s="51">
        <v>521129.24144348502</v>
      </c>
      <c r="C81" s="52">
        <v>4.0596020879876198</v>
      </c>
      <c r="D81" s="50"/>
      <c r="E81" s="51">
        <v>101289770.80173901</v>
      </c>
      <c r="F81" s="52">
        <v>194.365932184451</v>
      </c>
      <c r="G81" s="52">
        <v>47.878074740275601</v>
      </c>
    </row>
    <row r="82" spans="1:7" ht="12.9" customHeight="1" x14ac:dyDescent="0.3">
      <c r="A82" s="17" t="s">
        <v>15</v>
      </c>
      <c r="B82" s="51">
        <v>174573.51438032</v>
      </c>
      <c r="C82" s="52">
        <v>0.81982260560549103</v>
      </c>
      <c r="D82" s="50"/>
      <c r="E82" s="51">
        <v>7854339.5577463098</v>
      </c>
      <c r="F82" s="52">
        <v>44.991587559124902</v>
      </c>
      <c r="G82" s="52">
        <v>54.879662077500001</v>
      </c>
    </row>
    <row r="83" spans="1:7" ht="12.9" customHeight="1" x14ac:dyDescent="0.3">
      <c r="A83" s="17" t="s">
        <v>16</v>
      </c>
      <c r="B83" s="51">
        <v>283050.31588158797</v>
      </c>
      <c r="C83" s="52">
        <v>5.8827039201832099</v>
      </c>
      <c r="D83" s="50"/>
      <c r="E83" s="51">
        <v>86217490.954095796</v>
      </c>
      <c r="F83" s="52">
        <v>304.60128859267701</v>
      </c>
      <c r="G83" s="52">
        <v>51.779129584884899</v>
      </c>
    </row>
    <row r="84" spans="1:7" ht="12.9" customHeight="1" x14ac:dyDescent="0.3">
      <c r="A84" s="17"/>
      <c r="B84" s="18"/>
      <c r="C84" s="19"/>
      <c r="D84" s="18"/>
      <c r="E84" s="18"/>
      <c r="F84" s="21"/>
      <c r="G84" s="21"/>
    </row>
    <row r="85" spans="1:7" ht="12.9" customHeight="1" x14ac:dyDescent="0.3">
      <c r="A85" s="27" t="s">
        <v>17</v>
      </c>
      <c r="B85" s="33"/>
      <c r="C85" s="27"/>
      <c r="D85" s="27"/>
    </row>
    <row r="86" spans="1:7" ht="12.9" customHeight="1" x14ac:dyDescent="0.3">
      <c r="A86" s="34" t="s">
        <v>20</v>
      </c>
    </row>
    <row r="87" spans="1:7" ht="12.9" customHeight="1" x14ac:dyDescent="0.3">
      <c r="A87" s="34" t="s">
        <v>21</v>
      </c>
    </row>
    <row r="88" spans="1:7" ht="9.15" customHeight="1" x14ac:dyDescent="0.3"/>
    <row r="89" spans="1:7" ht="12.9" customHeight="1" x14ac:dyDescent="0.3"/>
    <row r="90" spans="1:7" ht="12.9" customHeight="1" x14ac:dyDescent="0.3"/>
    <row r="91" spans="1:7" ht="12.9" customHeight="1" x14ac:dyDescent="0.3"/>
    <row r="92" spans="1:7" ht="12.9" customHeight="1" x14ac:dyDescent="0.3"/>
    <row r="93" spans="1:7" ht="12.9" customHeight="1" x14ac:dyDescent="0.3"/>
    <row r="94" spans="1:7" ht="12.9" customHeight="1" x14ac:dyDescent="0.3"/>
    <row r="95" spans="1:7" ht="12.9" customHeight="1" x14ac:dyDescent="0.3"/>
    <row r="96" spans="1:7" ht="12.9" customHeight="1" x14ac:dyDescent="0.3"/>
    <row r="97" ht="12.9" customHeight="1" x14ac:dyDescent="0.3"/>
    <row r="98" ht="12.9" customHeight="1" x14ac:dyDescent="0.3"/>
    <row r="99" ht="12.9" customHeight="1" x14ac:dyDescent="0.3"/>
  </sheetData>
  <mergeCells count="4">
    <mergeCell ref="A3:A4"/>
    <mergeCell ref="B3:B4"/>
    <mergeCell ref="C3:C4"/>
    <mergeCell ref="E3:G3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4.8.3</vt:lpstr>
      <vt:lpstr>serie histórica</vt:lpstr>
      <vt:lpstr>'4.8.3'!Área_de_impresión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Difusion</dc:creator>
  <cp:lastModifiedBy>Stella Landeira</cp:lastModifiedBy>
  <cp:revision>13</cp:revision>
  <cp:lastPrinted>2024-05-06T18:12:38Z</cp:lastPrinted>
  <dcterms:created xsi:type="dcterms:W3CDTF">2017-05-16T14:18:16Z</dcterms:created>
  <dcterms:modified xsi:type="dcterms:W3CDTF">2025-08-28T17:56:24Z</dcterms:modified>
  <dc:language>es-ES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29e5492a-1918-4547-967d-53c1e9c0e2b7</vt:lpwstr>
  </property>
</Properties>
</file>