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3040" windowHeight="8616"/>
  </bookViews>
  <sheets>
    <sheet name="4.5.4" sheetId="1" r:id="rId1"/>
    <sheet name="Serie histórica" sheetId="2" r:id="rId2"/>
  </sheets>
  <definedNames>
    <definedName name="_xlnm.Print_Area" localSheetId="0">'4.5.4'!$A$1:$D$22</definedName>
  </definedNames>
  <calcPr calcId="145621"/>
</workbook>
</file>

<file path=xl/calcChain.xml><?xml version="1.0" encoding="utf-8"?>
<calcChain xmlns="http://schemas.openxmlformats.org/spreadsheetml/2006/main">
  <c r="B7" i="2" l="1"/>
  <c r="C7" i="2" l="1"/>
  <c r="D7" i="2"/>
  <c r="E7" i="2"/>
  <c r="F7" i="2"/>
  <c r="G7" i="2"/>
  <c r="H7" i="2"/>
  <c r="I7" i="2"/>
  <c r="C7" i="1"/>
  <c r="D7" i="1"/>
  <c r="B7" i="1"/>
  <c r="I18" i="2" l="1"/>
  <c r="I16" i="2"/>
  <c r="I14" i="2"/>
  <c r="I11" i="2"/>
  <c r="D18" i="1"/>
  <c r="D16" i="1"/>
  <c r="D14" i="1"/>
  <c r="D11" i="1"/>
  <c r="I5" i="2" l="1"/>
  <c r="C18" i="1"/>
  <c r="B18" i="1"/>
  <c r="C16" i="1"/>
  <c r="B16" i="1"/>
  <c r="C14" i="1"/>
  <c r="B14" i="1"/>
  <c r="C11" i="1"/>
  <c r="B11" i="1"/>
  <c r="C5" i="1"/>
  <c r="B5" i="1" l="1"/>
  <c r="H18" i="2"/>
  <c r="H16" i="2"/>
  <c r="H14" i="2"/>
  <c r="H11" i="2"/>
  <c r="H5" i="2" l="1"/>
  <c r="D18" i="2" l="1"/>
  <c r="C18" i="2"/>
  <c r="B18" i="2"/>
  <c r="D16" i="2"/>
  <c r="C16" i="2"/>
  <c r="B16" i="2"/>
  <c r="D14" i="2"/>
  <c r="C14" i="2"/>
  <c r="B14" i="2"/>
  <c r="D11" i="2"/>
  <c r="C11" i="2"/>
  <c r="B11" i="2"/>
  <c r="F18" i="2"/>
  <c r="E18" i="2"/>
  <c r="F16" i="2"/>
  <c r="E16" i="2"/>
  <c r="F14" i="2"/>
  <c r="F5" i="2" s="1"/>
  <c r="E14" i="2"/>
  <c r="F11" i="2"/>
  <c r="E11" i="2"/>
  <c r="B5" i="2" l="1"/>
  <c r="C5" i="2"/>
  <c r="E5" i="2"/>
  <c r="D5" i="2"/>
  <c r="G18" i="2"/>
  <c r="G16" i="2"/>
  <c r="G14" i="2"/>
  <c r="G11" i="2"/>
  <c r="G5" i="2" l="1"/>
  <c r="D5" i="1"/>
</calcChain>
</file>

<file path=xl/sharedStrings.xml><?xml version="1.0" encoding="utf-8"?>
<sst xmlns="http://schemas.openxmlformats.org/spreadsheetml/2006/main" count="35" uniqueCount="16">
  <si>
    <t>Total Fósil</t>
  </si>
  <si>
    <t>Total Biomasa</t>
  </si>
  <si>
    <t>Total Hidráulica</t>
  </si>
  <si>
    <t>Total Eólica</t>
  </si>
  <si>
    <t>Total Solar Fotovoltaica</t>
  </si>
  <si>
    <t>Total</t>
  </si>
  <si>
    <t>Fuente</t>
  </si>
  <si>
    <t xml:space="preserve">    Centrales Térmicas (Turbinas Ciclo Rankine - Vapor)</t>
  </si>
  <si>
    <t xml:space="preserve">    Centrales Térmicas (Turbinas Ciclo Brayton - Gas)</t>
  </si>
  <si>
    <t xml:space="preserve">    Centrales Térmicas (Motores)</t>
  </si>
  <si>
    <t xml:space="preserve">    Generadores Hidráulicos</t>
  </si>
  <si>
    <t xml:space="preserve">    Generadores Eólicos</t>
  </si>
  <si>
    <t xml:space="preserve">    Generadores Solares</t>
  </si>
  <si>
    <t>Fuente: Ministerio de Industria, Energía y Minería (MIEM) - Dirección Nacional de Energía (DNE).</t>
  </si>
  <si>
    <t>4.5.4 - Potencia instalada, por año, según fuente en MW  (megavatio)</t>
  </si>
  <si>
    <t>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</si>
</sst>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i/>
      <sz val="14"/>
      <name val="Roman"/>
      <family val="1"/>
      <charset val="255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Courier"/>
      <family val="3"/>
    </font>
    <font>
      <sz val="12"/>
      <name val="Courier"/>
      <family val="3"/>
    </font>
    <font>
      <b/>
      <sz val="12"/>
      <color theme="0"/>
      <name val="Arial"/>
      <family val="2"/>
    </font>
    <font>
      <sz val="9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D5494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0" fontId="1" fillId="0" borderId="0"/>
    <xf numFmtId="2" fontId="2" fillId="0" borderId="0" applyFill="0" applyBorder="0" applyAlignment="0" applyProtection="0"/>
    <xf numFmtId="0" fontId="3" fillId="0" borderId="0"/>
    <xf numFmtId="0" fontId="6" fillId="0" borderId="0" applyNumberFormat="0" applyFill="0" applyBorder="0" applyAlignment="0" applyProtection="0"/>
    <xf numFmtId="0" fontId="7" fillId="0" borderId="0"/>
    <xf numFmtId="0" fontId="6" fillId="0" borderId="0"/>
  </cellStyleXfs>
  <cellXfs count="12">
    <xf numFmtId="0" fontId="0" fillId="0" borderId="0" xfId="0"/>
    <xf numFmtId="164" fontId="5" fillId="2" borderId="0" xfId="1" applyNumberFormat="1" applyFont="1" applyFill="1" applyBorder="1" applyAlignment="1" applyProtection="1">
      <alignment vertical="center"/>
    </xf>
    <xf numFmtId="0" fontId="4" fillId="2" borderId="0" xfId="4" applyFont="1" applyFill="1" applyBorder="1"/>
    <xf numFmtId="164" fontId="5" fillId="2" borderId="0" xfId="1" applyNumberFormat="1" applyFont="1" applyFill="1" applyBorder="1" applyAlignment="1" applyProtection="1">
      <alignment horizontal="right" vertical="center"/>
    </xf>
    <xf numFmtId="164" fontId="4" fillId="2" borderId="0" xfId="1" applyNumberFormat="1" applyFont="1" applyFill="1" applyBorder="1" applyAlignment="1" applyProtection="1">
      <alignment vertical="center"/>
    </xf>
    <xf numFmtId="0" fontId="5" fillId="2" borderId="0" xfId="0" applyFont="1" applyFill="1"/>
    <xf numFmtId="0" fontId="0" fillId="2" borderId="0" xfId="0" applyFill="1"/>
    <xf numFmtId="0" fontId="8" fillId="3" borderId="0" xfId="5" applyFont="1" applyFill="1" applyBorder="1" applyAlignment="1" applyProtection="1">
      <alignment horizontal="left"/>
    </xf>
    <xf numFmtId="164" fontId="9" fillId="2" borderId="0" xfId="1" applyNumberFormat="1" applyFont="1" applyFill="1" applyBorder="1" applyAlignment="1" applyProtection="1">
      <alignment vertical="center"/>
    </xf>
    <xf numFmtId="165" fontId="5" fillId="2" borderId="0" xfId="0" applyNumberFormat="1" applyFont="1" applyFill="1"/>
    <xf numFmtId="0" fontId="8" fillId="3" borderId="0" xfId="5" applyFont="1" applyFill="1" applyBorder="1" applyAlignment="1" applyProtection="1">
      <alignment horizontal="left" wrapText="1"/>
    </xf>
    <xf numFmtId="0" fontId="4" fillId="2" borderId="0" xfId="4" applyFont="1" applyFill="1" applyBorder="1" applyAlignment="1">
      <alignment horizontal="left" wrapText="1"/>
    </xf>
  </cellXfs>
  <cellStyles count="7">
    <cellStyle name="=C:\WINNT\SYSTEM32\COMMAND.COM" xfId="4"/>
    <cellStyle name="Fijo" xfId="2"/>
    <cellStyle name="Normal" xfId="0" builtinId="0"/>
    <cellStyle name="Normal 12" xfId="6"/>
    <cellStyle name="Normal 2" xfId="3"/>
    <cellStyle name="Normal 3" xfId="1"/>
    <cellStyle name="Normal_Hoja3" xfId="5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showGridLines="0" tabSelected="1" zoomScaleNormal="100" workbookViewId="0">
      <selection sqref="A1:D1"/>
    </sheetView>
  </sheetViews>
  <sheetFormatPr baseColWidth="10" defaultColWidth="11.44140625" defaultRowHeight="14.4" x14ac:dyDescent="0.3"/>
  <cols>
    <col min="1" max="1" width="44.77734375" style="6" customWidth="1"/>
    <col min="2" max="4" width="9.88671875" style="6" customWidth="1"/>
    <col min="5" max="16384" width="11.44140625" style="6"/>
  </cols>
  <sheetData>
    <row r="1" spans="1:4" s="2" customFormat="1" ht="15" customHeight="1" x14ac:dyDescent="0.3">
      <c r="A1" s="10" t="s">
        <v>14</v>
      </c>
      <c r="B1" s="10"/>
      <c r="C1" s="10"/>
      <c r="D1" s="10"/>
    </row>
    <row r="2" spans="1:4" s="2" customFormat="1" ht="9.15" customHeight="1" x14ac:dyDescent="0.3">
      <c r="A2" s="7"/>
      <c r="B2" s="7"/>
      <c r="C2" s="7"/>
      <c r="D2" s="7"/>
    </row>
    <row r="3" spans="1:4" s="2" customFormat="1" ht="12.9" customHeight="1" x14ac:dyDescent="0.25">
      <c r="A3" s="2" t="s">
        <v>6</v>
      </c>
      <c r="B3" s="2">
        <v>2022</v>
      </c>
      <c r="C3" s="2">
        <v>2023</v>
      </c>
      <c r="D3" s="2">
        <v>2024</v>
      </c>
    </row>
    <row r="4" spans="1:4" s="2" customFormat="1" ht="9.15" customHeight="1" x14ac:dyDescent="0.25"/>
    <row r="5" spans="1:4" s="5" customFormat="1" ht="12.9" customHeight="1" x14ac:dyDescent="0.25">
      <c r="A5" s="2" t="s">
        <v>5</v>
      </c>
      <c r="B5" s="4">
        <f>SUM(B7,B11,B14,B16,B18)</f>
        <v>4928.7099000000007</v>
      </c>
      <c r="C5" s="4">
        <f>SUM(C7,C11,C14,C16,C18)</f>
        <v>5262.9800000000005</v>
      </c>
      <c r="D5" s="4">
        <f>SUM(D7,D11,D14,D16,D18)</f>
        <v>5298.54</v>
      </c>
    </row>
    <row r="6" spans="1:4" s="5" customFormat="1" ht="9.15" customHeight="1" x14ac:dyDescent="0.25">
      <c r="A6" s="2"/>
    </row>
    <row r="7" spans="1:4" s="5" customFormat="1" ht="12.9" customHeight="1" x14ac:dyDescent="0.25">
      <c r="A7" s="2" t="s">
        <v>0</v>
      </c>
      <c r="B7" s="1">
        <f>B10+B8+B9</f>
        <v>1176.7</v>
      </c>
      <c r="C7" s="1">
        <f t="shared" ref="C7:D7" si="0">C10+C8+C9</f>
        <v>1176.7</v>
      </c>
      <c r="D7" s="1">
        <f t="shared" si="0"/>
        <v>1176.7</v>
      </c>
    </row>
    <row r="8" spans="1:4" s="5" customFormat="1" ht="12.9" customHeight="1" x14ac:dyDescent="0.25">
      <c r="A8" s="2" t="s">
        <v>8</v>
      </c>
      <c r="B8" s="1">
        <v>925.7</v>
      </c>
      <c r="C8" s="1">
        <v>925.7</v>
      </c>
      <c r="D8" s="1">
        <v>925.7</v>
      </c>
    </row>
    <row r="9" spans="1:4" s="5" customFormat="1" ht="12.9" customHeight="1" x14ac:dyDescent="0.25">
      <c r="A9" s="2" t="s">
        <v>7</v>
      </c>
      <c r="B9" s="1">
        <v>180</v>
      </c>
      <c r="C9" s="1">
        <v>180</v>
      </c>
      <c r="D9" s="1">
        <v>180</v>
      </c>
    </row>
    <row r="10" spans="1:4" s="5" customFormat="1" ht="12.9" customHeight="1" x14ac:dyDescent="0.25">
      <c r="A10" s="2" t="s">
        <v>9</v>
      </c>
      <c r="B10" s="9">
        <v>71</v>
      </c>
      <c r="C10" s="9">
        <v>71</v>
      </c>
      <c r="D10" s="9">
        <v>71</v>
      </c>
    </row>
    <row r="11" spans="1:4" s="5" customFormat="1" ht="12.9" customHeight="1" x14ac:dyDescent="0.25">
      <c r="A11" s="2" t="s">
        <v>1</v>
      </c>
      <c r="B11" s="1">
        <f>B12+B13</f>
        <v>417.22</v>
      </c>
      <c r="C11" s="1">
        <f>C12+C13</f>
        <v>731.2</v>
      </c>
      <c r="D11" s="1">
        <f>D12+D13</f>
        <v>731.2</v>
      </c>
    </row>
    <row r="12" spans="1:4" s="5" customFormat="1" ht="12.9" customHeight="1" x14ac:dyDescent="0.25">
      <c r="A12" s="2" t="s">
        <v>7</v>
      </c>
      <c r="B12" s="5">
        <v>414.6</v>
      </c>
      <c r="C12" s="5">
        <v>728.6</v>
      </c>
      <c r="D12" s="5">
        <v>728.6</v>
      </c>
    </row>
    <row r="13" spans="1:4" s="5" customFormat="1" ht="12.9" customHeight="1" x14ac:dyDescent="0.25">
      <c r="A13" s="2" t="s">
        <v>9</v>
      </c>
      <c r="B13" s="9">
        <v>2.62</v>
      </c>
      <c r="C13" s="9">
        <v>2.6</v>
      </c>
      <c r="D13" s="9">
        <v>2.6</v>
      </c>
    </row>
    <row r="14" spans="1:4" s="5" customFormat="1" ht="12.9" customHeight="1" x14ac:dyDescent="0.25">
      <c r="A14" s="2" t="s">
        <v>2</v>
      </c>
      <c r="B14" s="1">
        <f>B15</f>
        <v>1538</v>
      </c>
      <c r="C14" s="1">
        <f>C15</f>
        <v>1538</v>
      </c>
      <c r="D14" s="1">
        <f>D15</f>
        <v>1538</v>
      </c>
    </row>
    <row r="15" spans="1:4" s="5" customFormat="1" ht="12.9" customHeight="1" x14ac:dyDescent="0.25">
      <c r="A15" s="2" t="s">
        <v>10</v>
      </c>
      <c r="B15" s="1">
        <v>1538</v>
      </c>
      <c r="C15" s="1">
        <v>1538</v>
      </c>
      <c r="D15" s="1">
        <v>1538</v>
      </c>
    </row>
    <row r="16" spans="1:4" s="5" customFormat="1" ht="12.9" customHeight="1" x14ac:dyDescent="0.25">
      <c r="A16" s="2" t="s">
        <v>3</v>
      </c>
      <c r="B16" s="1">
        <f>B17</f>
        <v>1516.4899</v>
      </c>
      <c r="C16" s="1">
        <f>C17</f>
        <v>1516.48</v>
      </c>
      <c r="D16" s="1">
        <f>D17</f>
        <v>1516.48</v>
      </c>
    </row>
    <row r="17" spans="1:4" s="5" customFormat="1" ht="12.9" customHeight="1" x14ac:dyDescent="0.25">
      <c r="A17" s="2" t="s">
        <v>11</v>
      </c>
      <c r="B17" s="9">
        <v>1516.4899</v>
      </c>
      <c r="C17" s="9">
        <v>1516.48</v>
      </c>
      <c r="D17" s="9">
        <v>1516.48</v>
      </c>
    </row>
    <row r="18" spans="1:4" s="5" customFormat="1" ht="12.9" customHeight="1" x14ac:dyDescent="0.25">
      <c r="A18" s="2" t="s">
        <v>4</v>
      </c>
      <c r="B18" s="1">
        <f>+B19</f>
        <v>280.3</v>
      </c>
      <c r="C18" s="1">
        <f>+C19</f>
        <v>300.60000000000002</v>
      </c>
      <c r="D18" s="1">
        <f>+D19</f>
        <v>336.16</v>
      </c>
    </row>
    <row r="19" spans="1:4" s="5" customFormat="1" ht="12.9" customHeight="1" x14ac:dyDescent="0.25">
      <c r="A19" s="2" t="s">
        <v>12</v>
      </c>
      <c r="B19" s="9">
        <v>280.3</v>
      </c>
      <c r="C19" s="9">
        <v>300.60000000000002</v>
      </c>
      <c r="D19" s="9">
        <v>336.16</v>
      </c>
    </row>
    <row r="20" spans="1:4" s="5" customFormat="1" ht="9.15" customHeight="1" x14ac:dyDescent="0.25">
      <c r="A20" s="2"/>
      <c r="B20" s="1"/>
      <c r="C20" s="1"/>
      <c r="D20" s="1"/>
    </row>
    <row r="21" spans="1:4" s="2" customFormat="1" ht="12.9" customHeight="1" x14ac:dyDescent="0.25">
      <c r="A21" s="11" t="s">
        <v>13</v>
      </c>
      <c r="B21" s="11"/>
      <c r="C21" s="11"/>
      <c r="D21" s="11"/>
    </row>
    <row r="22" spans="1:4" s="2" customFormat="1" ht="9.15" customHeight="1" x14ac:dyDescent="0.25"/>
  </sheetData>
  <mergeCells count="2">
    <mergeCell ref="A1:D1"/>
    <mergeCell ref="A21:D21"/>
  </mergeCells>
  <pageMargins left="0.70866141732283472" right="0.51181102362204722" top="0.55118110236220474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D36"/>
  <sheetViews>
    <sheetView workbookViewId="0">
      <selection activeCell="I3" sqref="I3"/>
    </sheetView>
  </sheetViews>
  <sheetFormatPr baseColWidth="10" defaultColWidth="11.44140625" defaultRowHeight="14.4" x14ac:dyDescent="0.3"/>
  <cols>
    <col min="1" max="1" width="42.6640625" style="6" customWidth="1"/>
    <col min="2" max="9" width="10" style="6" customWidth="1"/>
    <col min="10" max="16384" width="11.44140625" style="6"/>
  </cols>
  <sheetData>
    <row r="1" spans="1:498" s="2" customFormat="1" ht="15" customHeight="1" x14ac:dyDescent="0.3">
      <c r="A1" s="7" t="s">
        <v>14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/>
      <c r="GU1" s="7"/>
      <c r="GV1" s="7"/>
      <c r="GW1" s="7"/>
      <c r="GX1" s="7"/>
      <c r="GY1" s="7"/>
      <c r="GZ1" s="7"/>
      <c r="HA1" s="7"/>
      <c r="HB1" s="7"/>
      <c r="HC1" s="7"/>
      <c r="HD1" s="7"/>
      <c r="HE1" s="7"/>
      <c r="HF1" s="7"/>
      <c r="HG1" s="7"/>
      <c r="HH1" s="7"/>
      <c r="HI1" s="7"/>
      <c r="HJ1" s="7"/>
      <c r="HK1" s="7"/>
      <c r="HL1" s="7"/>
      <c r="HM1" s="7"/>
      <c r="HN1" s="7"/>
      <c r="HO1" s="7"/>
      <c r="HP1" s="7"/>
      <c r="HQ1" s="7"/>
      <c r="HR1" s="7"/>
      <c r="HS1" s="7"/>
      <c r="HT1" s="7"/>
      <c r="HU1" s="7"/>
      <c r="HV1" s="7"/>
      <c r="HW1" s="7"/>
      <c r="HX1" s="7"/>
      <c r="HY1" s="7"/>
      <c r="HZ1" s="7"/>
      <c r="IA1" s="7"/>
      <c r="IB1" s="7"/>
      <c r="IC1" s="7"/>
      <c r="ID1" s="7"/>
      <c r="IE1" s="7"/>
      <c r="IF1" s="7"/>
      <c r="IG1" s="7"/>
      <c r="IH1" s="7"/>
      <c r="II1" s="7"/>
      <c r="IJ1" s="7"/>
      <c r="IK1" s="7"/>
      <c r="IL1" s="7"/>
      <c r="IM1" s="7"/>
      <c r="IN1" s="7"/>
      <c r="IO1" s="7"/>
      <c r="IP1" s="7"/>
      <c r="IQ1" s="7"/>
      <c r="IR1" s="7"/>
      <c r="IS1" s="7"/>
      <c r="IT1" s="7"/>
      <c r="IU1" s="7"/>
      <c r="IV1" s="7"/>
      <c r="IW1" s="7"/>
      <c r="IX1" s="7"/>
      <c r="IY1" s="7"/>
      <c r="IZ1" s="7"/>
      <c r="JA1" s="7"/>
      <c r="JB1" s="7"/>
      <c r="JC1" s="7"/>
      <c r="JD1" s="7"/>
      <c r="JE1" s="7"/>
      <c r="JF1" s="7"/>
      <c r="JG1" s="7"/>
      <c r="JH1" s="7"/>
      <c r="JI1" s="7"/>
      <c r="JJ1" s="7"/>
      <c r="JK1" s="7"/>
      <c r="JL1" s="7"/>
      <c r="JM1" s="7"/>
      <c r="JN1" s="7"/>
      <c r="JO1" s="7"/>
      <c r="JP1" s="7"/>
      <c r="JQ1" s="7"/>
      <c r="JR1" s="7"/>
      <c r="JS1" s="7"/>
      <c r="JT1" s="7"/>
      <c r="JU1" s="7"/>
      <c r="JV1" s="7"/>
      <c r="JW1" s="7"/>
      <c r="JX1" s="7"/>
      <c r="JY1" s="7"/>
      <c r="JZ1" s="7"/>
      <c r="KA1" s="7"/>
      <c r="KB1" s="7"/>
      <c r="KC1" s="7"/>
      <c r="KD1" s="7"/>
      <c r="KE1" s="7"/>
      <c r="KF1" s="7"/>
      <c r="KG1" s="7"/>
      <c r="KH1" s="7"/>
      <c r="KI1" s="7"/>
      <c r="KJ1" s="7"/>
      <c r="KK1" s="7"/>
      <c r="KL1" s="7"/>
      <c r="KM1" s="7"/>
      <c r="KN1" s="7"/>
      <c r="KO1" s="7"/>
      <c r="KP1" s="7"/>
      <c r="KQ1" s="7"/>
      <c r="KR1" s="7"/>
      <c r="KS1" s="7"/>
      <c r="KT1" s="7"/>
      <c r="KU1" s="7"/>
      <c r="KV1" s="7"/>
      <c r="KW1" s="7"/>
      <c r="KX1" s="7"/>
      <c r="KY1" s="7"/>
      <c r="KZ1" s="7"/>
      <c r="LA1" s="7"/>
      <c r="LB1" s="7"/>
      <c r="LC1" s="7"/>
      <c r="LD1" s="7"/>
      <c r="LE1" s="7"/>
      <c r="LF1" s="7"/>
      <c r="LG1" s="7"/>
      <c r="LH1" s="7"/>
      <c r="LI1" s="7"/>
      <c r="LJ1" s="7"/>
      <c r="LK1" s="7"/>
      <c r="LL1" s="7"/>
      <c r="LM1" s="7"/>
      <c r="LN1" s="7"/>
      <c r="LO1" s="7"/>
      <c r="LP1" s="7"/>
      <c r="LQ1" s="7"/>
      <c r="LR1" s="7"/>
      <c r="LS1" s="7"/>
      <c r="LT1" s="7"/>
      <c r="LU1" s="7"/>
      <c r="LV1" s="7"/>
      <c r="LW1" s="7"/>
      <c r="LX1" s="7"/>
      <c r="LY1" s="7"/>
      <c r="LZ1" s="7"/>
      <c r="MA1" s="7"/>
      <c r="MB1" s="7"/>
      <c r="MC1" s="7"/>
      <c r="MD1" s="7"/>
      <c r="ME1" s="7"/>
      <c r="MF1" s="7"/>
      <c r="MG1" s="7"/>
      <c r="MH1" s="7"/>
      <c r="MI1" s="7"/>
      <c r="MJ1" s="7"/>
      <c r="MK1" s="7"/>
      <c r="ML1" s="7"/>
      <c r="MM1" s="7"/>
      <c r="MN1" s="7"/>
      <c r="MO1" s="7"/>
      <c r="MP1" s="7"/>
      <c r="MQ1" s="7"/>
      <c r="MR1" s="7"/>
      <c r="MS1" s="7"/>
      <c r="MT1" s="7"/>
      <c r="MU1" s="7"/>
      <c r="MV1" s="7"/>
      <c r="MW1" s="7"/>
      <c r="MX1" s="7"/>
      <c r="MY1" s="7"/>
      <c r="MZ1" s="7"/>
      <c r="NA1" s="7"/>
      <c r="NB1" s="7"/>
      <c r="NC1" s="7"/>
      <c r="ND1" s="7"/>
      <c r="NE1" s="7"/>
      <c r="NF1" s="7"/>
      <c r="NG1" s="7"/>
      <c r="NH1" s="7"/>
      <c r="NI1" s="7"/>
      <c r="NJ1" s="7"/>
      <c r="NK1" s="7"/>
      <c r="NL1" s="7"/>
      <c r="NM1" s="7"/>
      <c r="NN1" s="7"/>
      <c r="NO1" s="7"/>
      <c r="NP1" s="7"/>
      <c r="NQ1" s="7"/>
      <c r="NR1" s="7"/>
      <c r="NS1" s="7"/>
      <c r="NT1" s="7"/>
      <c r="NU1" s="7"/>
      <c r="NV1" s="7"/>
      <c r="NW1" s="7"/>
      <c r="NX1" s="7"/>
      <c r="NY1" s="7"/>
      <c r="NZ1" s="7"/>
      <c r="OA1" s="7"/>
      <c r="OB1" s="7"/>
      <c r="OC1" s="7"/>
      <c r="OD1" s="7"/>
      <c r="OE1" s="7"/>
      <c r="OF1" s="7"/>
      <c r="OG1" s="7"/>
      <c r="OH1" s="7"/>
      <c r="OI1" s="7"/>
      <c r="OJ1" s="7"/>
      <c r="OK1" s="7"/>
      <c r="OL1" s="7"/>
      <c r="OM1" s="7"/>
      <c r="ON1" s="7"/>
      <c r="OO1" s="7"/>
      <c r="OP1" s="7"/>
      <c r="OQ1" s="7"/>
      <c r="OR1" s="7"/>
      <c r="OS1" s="7"/>
      <c r="OT1" s="7"/>
      <c r="OU1" s="7"/>
      <c r="OV1" s="7"/>
      <c r="OW1" s="7"/>
      <c r="OX1" s="7"/>
      <c r="OY1" s="7"/>
      <c r="OZ1" s="7"/>
      <c r="PA1" s="7"/>
      <c r="PB1" s="7"/>
      <c r="PC1" s="7"/>
      <c r="PD1" s="7"/>
      <c r="PE1" s="7"/>
      <c r="PF1" s="7"/>
      <c r="PG1" s="7"/>
      <c r="PH1" s="7"/>
      <c r="PI1" s="7"/>
      <c r="PJ1" s="7"/>
      <c r="PK1" s="7"/>
      <c r="PL1" s="7"/>
      <c r="PM1" s="7"/>
      <c r="PN1" s="7"/>
      <c r="PO1" s="7"/>
      <c r="PP1" s="7"/>
      <c r="PQ1" s="7"/>
      <c r="PR1" s="7"/>
      <c r="PS1" s="7"/>
      <c r="PT1" s="7"/>
      <c r="PU1" s="7"/>
      <c r="PV1" s="7"/>
      <c r="PW1" s="7"/>
      <c r="PX1" s="7"/>
      <c r="PY1" s="7"/>
      <c r="PZ1" s="7"/>
      <c r="QA1" s="7"/>
      <c r="QB1" s="7"/>
      <c r="QC1" s="7"/>
      <c r="QD1" s="7"/>
      <c r="QE1" s="7"/>
      <c r="QF1" s="7"/>
      <c r="QG1" s="7"/>
      <c r="QH1" s="7"/>
      <c r="QI1" s="7"/>
      <c r="QJ1" s="7"/>
      <c r="QK1" s="7"/>
      <c r="QL1" s="7"/>
      <c r="QM1" s="7"/>
      <c r="QN1" s="7"/>
      <c r="QO1" s="7"/>
      <c r="QP1" s="7"/>
      <c r="QQ1" s="7"/>
      <c r="QR1" s="7"/>
      <c r="QS1" s="7"/>
      <c r="QT1" s="7"/>
      <c r="QU1" s="7"/>
      <c r="QV1" s="7"/>
      <c r="QW1" s="7"/>
      <c r="QX1" s="7"/>
      <c r="QY1" s="7"/>
      <c r="QZ1" s="7"/>
      <c r="RA1" s="7"/>
      <c r="RB1" s="7"/>
      <c r="RC1" s="7"/>
      <c r="RD1" s="7"/>
      <c r="RE1" s="7"/>
      <c r="RF1" s="7"/>
      <c r="RG1" s="7"/>
      <c r="RH1" s="7"/>
      <c r="RI1" s="7"/>
      <c r="RJ1" s="7"/>
      <c r="RK1" s="7"/>
      <c r="RL1" s="7"/>
      <c r="RM1" s="7"/>
      <c r="RN1" s="7"/>
      <c r="RO1" s="7"/>
      <c r="RP1" s="7"/>
      <c r="RQ1" s="7"/>
      <c r="RR1" s="7"/>
      <c r="RS1" s="7"/>
      <c r="RT1" s="7"/>
      <c r="RU1" s="7"/>
      <c r="RV1" s="7"/>
      <c r="RW1" s="7"/>
      <c r="RX1" s="7"/>
      <c r="RY1" s="7"/>
      <c r="RZ1" s="7"/>
      <c r="SA1" s="7"/>
      <c r="SB1" s="7"/>
      <c r="SC1" s="7"/>
      <c r="SD1" s="7"/>
    </row>
    <row r="2" spans="1:498" s="2" customFormat="1" ht="9.15" customHeight="1" x14ac:dyDescent="0.3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  <c r="IC2" s="7"/>
      <c r="ID2" s="7"/>
      <c r="IE2" s="7"/>
      <c r="IF2" s="7"/>
      <c r="IG2" s="7"/>
      <c r="IH2" s="7"/>
      <c r="II2" s="7"/>
      <c r="IJ2" s="7"/>
      <c r="IK2" s="7"/>
      <c r="IL2" s="7"/>
      <c r="IM2" s="7"/>
      <c r="IN2" s="7"/>
      <c r="IO2" s="7"/>
      <c r="IP2" s="7"/>
      <c r="IQ2" s="7"/>
      <c r="IR2" s="7"/>
      <c r="IS2" s="7"/>
      <c r="IT2" s="7"/>
      <c r="IU2" s="7"/>
      <c r="IV2" s="7"/>
      <c r="IW2" s="7"/>
      <c r="IX2" s="7"/>
      <c r="IY2" s="7"/>
      <c r="IZ2" s="7"/>
      <c r="JA2" s="7"/>
      <c r="JB2" s="7"/>
      <c r="JC2" s="7"/>
      <c r="JD2" s="7"/>
      <c r="JE2" s="7"/>
      <c r="JF2" s="7"/>
      <c r="JG2" s="7"/>
      <c r="JH2" s="7"/>
      <c r="JI2" s="7"/>
      <c r="JJ2" s="7"/>
      <c r="JK2" s="7"/>
      <c r="JL2" s="7"/>
      <c r="JM2" s="7"/>
      <c r="JN2" s="7"/>
      <c r="JO2" s="7"/>
      <c r="JP2" s="7"/>
      <c r="JQ2" s="7"/>
      <c r="JR2" s="7"/>
      <c r="JS2" s="7"/>
      <c r="JT2" s="7"/>
      <c r="JU2" s="7"/>
      <c r="JV2" s="7"/>
      <c r="JW2" s="7"/>
      <c r="JX2" s="7"/>
      <c r="JY2" s="7"/>
      <c r="JZ2" s="7"/>
      <c r="KA2" s="7"/>
      <c r="KB2" s="7"/>
      <c r="KC2" s="7"/>
      <c r="KD2" s="7"/>
      <c r="KE2" s="7"/>
      <c r="KF2" s="7"/>
      <c r="KG2" s="7"/>
      <c r="KH2" s="7"/>
      <c r="KI2" s="7"/>
      <c r="KJ2" s="7"/>
      <c r="KK2" s="7"/>
      <c r="KL2" s="7"/>
      <c r="KM2" s="7"/>
      <c r="KN2" s="7"/>
      <c r="KO2" s="7"/>
      <c r="KP2" s="7"/>
      <c r="KQ2" s="7"/>
      <c r="KR2" s="7"/>
      <c r="KS2" s="7"/>
      <c r="KT2" s="7"/>
      <c r="KU2" s="7"/>
      <c r="KV2" s="7"/>
      <c r="KW2" s="7"/>
      <c r="KX2" s="7"/>
      <c r="KY2" s="7"/>
      <c r="KZ2" s="7"/>
      <c r="LA2" s="7"/>
      <c r="LB2" s="7"/>
      <c r="LC2" s="7"/>
      <c r="LD2" s="7"/>
      <c r="LE2" s="7"/>
      <c r="LF2" s="7"/>
      <c r="LG2" s="7"/>
      <c r="LH2" s="7"/>
      <c r="LI2" s="7"/>
      <c r="LJ2" s="7"/>
      <c r="LK2" s="7"/>
      <c r="LL2" s="7"/>
      <c r="LM2" s="7"/>
      <c r="LN2" s="7"/>
      <c r="LO2" s="7"/>
      <c r="LP2" s="7"/>
      <c r="LQ2" s="7"/>
      <c r="LR2" s="7"/>
      <c r="LS2" s="7"/>
      <c r="LT2" s="7"/>
      <c r="LU2" s="7"/>
      <c r="LV2" s="7"/>
      <c r="LW2" s="7"/>
      <c r="LX2" s="7"/>
      <c r="LY2" s="7"/>
      <c r="LZ2" s="7"/>
      <c r="MA2" s="7"/>
      <c r="MB2" s="7"/>
      <c r="MC2" s="7"/>
      <c r="MD2" s="7"/>
      <c r="ME2" s="7"/>
      <c r="MF2" s="7"/>
      <c r="MG2" s="7"/>
      <c r="MH2" s="7"/>
      <c r="MI2" s="7"/>
      <c r="MJ2" s="7"/>
      <c r="MK2" s="7"/>
      <c r="ML2" s="7"/>
      <c r="MM2" s="7"/>
      <c r="MN2" s="7"/>
      <c r="MO2" s="7"/>
      <c r="MP2" s="7"/>
      <c r="MQ2" s="7"/>
      <c r="MR2" s="7"/>
      <c r="MS2" s="7"/>
      <c r="MT2" s="7"/>
      <c r="MU2" s="7"/>
      <c r="MV2" s="7"/>
      <c r="MW2" s="7"/>
      <c r="MX2" s="7"/>
      <c r="MY2" s="7"/>
      <c r="MZ2" s="7"/>
      <c r="NA2" s="7"/>
      <c r="NB2" s="7"/>
      <c r="NC2" s="7"/>
      <c r="ND2" s="7"/>
      <c r="NE2" s="7"/>
      <c r="NF2" s="7"/>
      <c r="NG2" s="7"/>
      <c r="NH2" s="7"/>
      <c r="NI2" s="7"/>
      <c r="NJ2" s="7"/>
      <c r="NK2" s="7"/>
      <c r="NL2" s="7"/>
      <c r="NM2" s="7"/>
      <c r="NN2" s="7"/>
      <c r="NO2" s="7"/>
      <c r="NP2" s="7"/>
      <c r="NQ2" s="7"/>
      <c r="NR2" s="7"/>
      <c r="NS2" s="7"/>
      <c r="NT2" s="7"/>
      <c r="NU2" s="7"/>
      <c r="NV2" s="7"/>
      <c r="NW2" s="7"/>
      <c r="NX2" s="7"/>
      <c r="NY2" s="7"/>
      <c r="NZ2" s="7"/>
      <c r="OA2" s="7"/>
      <c r="OB2" s="7"/>
      <c r="OC2" s="7"/>
      <c r="OD2" s="7"/>
      <c r="OE2" s="7"/>
      <c r="OF2" s="7"/>
      <c r="OG2" s="7"/>
      <c r="OH2" s="7"/>
      <c r="OI2" s="7"/>
      <c r="OJ2" s="7"/>
      <c r="OK2" s="7"/>
      <c r="OL2" s="7"/>
      <c r="OM2" s="7"/>
      <c r="ON2" s="7"/>
      <c r="OO2" s="7"/>
      <c r="OP2" s="7"/>
      <c r="OQ2" s="7"/>
      <c r="OR2" s="7"/>
      <c r="OS2" s="7"/>
      <c r="OT2" s="7"/>
      <c r="OU2" s="7"/>
      <c r="OV2" s="7"/>
      <c r="OW2" s="7"/>
      <c r="OX2" s="7"/>
      <c r="OY2" s="7"/>
      <c r="OZ2" s="7"/>
      <c r="PA2" s="7"/>
      <c r="PB2" s="7"/>
      <c r="PC2" s="7"/>
      <c r="PD2" s="7"/>
      <c r="PE2" s="7"/>
      <c r="PF2" s="7"/>
      <c r="PG2" s="7"/>
      <c r="PH2" s="7"/>
      <c r="PI2" s="7"/>
      <c r="PJ2" s="7"/>
      <c r="PK2" s="7"/>
      <c r="PL2" s="7"/>
      <c r="PM2" s="7"/>
      <c r="PN2" s="7"/>
      <c r="PO2" s="7"/>
      <c r="PP2" s="7"/>
      <c r="PQ2" s="7"/>
      <c r="PR2" s="7"/>
      <c r="PS2" s="7"/>
      <c r="PT2" s="7"/>
      <c r="PU2" s="7"/>
      <c r="PV2" s="7"/>
      <c r="PW2" s="7"/>
      <c r="PX2" s="7"/>
      <c r="PY2" s="7"/>
      <c r="PZ2" s="7"/>
      <c r="QA2" s="7"/>
      <c r="QB2" s="7"/>
      <c r="QC2" s="7"/>
      <c r="QD2" s="7"/>
      <c r="QE2" s="7"/>
      <c r="QF2" s="7"/>
      <c r="QG2" s="7"/>
      <c r="QH2" s="7"/>
      <c r="QI2" s="7"/>
      <c r="QJ2" s="7"/>
      <c r="QK2" s="7"/>
      <c r="QL2" s="7"/>
      <c r="QM2" s="7"/>
      <c r="QN2" s="7"/>
      <c r="QO2" s="7"/>
      <c r="QP2" s="7"/>
      <c r="QQ2" s="7"/>
      <c r="QR2" s="7"/>
      <c r="QS2" s="7"/>
      <c r="QT2" s="7"/>
      <c r="QU2" s="7"/>
      <c r="QV2" s="7"/>
      <c r="QW2" s="7"/>
      <c r="QX2" s="7"/>
      <c r="QY2" s="7"/>
      <c r="QZ2" s="7"/>
      <c r="RA2" s="7"/>
      <c r="RB2" s="7"/>
      <c r="RC2" s="7"/>
      <c r="RD2" s="7"/>
      <c r="RE2" s="7"/>
      <c r="RF2" s="7"/>
      <c r="RG2" s="7"/>
      <c r="RH2" s="7"/>
      <c r="RI2" s="7"/>
      <c r="RJ2" s="7"/>
      <c r="RK2" s="7"/>
      <c r="RL2" s="7"/>
      <c r="RM2" s="7"/>
      <c r="RN2" s="7"/>
      <c r="RO2" s="7"/>
      <c r="RP2" s="7"/>
      <c r="RQ2" s="7"/>
      <c r="RR2" s="7"/>
      <c r="RS2" s="7"/>
      <c r="RT2" s="7"/>
      <c r="RU2" s="7"/>
      <c r="RV2" s="7"/>
      <c r="RW2" s="7"/>
      <c r="RX2" s="7"/>
      <c r="RY2" s="7"/>
      <c r="RZ2" s="7"/>
      <c r="SA2" s="7"/>
      <c r="SB2" s="7"/>
      <c r="SC2" s="7"/>
      <c r="SD2" s="7"/>
    </row>
    <row r="3" spans="1:498" s="2" customFormat="1" ht="12.9" customHeight="1" x14ac:dyDescent="0.25">
      <c r="A3" s="2" t="s">
        <v>6</v>
      </c>
      <c r="B3" s="2">
        <v>2017</v>
      </c>
      <c r="C3" s="2">
        <v>2018</v>
      </c>
      <c r="D3" s="2">
        <v>2019</v>
      </c>
      <c r="E3" s="2">
        <v>2020</v>
      </c>
      <c r="F3" s="2">
        <v>2021</v>
      </c>
      <c r="G3" s="2">
        <v>2022</v>
      </c>
      <c r="H3" s="2">
        <v>2023</v>
      </c>
      <c r="I3" s="2">
        <v>2024</v>
      </c>
    </row>
    <row r="4" spans="1:498" s="2" customFormat="1" ht="9.15" customHeight="1" x14ac:dyDescent="0.25"/>
    <row r="5" spans="1:498" s="5" customFormat="1" ht="12.9" customHeight="1" x14ac:dyDescent="0.25">
      <c r="A5" s="2" t="s">
        <v>5</v>
      </c>
      <c r="B5" s="4">
        <f t="shared" ref="B5:G5" si="0">SUM(B7,B11,B14,B16,B18)</f>
        <v>4536.6424850000003</v>
      </c>
      <c r="C5" s="4">
        <f t="shared" si="0"/>
        <v>4902.4444499000001</v>
      </c>
      <c r="D5" s="4">
        <f t="shared" si="0"/>
        <v>4901.0319088000006</v>
      </c>
      <c r="E5" s="4">
        <f t="shared" si="0"/>
        <v>4905.2833188000004</v>
      </c>
      <c r="F5" s="4">
        <f t="shared" si="0"/>
        <v>4913.9767238000004</v>
      </c>
      <c r="G5" s="4">
        <f t="shared" si="0"/>
        <v>4928.7306638000009</v>
      </c>
      <c r="H5" s="4">
        <f t="shared" ref="H5:I5" si="1">SUM(H7,H11,H14,H16,H18)</f>
        <v>5262.9693948000004</v>
      </c>
      <c r="I5" s="4">
        <f t="shared" si="1"/>
        <v>5298.54</v>
      </c>
    </row>
    <row r="6" spans="1:498" s="5" customFormat="1" ht="9.15" customHeight="1" x14ac:dyDescent="0.25">
      <c r="A6" s="2"/>
      <c r="B6" s="1"/>
      <c r="C6" s="1"/>
      <c r="D6" s="1"/>
      <c r="E6" s="8"/>
    </row>
    <row r="7" spans="1:498" s="5" customFormat="1" ht="12.9" customHeight="1" x14ac:dyDescent="0.25">
      <c r="A7" s="2" t="s">
        <v>0</v>
      </c>
      <c r="B7" s="1">
        <f>B10+B8</f>
        <v>826.7</v>
      </c>
      <c r="C7" s="1">
        <f t="shared" ref="C7:I7" si="2">C10+C8+C9</f>
        <v>1186.7</v>
      </c>
      <c r="D7" s="1">
        <f t="shared" si="2"/>
        <v>1176.7</v>
      </c>
      <c r="E7" s="1">
        <f t="shared" si="2"/>
        <v>1176.7</v>
      </c>
      <c r="F7" s="1">
        <f t="shared" si="2"/>
        <v>1176.7</v>
      </c>
      <c r="G7" s="1">
        <f t="shared" si="2"/>
        <v>1176.7</v>
      </c>
      <c r="H7" s="1">
        <f t="shared" si="2"/>
        <v>1176.7</v>
      </c>
      <c r="I7" s="1">
        <f t="shared" si="2"/>
        <v>1176.7</v>
      </c>
    </row>
    <row r="8" spans="1:498" s="5" customFormat="1" ht="12.9" customHeight="1" x14ac:dyDescent="0.25">
      <c r="A8" s="2" t="s">
        <v>8</v>
      </c>
      <c r="B8" s="1">
        <v>745.7</v>
      </c>
      <c r="C8" s="1">
        <v>925.7</v>
      </c>
      <c r="D8" s="1">
        <v>925.7</v>
      </c>
      <c r="E8" s="1">
        <v>925.7</v>
      </c>
      <c r="F8" s="1">
        <v>925.7</v>
      </c>
      <c r="G8" s="1">
        <v>925.7</v>
      </c>
      <c r="H8" s="1">
        <v>925.7</v>
      </c>
      <c r="I8" s="5">
        <v>925.7</v>
      </c>
    </row>
    <row r="9" spans="1:498" s="5" customFormat="1" ht="12.9" customHeight="1" x14ac:dyDescent="0.25">
      <c r="A9" s="2" t="s">
        <v>7</v>
      </c>
      <c r="B9" s="3" t="s">
        <v>15</v>
      </c>
      <c r="C9" s="1">
        <v>180</v>
      </c>
      <c r="D9" s="1">
        <v>180</v>
      </c>
      <c r="E9" s="1">
        <v>180</v>
      </c>
      <c r="F9" s="1">
        <v>180</v>
      </c>
      <c r="G9" s="1">
        <v>180</v>
      </c>
      <c r="H9" s="1">
        <v>180</v>
      </c>
      <c r="I9" s="5">
        <v>180</v>
      </c>
    </row>
    <row r="10" spans="1:498" s="5" customFormat="1" ht="12.9" customHeight="1" x14ac:dyDescent="0.25">
      <c r="A10" s="2" t="s">
        <v>9</v>
      </c>
      <c r="B10" s="1">
        <v>81</v>
      </c>
      <c r="C10" s="1">
        <v>81</v>
      </c>
      <c r="D10" s="1">
        <v>71</v>
      </c>
      <c r="E10" s="1">
        <v>71</v>
      </c>
      <c r="F10" s="1">
        <v>71</v>
      </c>
      <c r="G10" s="9">
        <v>71</v>
      </c>
      <c r="H10" s="9">
        <v>71</v>
      </c>
      <c r="I10" s="5">
        <v>71</v>
      </c>
    </row>
    <row r="11" spans="1:498" s="5" customFormat="1" ht="12.9" customHeight="1" x14ac:dyDescent="0.25">
      <c r="A11" s="2" t="s">
        <v>1</v>
      </c>
      <c r="B11" s="1">
        <f t="shared" ref="B11:D11" si="3">B12+B13</f>
        <v>416.20000000000005</v>
      </c>
      <c r="C11" s="1">
        <f t="shared" si="3"/>
        <v>416.20000000000005</v>
      </c>
      <c r="D11" s="1">
        <f t="shared" si="3"/>
        <v>416.27000000000004</v>
      </c>
      <c r="E11" s="1">
        <f t="shared" ref="E11:F11" si="4">E12+E13</f>
        <v>416.27000000000004</v>
      </c>
      <c r="F11" s="1">
        <f t="shared" si="4"/>
        <v>416.42</v>
      </c>
      <c r="G11" s="1">
        <f>G12+G13</f>
        <v>417.22</v>
      </c>
      <c r="H11" s="1">
        <f>H12+H13</f>
        <v>731.22</v>
      </c>
      <c r="I11" s="1">
        <f>I12+I13</f>
        <v>731.2</v>
      </c>
    </row>
    <row r="12" spans="1:498" s="5" customFormat="1" ht="12.9" customHeight="1" x14ac:dyDescent="0.25">
      <c r="A12" s="2" t="s">
        <v>7</v>
      </c>
      <c r="B12" s="1">
        <v>414.6</v>
      </c>
      <c r="C12" s="1">
        <v>414.6</v>
      </c>
      <c r="D12" s="1">
        <v>414.6</v>
      </c>
      <c r="E12" s="1">
        <v>414.6</v>
      </c>
      <c r="F12" s="5">
        <v>414.6</v>
      </c>
      <c r="G12" s="5">
        <v>414.6</v>
      </c>
      <c r="H12" s="5">
        <v>728.6</v>
      </c>
      <c r="I12" s="5">
        <v>728.6</v>
      </c>
    </row>
    <row r="13" spans="1:498" s="5" customFormat="1" ht="12.9" customHeight="1" x14ac:dyDescent="0.25">
      <c r="A13" s="2" t="s">
        <v>9</v>
      </c>
      <c r="B13" s="1">
        <v>1.6</v>
      </c>
      <c r="C13" s="1">
        <v>1.6</v>
      </c>
      <c r="D13" s="1">
        <v>1.6700000000000002</v>
      </c>
      <c r="E13" s="1">
        <v>1.6700000000000002</v>
      </c>
      <c r="F13" s="9">
        <v>1.82</v>
      </c>
      <c r="G13" s="9">
        <v>2.62</v>
      </c>
      <c r="H13" s="9">
        <v>2.62</v>
      </c>
      <c r="I13" s="5">
        <v>2.6</v>
      </c>
    </row>
    <row r="14" spans="1:498" s="5" customFormat="1" ht="12.9" customHeight="1" x14ac:dyDescent="0.25">
      <c r="A14" s="2" t="s">
        <v>2</v>
      </c>
      <c r="B14" s="1">
        <f t="shared" ref="B14:D14" si="5">B15</f>
        <v>1538</v>
      </c>
      <c r="C14" s="1">
        <f t="shared" si="5"/>
        <v>1538</v>
      </c>
      <c r="D14" s="1">
        <f t="shared" si="5"/>
        <v>1538</v>
      </c>
      <c r="E14" s="1">
        <f t="shared" ref="E14:F14" si="6">E15</f>
        <v>1538</v>
      </c>
      <c r="F14" s="1">
        <f t="shared" si="6"/>
        <v>1538</v>
      </c>
      <c r="G14" s="1">
        <f>G15</f>
        <v>1538</v>
      </c>
      <c r="H14" s="1">
        <f>H15</f>
        <v>1538</v>
      </c>
      <c r="I14" s="1">
        <f>I15</f>
        <v>1538</v>
      </c>
    </row>
    <row r="15" spans="1:498" s="5" customFormat="1" ht="12.9" customHeight="1" x14ac:dyDescent="0.25">
      <c r="A15" s="2" t="s">
        <v>10</v>
      </c>
      <c r="B15" s="3">
        <v>1538</v>
      </c>
      <c r="C15" s="3">
        <v>1538</v>
      </c>
      <c r="D15" s="3">
        <v>1538</v>
      </c>
      <c r="E15" s="3">
        <v>1538</v>
      </c>
      <c r="F15" s="1">
        <v>1538</v>
      </c>
      <c r="G15" s="1">
        <v>1538</v>
      </c>
      <c r="H15" s="1">
        <v>1538</v>
      </c>
      <c r="I15" s="9">
        <v>1538</v>
      </c>
    </row>
    <row r="16" spans="1:498" s="5" customFormat="1" ht="12.9" customHeight="1" x14ac:dyDescent="0.25">
      <c r="A16" s="2" t="s">
        <v>3</v>
      </c>
      <c r="B16" s="1">
        <f t="shared" ref="B16:D16" si="7">B17</f>
        <v>1513.1675</v>
      </c>
      <c r="C16" s="1">
        <f t="shared" si="7"/>
        <v>1513.1675</v>
      </c>
      <c r="D16" s="1">
        <f t="shared" si="7"/>
        <v>1516.4875000000002</v>
      </c>
      <c r="E16" s="1">
        <f t="shared" ref="E16:F16" si="8">E17</f>
        <v>1516.4875000000002</v>
      </c>
      <c r="F16" s="1">
        <f t="shared" si="8"/>
        <v>1516.4875000000002</v>
      </c>
      <c r="G16" s="1">
        <f>G17</f>
        <v>1516.4899</v>
      </c>
      <c r="H16" s="1">
        <f>H17</f>
        <v>1516.4899</v>
      </c>
      <c r="I16" s="1">
        <f>I17</f>
        <v>1516.48</v>
      </c>
    </row>
    <row r="17" spans="1:9" s="5" customFormat="1" ht="12.9" customHeight="1" x14ac:dyDescent="0.25">
      <c r="A17" s="2" t="s">
        <v>11</v>
      </c>
      <c r="B17" s="1">
        <v>1513.1675</v>
      </c>
      <c r="C17" s="1">
        <v>1513.1675</v>
      </c>
      <c r="D17" s="1">
        <v>1516.4875000000002</v>
      </c>
      <c r="E17" s="1">
        <v>1516.4875000000002</v>
      </c>
      <c r="F17" s="9">
        <v>1516.4875000000002</v>
      </c>
      <c r="G17" s="9">
        <v>1516.4899</v>
      </c>
      <c r="H17" s="9">
        <v>1516.4899</v>
      </c>
      <c r="I17" s="9">
        <v>1516.48</v>
      </c>
    </row>
    <row r="18" spans="1:9" s="5" customFormat="1" ht="12.9" customHeight="1" x14ac:dyDescent="0.25">
      <c r="A18" s="2" t="s">
        <v>4</v>
      </c>
      <c r="B18" s="1">
        <f t="shared" ref="B18:D18" si="9">+B19</f>
        <v>242.574985</v>
      </c>
      <c r="C18" s="1">
        <f t="shared" si="9"/>
        <v>248.37694989999994</v>
      </c>
      <c r="D18" s="1">
        <f t="shared" si="9"/>
        <v>253.57440879999993</v>
      </c>
      <c r="E18" s="1">
        <f t="shared" ref="E18:F18" si="10">+E19</f>
        <v>257.82581879999992</v>
      </c>
      <c r="F18" s="1">
        <f t="shared" si="10"/>
        <v>266.36922379999987</v>
      </c>
      <c r="G18" s="1">
        <f>+G19</f>
        <v>280.32076380000001</v>
      </c>
      <c r="H18" s="1">
        <f>+H19</f>
        <v>300.55949479999992</v>
      </c>
      <c r="I18" s="1">
        <f>+I19</f>
        <v>336.16</v>
      </c>
    </row>
    <row r="19" spans="1:9" s="5" customFormat="1" ht="12.9" customHeight="1" x14ac:dyDescent="0.25">
      <c r="A19" s="2" t="s">
        <v>12</v>
      </c>
      <c r="B19" s="1">
        <v>242.574985</v>
      </c>
      <c r="C19" s="1">
        <v>248.37694989999994</v>
      </c>
      <c r="D19" s="1">
        <v>253.57440879999993</v>
      </c>
      <c r="E19" s="1">
        <v>257.82581879999992</v>
      </c>
      <c r="F19" s="9">
        <v>266.36922379999987</v>
      </c>
      <c r="G19" s="9">
        <v>280.32076380000001</v>
      </c>
      <c r="H19" s="9">
        <v>300.55949479999992</v>
      </c>
      <c r="I19" s="9">
        <v>336.16</v>
      </c>
    </row>
    <row r="20" spans="1:9" s="5" customFormat="1" ht="9.15" customHeight="1" x14ac:dyDescent="0.25">
      <c r="A20" s="2"/>
    </row>
    <row r="21" spans="1:9" s="2" customFormat="1" ht="12.9" customHeight="1" x14ac:dyDescent="0.25">
      <c r="A21" s="2" t="s">
        <v>13</v>
      </c>
    </row>
    <row r="22" spans="1:9" s="2" customFormat="1" ht="9.15" customHeight="1" x14ac:dyDescent="0.25"/>
    <row r="23" spans="1:9" x14ac:dyDescent="0.3">
      <c r="E23" s="4"/>
      <c r="F23" s="4"/>
      <c r="G23" s="4"/>
      <c r="H23" s="4"/>
    </row>
    <row r="24" spans="1:9" x14ac:dyDescent="0.3">
      <c r="E24" s="8"/>
      <c r="F24" s="5"/>
      <c r="G24" s="5"/>
      <c r="H24" s="5"/>
    </row>
    <row r="25" spans="1:9" x14ac:dyDescent="0.3">
      <c r="E25" s="1"/>
      <c r="F25" s="1"/>
      <c r="G25" s="1"/>
      <c r="H25" s="1"/>
    </row>
    <row r="26" spans="1:9" x14ac:dyDescent="0.3">
      <c r="E26" s="1"/>
      <c r="F26" s="1"/>
      <c r="G26" s="1"/>
      <c r="H26" s="1"/>
    </row>
    <row r="27" spans="1:9" x14ac:dyDescent="0.3">
      <c r="E27" s="1"/>
      <c r="F27" s="9"/>
      <c r="G27" s="9"/>
      <c r="H27" s="9"/>
    </row>
    <row r="28" spans="1:9" x14ac:dyDescent="0.3">
      <c r="E28" s="1"/>
      <c r="F28" s="1"/>
      <c r="G28" s="1"/>
      <c r="H28" s="1"/>
    </row>
    <row r="29" spans="1:9" x14ac:dyDescent="0.3">
      <c r="E29" s="1"/>
      <c r="F29" s="5"/>
      <c r="G29" s="5"/>
      <c r="H29" s="5"/>
    </row>
    <row r="30" spans="1:9" x14ac:dyDescent="0.3">
      <c r="E30" s="1"/>
      <c r="F30" s="9"/>
      <c r="G30" s="9"/>
      <c r="H30" s="9"/>
    </row>
    <row r="31" spans="1:9" x14ac:dyDescent="0.3">
      <c r="E31" s="1"/>
      <c r="F31" s="1"/>
      <c r="G31" s="1"/>
      <c r="H31" s="1"/>
    </row>
    <row r="32" spans="1:9" x14ac:dyDescent="0.3">
      <c r="E32" s="3"/>
      <c r="F32" s="1"/>
      <c r="G32" s="1"/>
      <c r="H32" s="1"/>
    </row>
    <row r="33" spans="5:8" x14ac:dyDescent="0.3">
      <c r="E33" s="1"/>
      <c r="F33" s="1"/>
      <c r="G33" s="1"/>
      <c r="H33" s="1"/>
    </row>
    <row r="34" spans="5:8" x14ac:dyDescent="0.3">
      <c r="E34" s="1"/>
      <c r="F34" s="9"/>
      <c r="G34" s="9"/>
      <c r="H34" s="9"/>
    </row>
    <row r="35" spans="5:8" x14ac:dyDescent="0.3">
      <c r="E35" s="1"/>
      <c r="F35" s="1"/>
      <c r="G35" s="1"/>
      <c r="H35" s="1"/>
    </row>
    <row r="36" spans="5:8" x14ac:dyDescent="0.3">
      <c r="E36" s="1"/>
      <c r="F36" s="9"/>
      <c r="G36" s="9"/>
      <c r="H36" s="9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4.5.4</vt:lpstr>
      <vt:lpstr>Serie histórica</vt:lpstr>
      <vt:lpstr>'4.5.4'!Área_de_impresión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Difusion</dc:creator>
  <cp:lastModifiedBy>Stella Landeira</cp:lastModifiedBy>
  <cp:lastPrinted>2019-08-15T13:58:03Z</cp:lastPrinted>
  <dcterms:created xsi:type="dcterms:W3CDTF">2017-10-18T18:15:42Z</dcterms:created>
  <dcterms:modified xsi:type="dcterms:W3CDTF">2025-09-10T17:47:35Z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388071f0-b008-4b2b-ab03-faa40533d481</vt:lpwstr>
  </property>
</Properties>
</file>