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2" yWindow="-12" windowWidth="16836" windowHeight="12648"/>
  </bookViews>
  <sheets>
    <sheet name="4.4.11_2024 " sheetId="10" r:id="rId1"/>
    <sheet name="4.4.11_2023" sheetId="11" r:id="rId2"/>
    <sheet name="4.4.11_2022" sheetId="9" r:id="rId3"/>
    <sheet name="4.4.11_2021" sheetId="8" r:id="rId4"/>
    <sheet name="4.4.11_2020" sheetId="3" r:id="rId5"/>
    <sheet name="4.4.11_2019" sheetId="7" r:id="rId6"/>
    <sheet name="4.4.11_2018" sheetId="6" r:id="rId7"/>
    <sheet name="4.4.11_2017" sheetId="5" r:id="rId8"/>
    <sheet name="4.4.11_2016" sheetId="4" r:id="rId9"/>
  </sheets>
  <definedNames>
    <definedName name="_xlnm.Print_Area" localSheetId="3">'4.4.11_2021'!$A$1:$U$21</definedName>
  </definedNames>
  <calcPr calcId="145621"/>
</workbook>
</file>

<file path=xl/calcChain.xml><?xml version="1.0" encoding="utf-8"?>
<calcChain xmlns="http://schemas.openxmlformats.org/spreadsheetml/2006/main">
  <c r="C16" i="11" l="1"/>
  <c r="B16" i="11"/>
  <c r="B13" i="11"/>
  <c r="C13" i="11"/>
  <c r="B14" i="11"/>
  <c r="C14" i="11"/>
  <c r="C12" i="11"/>
  <c r="B12" i="11"/>
  <c r="B11" i="11"/>
  <c r="C11" i="11"/>
  <c r="C12" i="10" l="1"/>
  <c r="C13" i="10"/>
  <c r="C14" i="10"/>
  <c r="B14" i="10"/>
  <c r="B13" i="10"/>
  <c r="B12" i="10"/>
  <c r="C18" i="11"/>
  <c r="B18" i="11"/>
  <c r="C17" i="11"/>
  <c r="B17" i="11"/>
  <c r="C15" i="11"/>
  <c r="B15" i="11"/>
  <c r="R9" i="11"/>
  <c r="Q9" i="11"/>
  <c r="O9" i="11"/>
  <c r="N9" i="11"/>
  <c r="L9" i="11"/>
  <c r="K9" i="11"/>
  <c r="I9" i="11"/>
  <c r="H9" i="11"/>
  <c r="F9" i="11"/>
  <c r="E9" i="11"/>
  <c r="B15" i="10"/>
  <c r="B9" i="10" s="1"/>
  <c r="C15" i="10"/>
  <c r="B16" i="10"/>
  <c r="C16" i="10"/>
  <c r="B17" i="10"/>
  <c r="C17" i="10"/>
  <c r="B18" i="10"/>
  <c r="C18" i="10"/>
  <c r="C11" i="10"/>
  <c r="B11" i="10"/>
  <c r="R9" i="10"/>
  <c r="Q9" i="10"/>
  <c r="O9" i="10"/>
  <c r="N9" i="10"/>
  <c r="L9" i="10"/>
  <c r="K9" i="10"/>
  <c r="I9" i="10"/>
  <c r="H9" i="10"/>
  <c r="F9" i="10"/>
  <c r="E9" i="10"/>
  <c r="C18" i="9"/>
  <c r="B18" i="9"/>
  <c r="C17" i="9"/>
  <c r="B17" i="9"/>
  <c r="C16" i="9"/>
  <c r="B16" i="9"/>
  <c r="C15" i="9"/>
  <c r="B15" i="9"/>
  <c r="C14" i="9"/>
  <c r="B14" i="9"/>
  <c r="C13" i="9"/>
  <c r="C9" i="9"/>
  <c r="B13" i="9"/>
  <c r="B9" i="9"/>
  <c r="C12" i="9"/>
  <c r="B12" i="9"/>
  <c r="C11" i="9"/>
  <c r="B11" i="9"/>
  <c r="R9" i="9"/>
  <c r="Q9" i="9"/>
  <c r="O9" i="9"/>
  <c r="N9" i="9"/>
  <c r="L9" i="9"/>
  <c r="K9" i="9"/>
  <c r="I9" i="9"/>
  <c r="H9" i="9"/>
  <c r="F9" i="9"/>
  <c r="E9" i="9"/>
  <c r="C18" i="8"/>
  <c r="B18" i="8"/>
  <c r="C17" i="8"/>
  <c r="B17" i="8"/>
  <c r="C16" i="8"/>
  <c r="B16" i="8"/>
  <c r="C15" i="8"/>
  <c r="B15" i="8"/>
  <c r="C14" i="8"/>
  <c r="B14" i="8"/>
  <c r="C13" i="8"/>
  <c r="B13" i="8"/>
  <c r="C12" i="8"/>
  <c r="C9" i="8"/>
  <c r="B12" i="8"/>
  <c r="C11" i="8"/>
  <c r="B11" i="8"/>
  <c r="R9" i="8"/>
  <c r="Q9" i="8"/>
  <c r="O9" i="8"/>
  <c r="N9" i="8"/>
  <c r="L9" i="8"/>
  <c r="K9" i="8"/>
  <c r="I9" i="8"/>
  <c r="H9" i="8"/>
  <c r="F9" i="8"/>
  <c r="E9" i="8"/>
  <c r="B9" i="8"/>
  <c r="C18" i="3"/>
  <c r="B18" i="3"/>
  <c r="C17" i="3"/>
  <c r="B17" i="3"/>
  <c r="C16" i="3"/>
  <c r="B16" i="3"/>
  <c r="C15" i="3"/>
  <c r="B15" i="3"/>
  <c r="C14" i="3"/>
  <c r="B14" i="3"/>
  <c r="C13" i="3"/>
  <c r="B13" i="3"/>
  <c r="C12" i="3"/>
  <c r="B12" i="3"/>
  <c r="C11" i="3"/>
  <c r="B11" i="3"/>
  <c r="R9" i="3"/>
  <c r="Q9" i="3"/>
  <c r="O9" i="3"/>
  <c r="N9" i="3"/>
  <c r="L9" i="3"/>
  <c r="K9" i="3"/>
  <c r="I9" i="3"/>
  <c r="H9" i="3"/>
  <c r="F9" i="3"/>
  <c r="C9" i="3"/>
  <c r="E9" i="3"/>
  <c r="B9" i="3"/>
  <c r="C9" i="11" l="1"/>
  <c r="B9" i="11"/>
  <c r="C9" i="10"/>
</calcChain>
</file>

<file path=xl/sharedStrings.xml><?xml version="1.0" encoding="utf-8"?>
<sst xmlns="http://schemas.openxmlformats.org/spreadsheetml/2006/main" count="641" uniqueCount="37">
  <si>
    <t>Vivienda</t>
  </si>
  <si>
    <t>Comercio</t>
  </si>
  <si>
    <t>Industria</t>
  </si>
  <si>
    <t>Otros</t>
  </si>
  <si>
    <t xml:space="preserve">Total </t>
  </si>
  <si>
    <t>Destino</t>
  </si>
  <si>
    <r>
      <t>Más de 2.000 m</t>
    </r>
    <r>
      <rPr>
        <b/>
        <vertAlign val="superscript"/>
        <sz val="9"/>
        <rFont val="Arial"/>
        <family val="2"/>
      </rPr>
      <t>2</t>
    </r>
  </si>
  <si>
    <t xml:space="preserve">Tramos de superficie </t>
  </si>
  <si>
    <r>
      <t>Menos de 30 m</t>
    </r>
    <r>
      <rPr>
        <b/>
        <vertAlign val="superscript"/>
        <sz val="9"/>
        <rFont val="Arial"/>
        <family val="2"/>
      </rPr>
      <t>2</t>
    </r>
  </si>
  <si>
    <t>Fuente: Instituto Nacional de Estadística (INE) con información de la Intendencia de Montevideo (IM).</t>
  </si>
  <si>
    <r>
      <t>De 30 a 79 m</t>
    </r>
    <r>
      <rPr>
        <b/>
        <vertAlign val="superscript"/>
        <sz val="9"/>
        <rFont val="Arial"/>
        <family val="2"/>
      </rPr>
      <t>2</t>
    </r>
  </si>
  <si>
    <r>
      <t>De 80 a 119 m</t>
    </r>
    <r>
      <rPr>
        <b/>
        <vertAlign val="superscript"/>
        <sz val="9"/>
        <rFont val="Arial"/>
        <family val="2"/>
      </rPr>
      <t>2</t>
    </r>
  </si>
  <si>
    <r>
      <t>De 120 a 199 m</t>
    </r>
    <r>
      <rPr>
        <b/>
        <vertAlign val="superscript"/>
        <sz val="9"/>
        <rFont val="Arial"/>
        <family val="2"/>
      </rPr>
      <t>2</t>
    </r>
  </si>
  <si>
    <r>
      <t>De 200 a 499 m</t>
    </r>
    <r>
      <rPr>
        <b/>
        <vertAlign val="superscript"/>
        <sz val="9"/>
        <rFont val="Arial"/>
        <family val="2"/>
      </rPr>
      <t>2</t>
    </r>
  </si>
  <si>
    <r>
      <t>De 500 a 999 m</t>
    </r>
    <r>
      <rPr>
        <b/>
        <vertAlign val="superscript"/>
        <sz val="9"/>
        <rFont val="Arial"/>
        <family val="2"/>
      </rPr>
      <t>2</t>
    </r>
  </si>
  <si>
    <r>
      <t>De 1.000 a 1.999  m</t>
    </r>
    <r>
      <rPr>
        <b/>
        <vertAlign val="superscript"/>
        <sz val="9"/>
        <rFont val="Arial"/>
        <family val="2"/>
      </rPr>
      <t>2</t>
    </r>
  </si>
  <si>
    <t>Cant.</t>
  </si>
  <si>
    <t>perm.</t>
  </si>
  <si>
    <t>Sup. (m²)</t>
  </si>
  <si>
    <t>Desconocido</t>
  </si>
  <si>
    <t xml:space="preserve">4.4.11 - Cantidad de permisos de construcción otorgados por la Intendencia de Montevideo para obra nueva </t>
  </si>
  <si>
    <r>
      <t>Nota: La suma de los totales en superficie m</t>
    </r>
    <r>
      <rPr>
        <b/>
        <vertAlign val="superscript"/>
        <sz val="9"/>
        <rFont val="Arial"/>
        <family val="2"/>
      </rPr>
      <t>2</t>
    </r>
    <r>
      <rPr>
        <b/>
        <sz val="9"/>
        <rFont val="Arial"/>
        <family val="2"/>
      </rPr>
      <t xml:space="preserve"> puede no coincidir debido a redondeos en las cifras. Se incluyen las viviendas populares. </t>
    </r>
  </si>
  <si>
    <t>Varios Simultáneos</t>
  </si>
  <si>
    <t>-</t>
  </si>
  <si>
    <t>y superficie comprendida en los mismos, por destino, según tramos de superficie - 2016</t>
  </si>
  <si>
    <t>Varios</t>
  </si>
  <si>
    <r>
      <t>Nota 1: La suma de los totales en superficie m</t>
    </r>
    <r>
      <rPr>
        <b/>
        <vertAlign val="superscript"/>
        <sz val="9"/>
        <rFont val="Arial"/>
        <family val="2"/>
      </rPr>
      <t>2</t>
    </r>
    <r>
      <rPr>
        <b/>
        <sz val="9"/>
        <rFont val="Arial"/>
        <family val="2"/>
      </rPr>
      <t xml:space="preserve"> puede no coincidir debido a redondeos en las cifras. Se incluyen las viviendas populares. </t>
    </r>
  </si>
  <si>
    <t>y superficie comprendida en los mismos, por destino, según tramos de superficie - 2017</t>
  </si>
  <si>
    <t>y superficie comprendida en los mismos, por destino, según tramos de superficie - 2018</t>
  </si>
  <si>
    <t>y superficie comprendida en los mismos, por destino, según tramos de superficie - 2019</t>
  </si>
  <si>
    <t>Nota 2: Datos revisados a Julio 2021.</t>
  </si>
  <si>
    <t>Cant. perm.</t>
  </si>
  <si>
    <t>4.4.11 - Cantidad de permisos de construcción otorgados por la Intendencia de Montevideo para obra nueva y superficie comprendida en los mismos, por destino, según tramos de superficie - 2020</t>
  </si>
  <si>
    <t>4.4.11 - Cantidad de permisos de construcción otorgados por la Intendencia de Montevideo para obra nueva y superficie comprendida en los mismos, por destino, según tramos de superficie - 2021</t>
  </si>
  <si>
    <t>4.4.11 - Cantidad de permisos de construcción otorgados por la Intendencia de Montevideo para obra nueva y superficie comprendida en los mismos, por destino, según tramos de superficie - 2022</t>
  </si>
  <si>
    <t>4.4.11 - Cantidad de permisos de construcción otorgados por la Intendencia de Montevideo para obra nueva y superficie comprendida en los mismos, por destino, según tramos de superficie - 2024</t>
  </si>
  <si>
    <t>4.4.11 - Cantidad de permisos de construcción otorgados por la Intendencia de Montevideo para obra nueva y superficie comprendida en los mismos, por destino, según tramos de superficie - 2023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</si>
</sst>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.00_);_(* \(#,##0.00\);_(* &quot;-&quot;??_);_(@_)"/>
    <numFmt numFmtId="165" formatCode="#."/>
  </numFmts>
  <fonts count="9" x14ac:knownFonts="1">
    <font>
      <sz val="12"/>
      <name val="Courier"/>
    </font>
    <font>
      <sz val="10"/>
      <name val="Arial"/>
    </font>
    <font>
      <b/>
      <i/>
      <sz val="1"/>
      <color indexed="16"/>
      <name val="Courier"/>
    </font>
    <font>
      <sz val="1"/>
      <color indexed="16"/>
      <name val="Courier"/>
    </font>
    <font>
      <b/>
      <sz val="9"/>
      <name val="Arial"/>
      <family val="2"/>
    </font>
    <font>
      <sz val="9"/>
      <name val="Arial"/>
      <family val="2"/>
    </font>
    <font>
      <b/>
      <vertAlign val="superscript"/>
      <sz val="9"/>
      <name val="Arial"/>
      <family val="2"/>
    </font>
    <font>
      <sz val="12"/>
      <name val="Courier"/>
    </font>
    <font>
      <b/>
      <sz val="12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D5494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165" fontId="2" fillId="0" borderId="0">
      <protection locked="0"/>
    </xf>
    <xf numFmtId="165" fontId="3" fillId="0" borderId="0">
      <protection locked="0"/>
    </xf>
    <xf numFmtId="164" fontId="1" fillId="0" borderId="0" applyFont="0" applyFill="0" applyBorder="0" applyAlignment="0" applyProtection="0"/>
    <xf numFmtId="0" fontId="7" fillId="0" borderId="0"/>
  </cellStyleXfs>
  <cellXfs count="53">
    <xf numFmtId="0" fontId="0" fillId="0" borderId="0" xfId="0"/>
    <xf numFmtId="0" fontId="4" fillId="2" borderId="0" xfId="0" applyFont="1" applyFill="1"/>
    <xf numFmtId="0" fontId="4" fillId="2" borderId="0" xfId="0" applyFont="1" applyFill="1" applyBorder="1" applyAlignment="1">
      <alignment horizontal="center" vertical="center" wrapText="1"/>
    </xf>
    <xf numFmtId="0" fontId="5" fillId="2" borderId="0" xfId="0" applyFont="1" applyFill="1"/>
    <xf numFmtId="0" fontId="4" fillId="2" borderId="0" xfId="0" applyFont="1" applyFill="1" applyBorder="1" applyAlignment="1">
      <alignment horizontal="right" vertical="center" wrapText="1"/>
    </xf>
    <xf numFmtId="0" fontId="4" fillId="2" borderId="0" xfId="0" applyFont="1" applyFill="1" applyAlignment="1">
      <alignment horizontal="right" vertical="center" wrapText="1"/>
    </xf>
    <xf numFmtId="0" fontId="4" fillId="2" borderId="0" xfId="0" applyFont="1" applyFill="1" applyBorder="1" applyAlignment="1">
      <alignment horizontal="right"/>
    </xf>
    <xf numFmtId="0" fontId="5" fillId="2" borderId="0" xfId="0" applyFont="1" applyFill="1" applyBorder="1"/>
    <xf numFmtId="3" fontId="4" fillId="2" borderId="0" xfId="0" applyNumberFormat="1" applyFont="1" applyFill="1" applyAlignment="1">
      <alignment horizontal="right"/>
    </xf>
    <xf numFmtId="3" fontId="4" fillId="2" borderId="0" xfId="0" applyNumberFormat="1" applyFont="1" applyFill="1" applyBorder="1" applyAlignment="1">
      <alignment horizontal="right" vertical="center" wrapText="1"/>
    </xf>
    <xf numFmtId="3" fontId="5" fillId="2" borderId="0" xfId="3" applyNumberFormat="1" applyFont="1" applyFill="1" applyAlignment="1">
      <alignment horizontal="right"/>
    </xf>
    <xf numFmtId="3" fontId="5" fillId="2" borderId="0" xfId="0" applyNumberFormat="1" applyFont="1" applyFill="1" applyBorder="1" applyAlignment="1">
      <alignment horizontal="right" vertical="center" wrapText="1"/>
    </xf>
    <xf numFmtId="0" fontId="4" fillId="2" borderId="0" xfId="0" applyFont="1" applyFill="1" applyBorder="1"/>
    <xf numFmtId="3" fontId="5" fillId="2" borderId="0" xfId="0" applyNumberFormat="1" applyFont="1" applyFill="1" applyAlignment="1">
      <alignment horizontal="right"/>
    </xf>
    <xf numFmtId="3" fontId="5" fillId="2" borderId="0" xfId="3" quotePrefix="1" applyNumberFormat="1" applyFont="1" applyFill="1" applyAlignment="1">
      <alignment horizontal="right"/>
    </xf>
    <xf numFmtId="0" fontId="4" fillId="2" borderId="0" xfId="0" applyFont="1" applyFill="1" applyBorder="1" applyAlignment="1" applyProtection="1">
      <alignment horizontal="left"/>
    </xf>
    <xf numFmtId="3" fontId="5" fillId="2" borderId="0" xfId="0" applyNumberFormat="1" applyFont="1" applyFill="1" applyAlignment="1" applyProtection="1">
      <alignment horizontal="right"/>
    </xf>
    <xf numFmtId="3" fontId="5" fillId="2" borderId="0" xfId="0" applyNumberFormat="1" applyFont="1" applyFill="1" applyBorder="1" applyAlignment="1" applyProtection="1">
      <alignment horizontal="right"/>
    </xf>
    <xf numFmtId="0" fontId="0" fillId="2" borderId="0" xfId="0" applyFill="1"/>
    <xf numFmtId="0" fontId="0" fillId="2" borderId="0" xfId="0" applyFill="1" applyBorder="1"/>
    <xf numFmtId="3" fontId="0" fillId="2" borderId="0" xfId="0" applyNumberFormat="1" applyFill="1"/>
    <xf numFmtId="0" fontId="4" fillId="2" borderId="0" xfId="0" applyFont="1" applyFill="1" applyBorder="1" applyAlignment="1" applyProtection="1">
      <alignment horizontal="right" vertical="center"/>
      <protection locked="0"/>
    </xf>
    <xf numFmtId="0" fontId="4" fillId="2" borderId="1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 applyProtection="1">
      <alignment horizontal="right" vertical="center"/>
      <protection locked="0"/>
    </xf>
    <xf numFmtId="0" fontId="4" fillId="0" borderId="0" xfId="0" applyFont="1" applyFill="1"/>
    <xf numFmtId="0" fontId="0" fillId="0" borderId="0" xfId="0" applyFill="1"/>
    <xf numFmtId="0" fontId="0" fillId="0" borderId="0" xfId="0" applyFill="1" applyBorder="1"/>
    <xf numFmtId="3" fontId="4" fillId="2" borderId="0" xfId="3" applyNumberFormat="1" applyFont="1" applyFill="1" applyAlignment="1">
      <alignment horizontal="right"/>
    </xf>
    <xf numFmtId="0" fontId="4" fillId="0" borderId="0" xfId="0" applyFont="1" applyFill="1" applyAlignment="1" applyProtection="1"/>
    <xf numFmtId="0" fontId="8" fillId="3" borderId="0" xfId="4" applyFont="1" applyFill="1" applyBorder="1" applyAlignment="1" applyProtection="1">
      <alignment horizontal="left"/>
    </xf>
    <xf numFmtId="0" fontId="8" fillId="2" borderId="0" xfId="4" applyFont="1" applyFill="1" applyBorder="1" applyAlignment="1" applyProtection="1">
      <alignment horizontal="left"/>
    </xf>
    <xf numFmtId="0" fontId="4" fillId="2" borderId="0" xfId="0" applyFont="1" applyFill="1" applyBorder="1" applyAlignment="1">
      <alignment horizontal="right" vertical="center" wrapText="1"/>
    </xf>
    <xf numFmtId="0" fontId="4" fillId="2" borderId="0" xfId="0" applyFont="1" applyFill="1" applyBorder="1" applyAlignment="1" applyProtection="1">
      <alignment horizontal="right" vertical="center"/>
      <protection locked="0"/>
    </xf>
    <xf numFmtId="0" fontId="4" fillId="2" borderId="0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 applyProtection="1">
      <alignment horizontal="right" vertical="center"/>
      <protection locked="0"/>
    </xf>
    <xf numFmtId="0" fontId="4" fillId="2" borderId="0" xfId="0" applyFont="1" applyFill="1" applyBorder="1" applyAlignment="1">
      <alignment horizontal="right" vertical="center" wrapText="1"/>
    </xf>
    <xf numFmtId="0" fontId="4" fillId="2" borderId="0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 applyProtection="1">
      <alignment horizontal="right" vertical="center"/>
      <protection locked="0"/>
    </xf>
    <xf numFmtId="0" fontId="4" fillId="2" borderId="0" xfId="0" applyFont="1" applyFill="1" applyBorder="1" applyAlignment="1">
      <alignment horizontal="right" vertical="center" wrapText="1"/>
    </xf>
    <xf numFmtId="0" fontId="4" fillId="2" borderId="0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 applyProtection="1">
      <alignment horizontal="right" vertical="center"/>
      <protection locked="0"/>
    </xf>
    <xf numFmtId="0" fontId="4" fillId="2" borderId="0" xfId="0" applyFont="1" applyFill="1" applyBorder="1" applyAlignment="1">
      <alignment horizontal="right" vertical="center" wrapText="1"/>
    </xf>
    <xf numFmtId="0" fontId="4" fillId="2" borderId="0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 applyProtection="1">
      <alignment horizontal="left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 applyProtection="1">
      <alignment horizontal="right" vertical="center"/>
      <protection locked="0"/>
    </xf>
    <xf numFmtId="0" fontId="4" fillId="2" borderId="0" xfId="0" applyFont="1" applyFill="1" applyBorder="1" applyAlignment="1" applyProtection="1">
      <alignment horizontal="right" vertical="center"/>
      <protection locked="0"/>
    </xf>
    <xf numFmtId="0" fontId="8" fillId="3" borderId="0" xfId="4" applyFont="1" applyFill="1" applyBorder="1" applyAlignment="1" applyProtection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4" fillId="2" borderId="2" xfId="0" applyFont="1" applyFill="1" applyBorder="1" applyAlignment="1">
      <alignment horizontal="right" vertical="center" wrapText="1"/>
    </xf>
    <xf numFmtId="0" fontId="4" fillId="2" borderId="0" xfId="0" applyFont="1" applyFill="1" applyBorder="1" applyAlignment="1">
      <alignment horizontal="right" vertical="center" wrapText="1"/>
    </xf>
    <xf numFmtId="0" fontId="4" fillId="2" borderId="0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</cellXfs>
  <cellStyles count="5">
    <cellStyle name="F2" xfId="1"/>
    <cellStyle name="F3" xfId="2"/>
    <cellStyle name="Millares" xfId="3" builtinId="3"/>
    <cellStyle name="Normal" xfId="0" builtinId="0"/>
    <cellStyle name="Normal_Hoja3" xfId="4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1"/>
  <sheetViews>
    <sheetView showGridLines="0" tabSelected="1" workbookViewId="0">
      <selection activeCell="A21" sqref="A21:U21"/>
    </sheetView>
  </sheetViews>
  <sheetFormatPr baseColWidth="10" defaultRowHeight="15" x14ac:dyDescent="0.25"/>
  <cols>
    <col min="1" max="1" width="15.4140625" customWidth="1"/>
    <col min="2" max="2" width="5.58203125" customWidth="1"/>
    <col min="3" max="3" width="7" customWidth="1"/>
    <col min="4" max="4" width="1" customWidth="1"/>
    <col min="5" max="5" width="6" customWidth="1"/>
    <col min="6" max="6" width="6.6640625" customWidth="1"/>
    <col min="7" max="7" width="0.9140625" customWidth="1"/>
    <col min="8" max="8" width="5.9140625" customWidth="1"/>
    <col min="9" max="9" width="6.6640625" customWidth="1"/>
    <col min="10" max="10" width="0.9140625" customWidth="1"/>
    <col min="11" max="11" width="5.25" customWidth="1"/>
    <col min="12" max="12" width="6.6640625" customWidth="1"/>
    <col min="13" max="13" width="0.9140625" customWidth="1"/>
    <col min="14" max="14" width="5.08203125" customWidth="1"/>
    <col min="15" max="15" width="6.25" customWidth="1"/>
    <col min="16" max="16" width="0.9140625" customWidth="1"/>
    <col min="17" max="17" width="4.6640625" customWidth="1"/>
    <col min="18" max="18" width="6.25" customWidth="1"/>
    <col min="19" max="19" width="1.08203125" customWidth="1"/>
    <col min="20" max="20" width="6.25" customWidth="1"/>
    <col min="21" max="21" width="6.33203125" customWidth="1"/>
  </cols>
  <sheetData>
    <row r="1" spans="1:21" ht="15" customHeight="1" x14ac:dyDescent="0.25">
      <c r="A1" s="47" t="s">
        <v>35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</row>
    <row r="2" spans="1:21" ht="15" customHeight="1" x14ac:dyDescent="0.25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</row>
    <row r="3" spans="1:21" ht="9.15" customHeight="1" x14ac:dyDescent="0.3">
      <c r="A3" s="29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</row>
    <row r="4" spans="1:21" ht="12.9" customHeight="1" x14ac:dyDescent="0.25">
      <c r="A4" s="48" t="s">
        <v>7</v>
      </c>
      <c r="B4" s="44" t="s">
        <v>4</v>
      </c>
      <c r="C4" s="44"/>
      <c r="D4" s="39"/>
      <c r="E4" s="44" t="s">
        <v>5</v>
      </c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</row>
    <row r="5" spans="1:21" ht="24.75" customHeight="1" x14ac:dyDescent="0.25">
      <c r="A5" s="48"/>
      <c r="B5" s="38" t="s">
        <v>16</v>
      </c>
      <c r="C5" s="45" t="s">
        <v>18</v>
      </c>
      <c r="D5" s="39"/>
      <c r="E5" s="44" t="s">
        <v>0</v>
      </c>
      <c r="F5" s="44"/>
      <c r="G5" s="39"/>
      <c r="H5" s="44" t="s">
        <v>1</v>
      </c>
      <c r="I5" s="44"/>
      <c r="J5" s="39"/>
      <c r="K5" s="44" t="s">
        <v>2</v>
      </c>
      <c r="L5" s="44"/>
      <c r="M5" s="39"/>
      <c r="N5" s="44" t="s">
        <v>3</v>
      </c>
      <c r="O5" s="44"/>
      <c r="P5" s="39"/>
      <c r="Q5" s="44" t="s">
        <v>22</v>
      </c>
      <c r="R5" s="44"/>
      <c r="S5" s="39"/>
      <c r="T5" s="44" t="s">
        <v>19</v>
      </c>
      <c r="U5" s="44"/>
    </row>
    <row r="6" spans="1:21" ht="12.9" customHeight="1" x14ac:dyDescent="0.25">
      <c r="A6" s="48"/>
      <c r="B6" s="5" t="s">
        <v>17</v>
      </c>
      <c r="C6" s="46"/>
      <c r="D6" s="6"/>
      <c r="E6" s="38" t="s">
        <v>16</v>
      </c>
      <c r="F6" s="45" t="s">
        <v>18</v>
      </c>
      <c r="G6" s="6"/>
      <c r="H6" s="38" t="s">
        <v>16</v>
      </c>
      <c r="I6" s="45" t="s">
        <v>18</v>
      </c>
      <c r="J6" s="6"/>
      <c r="K6" s="38" t="s">
        <v>16</v>
      </c>
      <c r="L6" s="45" t="s">
        <v>18</v>
      </c>
      <c r="M6" s="6"/>
      <c r="N6" s="38" t="s">
        <v>16</v>
      </c>
      <c r="O6" s="45" t="s">
        <v>18</v>
      </c>
      <c r="P6" s="6"/>
      <c r="Q6" s="38" t="s">
        <v>16</v>
      </c>
      <c r="R6" s="45" t="s">
        <v>18</v>
      </c>
      <c r="S6" s="37"/>
      <c r="T6" s="38" t="s">
        <v>16</v>
      </c>
      <c r="U6" s="45" t="s">
        <v>18</v>
      </c>
    </row>
    <row r="7" spans="1:21" ht="12.9" customHeight="1" x14ac:dyDescent="0.25">
      <c r="A7" s="48"/>
      <c r="B7" s="3"/>
      <c r="C7" s="3"/>
      <c r="D7" s="6"/>
      <c r="E7" s="5" t="s">
        <v>17</v>
      </c>
      <c r="F7" s="46"/>
      <c r="G7" s="6"/>
      <c r="H7" s="5" t="s">
        <v>17</v>
      </c>
      <c r="I7" s="46"/>
      <c r="J7" s="6"/>
      <c r="K7" s="5" t="s">
        <v>17</v>
      </c>
      <c r="L7" s="46"/>
      <c r="M7" s="6"/>
      <c r="N7" s="5" t="s">
        <v>17</v>
      </c>
      <c r="O7" s="46"/>
      <c r="P7" s="6"/>
      <c r="Q7" s="5" t="s">
        <v>17</v>
      </c>
      <c r="R7" s="46"/>
      <c r="S7" s="37"/>
      <c r="T7" s="5" t="s">
        <v>17</v>
      </c>
      <c r="U7" s="46"/>
    </row>
    <row r="8" spans="1:21" ht="9.15" customHeight="1" x14ac:dyDescent="0.25">
      <c r="A8" s="3"/>
      <c r="B8" s="3"/>
      <c r="C8" s="3"/>
      <c r="D8" s="7"/>
      <c r="E8" s="3"/>
      <c r="F8" s="3"/>
      <c r="G8" s="7"/>
      <c r="H8" s="3"/>
      <c r="I8" s="3"/>
      <c r="J8" s="7"/>
      <c r="K8" s="8"/>
      <c r="L8" s="8"/>
      <c r="M8" s="8"/>
      <c r="N8" s="8"/>
      <c r="O8" s="8"/>
      <c r="P8" s="8"/>
      <c r="Q8" s="8"/>
      <c r="R8" s="8"/>
      <c r="S8" s="8"/>
      <c r="T8" s="8"/>
      <c r="U8" s="8"/>
    </row>
    <row r="9" spans="1:21" ht="12.9" customHeight="1" x14ac:dyDescent="0.25">
      <c r="A9" s="1" t="s">
        <v>4</v>
      </c>
      <c r="B9" s="8">
        <f>SUM(B11:B18)</f>
        <v>460</v>
      </c>
      <c r="C9" s="8">
        <f>SUM(C11:C18)</f>
        <v>599268.04</v>
      </c>
      <c r="D9" s="9"/>
      <c r="E9" s="8">
        <f>SUM(E11:E18)</f>
        <v>333</v>
      </c>
      <c r="F9" s="8">
        <f>SUM(F11:F18)</f>
        <v>478906.44000000006</v>
      </c>
      <c r="G9" s="9"/>
      <c r="H9" s="8">
        <f>SUM(H11:H18)</f>
        <v>67</v>
      </c>
      <c r="I9" s="8">
        <f>SUM(I11:I18)</f>
        <v>41649.550000000003</v>
      </c>
      <c r="J9" s="9"/>
      <c r="K9" s="8">
        <f>SUM(K11:K18)</f>
        <v>21</v>
      </c>
      <c r="L9" s="8">
        <f>SUM(L11:L18)</f>
        <v>15281.18</v>
      </c>
      <c r="M9" s="8"/>
      <c r="N9" s="8">
        <f>SUM(N11:N18)</f>
        <v>7</v>
      </c>
      <c r="O9" s="8">
        <f>SUM(O11:O18)</f>
        <v>16007.87</v>
      </c>
      <c r="P9" s="8"/>
      <c r="Q9" s="8">
        <f>SUM(Q11:Q18)</f>
        <v>32</v>
      </c>
      <c r="R9" s="8">
        <f>SUM(R11:R18)</f>
        <v>47423</v>
      </c>
      <c r="S9" s="8"/>
      <c r="T9" s="8" t="s">
        <v>23</v>
      </c>
      <c r="U9" s="8" t="s">
        <v>23</v>
      </c>
    </row>
    <row r="10" spans="1:21" ht="9.15" customHeight="1" x14ac:dyDescent="0.25">
      <c r="A10" s="1"/>
      <c r="B10" s="10"/>
      <c r="C10" s="10"/>
      <c r="D10" s="10"/>
      <c r="E10" s="10"/>
      <c r="F10" s="10"/>
      <c r="G10" s="11"/>
      <c r="H10" s="10"/>
      <c r="I10" s="10"/>
      <c r="J10" s="11"/>
      <c r="K10" s="10"/>
      <c r="L10" s="10"/>
      <c r="M10" s="11"/>
      <c r="N10" s="10"/>
      <c r="O10" s="10"/>
      <c r="P10" s="11"/>
      <c r="Q10" s="10"/>
      <c r="R10" s="10"/>
      <c r="S10" s="10"/>
      <c r="T10" s="10"/>
      <c r="U10" s="10"/>
    </row>
    <row r="11" spans="1:21" ht="12.9" customHeight="1" x14ac:dyDescent="0.25">
      <c r="A11" s="12" t="s">
        <v>8</v>
      </c>
      <c r="B11" s="8">
        <f>E11+H11+K11+N11+Q11</f>
        <v>48</v>
      </c>
      <c r="C11" s="8">
        <f>F11+I11+L11+O11+R11</f>
        <v>603.24</v>
      </c>
      <c r="D11" s="13"/>
      <c r="E11" s="10">
        <v>29</v>
      </c>
      <c r="F11" s="10">
        <v>421.71</v>
      </c>
      <c r="G11" s="13"/>
      <c r="H11" s="10">
        <v>14</v>
      </c>
      <c r="I11" s="10">
        <v>138.53</v>
      </c>
      <c r="J11" s="13"/>
      <c r="K11" s="10">
        <v>1</v>
      </c>
      <c r="L11" s="10">
        <v>21</v>
      </c>
      <c r="M11" s="14"/>
      <c r="N11" s="10">
        <v>1</v>
      </c>
      <c r="O11" s="10">
        <v>9</v>
      </c>
      <c r="P11" s="14"/>
      <c r="Q11" s="10">
        <v>3</v>
      </c>
      <c r="R11" s="10">
        <v>13</v>
      </c>
      <c r="S11" s="10"/>
      <c r="T11" s="10" t="s">
        <v>23</v>
      </c>
      <c r="U11" s="10" t="s">
        <v>23</v>
      </c>
    </row>
    <row r="12" spans="1:21" ht="12.9" customHeight="1" x14ac:dyDescent="0.25">
      <c r="A12" s="12" t="s">
        <v>10</v>
      </c>
      <c r="B12" s="8">
        <f>E12+H12+K12+Q12</f>
        <v>65</v>
      </c>
      <c r="C12" s="8">
        <f>F12+I12+L12+R12</f>
        <v>3416.8</v>
      </c>
      <c r="D12" s="13"/>
      <c r="E12" s="10">
        <v>51</v>
      </c>
      <c r="F12" s="10">
        <v>2644.91</v>
      </c>
      <c r="G12" s="13"/>
      <c r="H12" s="10">
        <v>10</v>
      </c>
      <c r="I12" s="10">
        <v>557.43000000000006</v>
      </c>
      <c r="J12" s="13"/>
      <c r="K12" s="10">
        <v>2</v>
      </c>
      <c r="L12" s="10">
        <v>110.46000000000001</v>
      </c>
      <c r="M12" s="13"/>
      <c r="N12" s="8" t="s">
        <v>23</v>
      </c>
      <c r="O12" s="8" t="s">
        <v>23</v>
      </c>
      <c r="P12" s="13"/>
      <c r="Q12" s="10">
        <v>2</v>
      </c>
      <c r="R12" s="10">
        <v>104</v>
      </c>
      <c r="S12" s="10"/>
      <c r="T12" s="10" t="s">
        <v>23</v>
      </c>
      <c r="U12" s="10" t="s">
        <v>23</v>
      </c>
    </row>
    <row r="13" spans="1:21" ht="12.9" customHeight="1" x14ac:dyDescent="0.25">
      <c r="A13" s="12" t="s">
        <v>11</v>
      </c>
      <c r="B13" s="8">
        <f>E13+H13</f>
        <v>23</v>
      </c>
      <c r="C13" s="8">
        <f>F13+I13</f>
        <v>2204.6799999999998</v>
      </c>
      <c r="D13" s="13"/>
      <c r="E13" s="10">
        <v>21</v>
      </c>
      <c r="F13" s="10">
        <v>2011.28</v>
      </c>
      <c r="G13" s="13"/>
      <c r="H13" s="10">
        <v>2</v>
      </c>
      <c r="I13" s="10">
        <v>193.39999999999998</v>
      </c>
      <c r="J13" s="13"/>
      <c r="K13" s="8" t="s">
        <v>23</v>
      </c>
      <c r="L13" s="8" t="s">
        <v>23</v>
      </c>
      <c r="M13" s="14"/>
      <c r="N13" s="8" t="s">
        <v>23</v>
      </c>
      <c r="O13" s="8" t="s">
        <v>23</v>
      </c>
      <c r="P13" s="14"/>
      <c r="Q13" s="8" t="s">
        <v>23</v>
      </c>
      <c r="R13" s="8" t="s">
        <v>23</v>
      </c>
      <c r="S13" s="14"/>
      <c r="T13" s="10" t="s">
        <v>23</v>
      </c>
      <c r="U13" s="10" t="s">
        <v>23</v>
      </c>
    </row>
    <row r="14" spans="1:21" ht="12.9" customHeight="1" x14ac:dyDescent="0.25">
      <c r="A14" s="12" t="s">
        <v>12</v>
      </c>
      <c r="B14" s="8">
        <f>E14+H14+K14</f>
        <v>38</v>
      </c>
      <c r="C14" s="8">
        <f>F14+I14+L14</f>
        <v>6226.01</v>
      </c>
      <c r="D14" s="13"/>
      <c r="E14" s="10">
        <v>25</v>
      </c>
      <c r="F14" s="10">
        <v>4020.6699999999996</v>
      </c>
      <c r="G14" s="13"/>
      <c r="H14" s="10">
        <v>11</v>
      </c>
      <c r="I14" s="10">
        <v>1867.3400000000001</v>
      </c>
      <c r="J14" s="13"/>
      <c r="K14" s="10">
        <v>2</v>
      </c>
      <c r="L14" s="10">
        <v>338</v>
      </c>
      <c r="M14" s="13"/>
      <c r="N14" s="8" t="s">
        <v>23</v>
      </c>
      <c r="O14" s="8" t="s">
        <v>23</v>
      </c>
      <c r="P14" s="13"/>
      <c r="Q14" s="8" t="s">
        <v>23</v>
      </c>
      <c r="R14" s="8" t="s">
        <v>23</v>
      </c>
      <c r="S14" s="10"/>
      <c r="T14" s="10" t="s">
        <v>23</v>
      </c>
      <c r="U14" s="10" t="s">
        <v>23</v>
      </c>
    </row>
    <row r="15" spans="1:21" ht="12.9" customHeight="1" x14ac:dyDescent="0.25">
      <c r="A15" s="12" t="s">
        <v>13</v>
      </c>
      <c r="B15" s="8">
        <f t="shared" ref="B15:B18" si="0">E15+H15+K15+N15+Q15</f>
        <v>79</v>
      </c>
      <c r="C15" s="8">
        <f t="shared" ref="C15:C18" si="1">F15+I15+L15+O15+R15</f>
        <v>25728.300000000003</v>
      </c>
      <c r="D15" s="13"/>
      <c r="E15" s="10">
        <v>57</v>
      </c>
      <c r="F15" s="10">
        <v>17817.750000000004</v>
      </c>
      <c r="G15" s="13"/>
      <c r="H15" s="10">
        <v>11</v>
      </c>
      <c r="I15" s="10">
        <v>3678.55</v>
      </c>
      <c r="J15" s="13"/>
      <c r="K15" s="10">
        <v>5</v>
      </c>
      <c r="L15" s="10">
        <v>2155</v>
      </c>
      <c r="M15" s="13"/>
      <c r="N15" s="10">
        <v>1</v>
      </c>
      <c r="O15" s="10">
        <v>235</v>
      </c>
      <c r="P15" s="13"/>
      <c r="Q15" s="10">
        <v>5</v>
      </c>
      <c r="R15" s="10">
        <v>1842</v>
      </c>
      <c r="S15" s="10"/>
      <c r="T15" s="10" t="s">
        <v>23</v>
      </c>
      <c r="U15" s="10" t="s">
        <v>23</v>
      </c>
    </row>
    <row r="16" spans="1:21" ht="12.9" customHeight="1" x14ac:dyDescent="0.25">
      <c r="A16" s="12" t="s">
        <v>14</v>
      </c>
      <c r="B16" s="8">
        <f t="shared" si="0"/>
        <v>48</v>
      </c>
      <c r="C16" s="8">
        <f t="shared" si="1"/>
        <v>34929.39</v>
      </c>
      <c r="D16" s="13"/>
      <c r="E16" s="10">
        <v>27</v>
      </c>
      <c r="F16" s="10">
        <v>19169.390000000003</v>
      </c>
      <c r="G16" s="13"/>
      <c r="H16" s="10">
        <v>9</v>
      </c>
      <c r="I16" s="10">
        <v>7070</v>
      </c>
      <c r="J16" s="13"/>
      <c r="K16" s="10">
        <v>7</v>
      </c>
      <c r="L16" s="10">
        <v>4893</v>
      </c>
      <c r="M16" s="13"/>
      <c r="N16" s="13">
        <v>1</v>
      </c>
      <c r="O16" s="13">
        <v>892</v>
      </c>
      <c r="P16" s="13"/>
      <c r="Q16" s="13">
        <v>4</v>
      </c>
      <c r="R16" s="13">
        <v>2905</v>
      </c>
      <c r="S16" s="10"/>
      <c r="T16" s="10" t="s">
        <v>23</v>
      </c>
      <c r="U16" s="10" t="s">
        <v>23</v>
      </c>
    </row>
    <row r="17" spans="1:21" ht="12.9" customHeight="1" x14ac:dyDescent="0.25">
      <c r="A17" s="12" t="s">
        <v>15</v>
      </c>
      <c r="B17" s="8">
        <f t="shared" si="0"/>
        <v>60</v>
      </c>
      <c r="C17" s="8">
        <f t="shared" si="1"/>
        <v>88962.389999999985</v>
      </c>
      <c r="D17" s="13"/>
      <c r="E17" s="10">
        <v>43</v>
      </c>
      <c r="F17" s="10">
        <v>64438.27</v>
      </c>
      <c r="G17" s="13"/>
      <c r="H17" s="10">
        <v>5</v>
      </c>
      <c r="I17" s="10">
        <v>7329</v>
      </c>
      <c r="J17" s="13"/>
      <c r="K17" s="10">
        <v>2</v>
      </c>
      <c r="L17" s="10">
        <v>3196.7200000000003</v>
      </c>
      <c r="M17" s="13"/>
      <c r="N17" s="10">
        <v>2</v>
      </c>
      <c r="O17" s="10">
        <v>2936.4</v>
      </c>
      <c r="P17" s="13"/>
      <c r="Q17" s="10">
        <v>8</v>
      </c>
      <c r="R17" s="10">
        <v>11062</v>
      </c>
      <c r="S17" s="10"/>
      <c r="T17" s="10" t="s">
        <v>23</v>
      </c>
      <c r="U17" s="10" t="s">
        <v>23</v>
      </c>
    </row>
    <row r="18" spans="1:21" ht="12.9" customHeight="1" x14ac:dyDescent="0.25">
      <c r="A18" s="12" t="s">
        <v>6</v>
      </c>
      <c r="B18" s="8">
        <f t="shared" si="0"/>
        <v>99</v>
      </c>
      <c r="C18" s="8">
        <f t="shared" si="1"/>
        <v>437197.23</v>
      </c>
      <c r="D18" s="13"/>
      <c r="E18" s="10">
        <v>80</v>
      </c>
      <c r="F18" s="10">
        <v>368382.46</v>
      </c>
      <c r="G18" s="13"/>
      <c r="H18" s="10">
        <v>5</v>
      </c>
      <c r="I18" s="10">
        <v>20815.3</v>
      </c>
      <c r="J18" s="13"/>
      <c r="K18" s="10">
        <v>2</v>
      </c>
      <c r="L18" s="10">
        <v>4567</v>
      </c>
      <c r="M18" s="13"/>
      <c r="N18" s="10">
        <v>2</v>
      </c>
      <c r="O18" s="10">
        <v>11935.470000000001</v>
      </c>
      <c r="P18" s="13"/>
      <c r="Q18" s="10">
        <v>10</v>
      </c>
      <c r="R18" s="10">
        <v>31497</v>
      </c>
      <c r="S18" s="10"/>
      <c r="T18" s="10" t="s">
        <v>23</v>
      </c>
      <c r="U18" s="10" t="s">
        <v>23</v>
      </c>
    </row>
    <row r="19" spans="1:21" ht="9.15" customHeight="1" x14ac:dyDescent="0.25">
      <c r="A19" s="15"/>
      <c r="B19" s="16"/>
      <c r="C19" s="8"/>
      <c r="D19" s="17"/>
      <c r="E19" s="10"/>
      <c r="F19" s="10"/>
      <c r="G19" s="13"/>
      <c r="H19" s="10"/>
      <c r="I19" s="10"/>
      <c r="J19" s="13"/>
      <c r="K19" s="10"/>
      <c r="L19" s="10"/>
      <c r="M19" s="13"/>
      <c r="N19" s="10"/>
      <c r="O19" s="10"/>
      <c r="P19" s="13"/>
      <c r="Q19" s="10"/>
      <c r="R19" s="10"/>
      <c r="S19" s="1"/>
      <c r="T19" s="1"/>
      <c r="U19" s="1"/>
    </row>
    <row r="20" spans="1:21" ht="12.9" customHeight="1" x14ac:dyDescent="0.25">
      <c r="A20" s="43" t="s">
        <v>9</v>
      </c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</row>
    <row r="21" spans="1:21" ht="13.5" customHeight="1" x14ac:dyDescent="0.25">
      <c r="A21" s="43" t="s">
        <v>21</v>
      </c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</row>
  </sheetData>
  <mergeCells count="19">
    <mergeCell ref="A1:U2"/>
    <mergeCell ref="A4:A7"/>
    <mergeCell ref="B4:C4"/>
    <mergeCell ref="E4:U4"/>
    <mergeCell ref="C5:C6"/>
    <mergeCell ref="E5:F5"/>
    <mergeCell ref="H5:I5"/>
    <mergeCell ref="K5:L5"/>
    <mergeCell ref="N5:O5"/>
    <mergeCell ref="Q5:R5"/>
    <mergeCell ref="A20:U20"/>
    <mergeCell ref="A21:U21"/>
    <mergeCell ref="T5:U5"/>
    <mergeCell ref="F6:F7"/>
    <mergeCell ref="I6:I7"/>
    <mergeCell ref="L6:L7"/>
    <mergeCell ref="O6:O7"/>
    <mergeCell ref="R6:R7"/>
    <mergeCell ref="U6:U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1"/>
  <sheetViews>
    <sheetView showGridLines="0" workbookViewId="0">
      <selection sqref="A1:U2"/>
    </sheetView>
  </sheetViews>
  <sheetFormatPr baseColWidth="10" defaultRowHeight="15" x14ac:dyDescent="0.25"/>
  <cols>
    <col min="1" max="1" width="15.4140625" customWidth="1"/>
    <col min="2" max="2" width="5.58203125" customWidth="1"/>
    <col min="3" max="3" width="7" customWidth="1"/>
    <col min="4" max="4" width="1" customWidth="1"/>
    <col min="5" max="5" width="6" customWidth="1"/>
    <col min="6" max="6" width="6.6640625" customWidth="1"/>
    <col min="7" max="7" width="0.9140625" customWidth="1"/>
    <col min="8" max="8" width="5.9140625" customWidth="1"/>
    <col min="9" max="9" width="6.6640625" customWidth="1"/>
    <col min="10" max="10" width="0.9140625" customWidth="1"/>
    <col min="11" max="11" width="5.25" customWidth="1"/>
    <col min="12" max="12" width="6.6640625" customWidth="1"/>
    <col min="13" max="13" width="0.9140625" customWidth="1"/>
    <col min="14" max="14" width="5.08203125" customWidth="1"/>
    <col min="15" max="15" width="6.25" customWidth="1"/>
    <col min="16" max="16" width="0.9140625" customWidth="1"/>
    <col min="17" max="17" width="4.6640625" customWidth="1"/>
    <col min="18" max="18" width="6.25" customWidth="1"/>
    <col min="19" max="19" width="1.08203125" customWidth="1"/>
    <col min="20" max="20" width="6.25" customWidth="1"/>
    <col min="21" max="21" width="6.33203125" customWidth="1"/>
  </cols>
  <sheetData>
    <row r="1" spans="1:21" ht="15" customHeight="1" x14ac:dyDescent="0.25">
      <c r="A1" s="47" t="s">
        <v>36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</row>
    <row r="2" spans="1:21" ht="15" customHeight="1" x14ac:dyDescent="0.25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</row>
    <row r="3" spans="1:21" ht="9.15" customHeight="1" x14ac:dyDescent="0.3">
      <c r="A3" s="29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</row>
    <row r="4" spans="1:21" ht="12.9" customHeight="1" x14ac:dyDescent="0.25">
      <c r="A4" s="48" t="s">
        <v>7</v>
      </c>
      <c r="B4" s="44" t="s">
        <v>4</v>
      </c>
      <c r="C4" s="44"/>
      <c r="D4" s="42"/>
      <c r="E4" s="44" t="s">
        <v>5</v>
      </c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</row>
    <row r="5" spans="1:21" ht="24.75" customHeight="1" x14ac:dyDescent="0.25">
      <c r="A5" s="48"/>
      <c r="B5" s="41" t="s">
        <v>16</v>
      </c>
      <c r="C5" s="45" t="s">
        <v>18</v>
      </c>
      <c r="D5" s="42"/>
      <c r="E5" s="44" t="s">
        <v>0</v>
      </c>
      <c r="F5" s="44"/>
      <c r="G5" s="42"/>
      <c r="H5" s="44" t="s">
        <v>1</v>
      </c>
      <c r="I5" s="44"/>
      <c r="J5" s="42"/>
      <c r="K5" s="44" t="s">
        <v>2</v>
      </c>
      <c r="L5" s="44"/>
      <c r="M5" s="42"/>
      <c r="N5" s="44" t="s">
        <v>3</v>
      </c>
      <c r="O5" s="44"/>
      <c r="P5" s="42"/>
      <c r="Q5" s="44" t="s">
        <v>22</v>
      </c>
      <c r="R5" s="44"/>
      <c r="S5" s="42"/>
      <c r="T5" s="44" t="s">
        <v>19</v>
      </c>
      <c r="U5" s="44"/>
    </row>
    <row r="6" spans="1:21" ht="12.9" customHeight="1" x14ac:dyDescent="0.25">
      <c r="A6" s="48"/>
      <c r="B6" s="5" t="s">
        <v>17</v>
      </c>
      <c r="C6" s="46"/>
      <c r="D6" s="6"/>
      <c r="E6" s="41" t="s">
        <v>16</v>
      </c>
      <c r="F6" s="45" t="s">
        <v>18</v>
      </c>
      <c r="G6" s="6"/>
      <c r="H6" s="41" t="s">
        <v>16</v>
      </c>
      <c r="I6" s="45" t="s">
        <v>18</v>
      </c>
      <c r="J6" s="6"/>
      <c r="K6" s="41" t="s">
        <v>16</v>
      </c>
      <c r="L6" s="45" t="s">
        <v>18</v>
      </c>
      <c r="M6" s="6"/>
      <c r="N6" s="41" t="s">
        <v>16</v>
      </c>
      <c r="O6" s="45" t="s">
        <v>18</v>
      </c>
      <c r="P6" s="6"/>
      <c r="Q6" s="41" t="s">
        <v>16</v>
      </c>
      <c r="R6" s="45" t="s">
        <v>18</v>
      </c>
      <c r="S6" s="40"/>
      <c r="T6" s="41" t="s">
        <v>16</v>
      </c>
      <c r="U6" s="45" t="s">
        <v>18</v>
      </c>
    </row>
    <row r="7" spans="1:21" ht="12.9" customHeight="1" x14ac:dyDescent="0.25">
      <c r="A7" s="48"/>
      <c r="B7" s="3"/>
      <c r="C7" s="3"/>
      <c r="D7" s="6"/>
      <c r="E7" s="5" t="s">
        <v>17</v>
      </c>
      <c r="F7" s="46"/>
      <c r="G7" s="6"/>
      <c r="H7" s="5" t="s">
        <v>17</v>
      </c>
      <c r="I7" s="46"/>
      <c r="J7" s="6"/>
      <c r="K7" s="5" t="s">
        <v>17</v>
      </c>
      <c r="L7" s="46"/>
      <c r="M7" s="6"/>
      <c r="N7" s="5" t="s">
        <v>17</v>
      </c>
      <c r="O7" s="46"/>
      <c r="P7" s="6"/>
      <c r="Q7" s="5" t="s">
        <v>17</v>
      </c>
      <c r="R7" s="46"/>
      <c r="S7" s="40"/>
      <c r="T7" s="5" t="s">
        <v>17</v>
      </c>
      <c r="U7" s="46"/>
    </row>
    <row r="8" spans="1:21" ht="9.15" customHeight="1" x14ac:dyDescent="0.25">
      <c r="A8" s="3"/>
      <c r="B8" s="3"/>
      <c r="C8" s="3"/>
      <c r="D8" s="7"/>
      <c r="E8" s="3"/>
      <c r="F8" s="3"/>
      <c r="G8" s="7"/>
      <c r="H8" s="3"/>
      <c r="I8" s="3"/>
      <c r="J8" s="7"/>
      <c r="K8" s="8"/>
      <c r="L8" s="8"/>
      <c r="M8" s="8"/>
      <c r="N8" s="8"/>
      <c r="O8" s="8"/>
      <c r="P8" s="8"/>
      <c r="Q8" s="8"/>
      <c r="R8" s="8"/>
      <c r="S8" s="8"/>
      <c r="T8" s="8"/>
      <c r="U8" s="8"/>
    </row>
    <row r="9" spans="1:21" ht="12.9" customHeight="1" x14ac:dyDescent="0.25">
      <c r="A9" s="1" t="s">
        <v>4</v>
      </c>
      <c r="B9" s="8">
        <f>SUM(B11:B18)</f>
        <v>354</v>
      </c>
      <c r="C9" s="8">
        <f>SUM(C11:C18)</f>
        <v>522212.08</v>
      </c>
      <c r="D9" s="9"/>
      <c r="E9" s="8">
        <f>SUM(E11:E18)</f>
        <v>117</v>
      </c>
      <c r="F9" s="8">
        <f>SUM(F11:F18)</f>
        <v>49714.080000000002</v>
      </c>
      <c r="G9" s="9"/>
      <c r="H9" s="8">
        <f>SUM(H11:H18)</f>
        <v>35</v>
      </c>
      <c r="I9" s="8">
        <f>SUM(I11:I18)</f>
        <v>26250</v>
      </c>
      <c r="J9" s="9"/>
      <c r="K9" s="8">
        <f>SUM(K11:K18)</f>
        <v>13</v>
      </c>
      <c r="L9" s="8">
        <f>SUM(L11:L18)</f>
        <v>17330</v>
      </c>
      <c r="M9" s="8"/>
      <c r="N9" s="8">
        <f>SUM(N11:N18)</f>
        <v>4</v>
      </c>
      <c r="O9" s="8">
        <f>SUM(O11:O18)</f>
        <v>5653</v>
      </c>
      <c r="P9" s="8"/>
      <c r="Q9" s="8">
        <f>SUM(Q11:Q18)</f>
        <v>185</v>
      </c>
      <c r="R9" s="8">
        <f>SUM(R11:R18)</f>
        <v>423265</v>
      </c>
      <c r="S9" s="8"/>
      <c r="T9" s="8" t="s">
        <v>23</v>
      </c>
      <c r="U9" s="8" t="s">
        <v>23</v>
      </c>
    </row>
    <row r="10" spans="1:21" ht="9.15" customHeight="1" x14ac:dyDescent="0.25">
      <c r="A10" s="1"/>
      <c r="B10" s="10"/>
      <c r="C10" s="10"/>
      <c r="D10" s="10"/>
      <c r="E10" s="10"/>
      <c r="F10" s="10"/>
      <c r="G10" s="11"/>
      <c r="H10" s="10"/>
      <c r="I10" s="10"/>
      <c r="J10" s="11"/>
      <c r="K10" s="10"/>
      <c r="L10" s="10"/>
      <c r="M10" s="11"/>
      <c r="N10" s="10"/>
      <c r="O10" s="10"/>
      <c r="P10" s="11"/>
      <c r="Q10" s="10"/>
      <c r="R10" s="10"/>
      <c r="S10" s="10"/>
      <c r="T10" s="10"/>
      <c r="U10" s="10"/>
    </row>
    <row r="11" spans="1:21" ht="12.9" customHeight="1" x14ac:dyDescent="0.25">
      <c r="A11" s="12" t="s">
        <v>8</v>
      </c>
      <c r="B11" s="8">
        <f>E11+H11+N11+Q11</f>
        <v>35</v>
      </c>
      <c r="C11" s="8">
        <f>F11+I11+O11+R11</f>
        <v>544.79999999999995</v>
      </c>
      <c r="D11" s="13"/>
      <c r="E11" s="10">
        <v>22</v>
      </c>
      <c r="F11" s="10">
        <v>322.8</v>
      </c>
      <c r="G11" s="13"/>
      <c r="H11" s="10">
        <v>6</v>
      </c>
      <c r="I11" s="10">
        <v>96</v>
      </c>
      <c r="J11" s="13"/>
      <c r="K11" s="10" t="s">
        <v>23</v>
      </c>
      <c r="L11" s="10" t="s">
        <v>23</v>
      </c>
      <c r="M11" s="14"/>
      <c r="N11" s="10">
        <v>1</v>
      </c>
      <c r="O11" s="10">
        <v>25</v>
      </c>
      <c r="P11" s="14"/>
      <c r="Q11" s="10">
        <v>6</v>
      </c>
      <c r="R11" s="10">
        <v>101</v>
      </c>
      <c r="S11" s="10"/>
      <c r="T11" s="10" t="s">
        <v>23</v>
      </c>
      <c r="U11" s="10" t="s">
        <v>23</v>
      </c>
    </row>
    <row r="12" spans="1:21" ht="12.9" customHeight="1" x14ac:dyDescent="0.25">
      <c r="A12" s="12" t="s">
        <v>10</v>
      </c>
      <c r="B12" s="8">
        <f>E12+H12+K12+Q12</f>
        <v>46</v>
      </c>
      <c r="C12" s="8">
        <f>F12+I12+L12+R12</f>
        <v>2431.08</v>
      </c>
      <c r="D12" s="13"/>
      <c r="E12" s="10">
        <v>31</v>
      </c>
      <c r="F12" s="10">
        <v>1673.08</v>
      </c>
      <c r="G12" s="13"/>
      <c r="H12" s="10">
        <v>1</v>
      </c>
      <c r="I12" s="10">
        <v>77</v>
      </c>
      <c r="J12" s="13"/>
      <c r="K12" s="10">
        <v>1</v>
      </c>
      <c r="L12" s="10">
        <v>54</v>
      </c>
      <c r="M12" s="13"/>
      <c r="N12" s="10" t="s">
        <v>23</v>
      </c>
      <c r="O12" s="10" t="s">
        <v>23</v>
      </c>
      <c r="P12" s="13"/>
      <c r="Q12" s="10">
        <v>13</v>
      </c>
      <c r="R12" s="10">
        <v>627</v>
      </c>
      <c r="S12" s="10"/>
      <c r="T12" s="10" t="s">
        <v>23</v>
      </c>
      <c r="U12" s="10" t="s">
        <v>23</v>
      </c>
    </row>
    <row r="13" spans="1:21" ht="12.9" customHeight="1" x14ac:dyDescent="0.25">
      <c r="A13" s="12" t="s">
        <v>11</v>
      </c>
      <c r="B13" s="8">
        <f t="shared" ref="B13:B14" si="0">E13+H13+K13+Q13</f>
        <v>18</v>
      </c>
      <c r="C13" s="8">
        <f t="shared" ref="C13:C14" si="1">F13+I13+L13+R13</f>
        <v>1683</v>
      </c>
      <c r="D13" s="13"/>
      <c r="E13" s="10">
        <v>12</v>
      </c>
      <c r="F13" s="10">
        <v>1135</v>
      </c>
      <c r="G13" s="13"/>
      <c r="H13" s="10">
        <v>1</v>
      </c>
      <c r="I13" s="10">
        <v>108</v>
      </c>
      <c r="J13" s="13"/>
      <c r="K13" s="10">
        <v>1</v>
      </c>
      <c r="L13" s="10">
        <v>84</v>
      </c>
      <c r="M13" s="14"/>
      <c r="N13" s="10" t="s">
        <v>23</v>
      </c>
      <c r="O13" s="10" t="s">
        <v>23</v>
      </c>
      <c r="P13" s="14"/>
      <c r="Q13" s="10">
        <v>4</v>
      </c>
      <c r="R13" s="10">
        <v>356</v>
      </c>
      <c r="S13" s="14"/>
      <c r="T13" s="10" t="s">
        <v>23</v>
      </c>
      <c r="U13" s="10" t="s">
        <v>23</v>
      </c>
    </row>
    <row r="14" spans="1:21" ht="12.9" customHeight="1" x14ac:dyDescent="0.25">
      <c r="A14" s="12" t="s">
        <v>12</v>
      </c>
      <c r="B14" s="8">
        <f t="shared" si="0"/>
        <v>29</v>
      </c>
      <c r="C14" s="8">
        <f t="shared" si="1"/>
        <v>4613</v>
      </c>
      <c r="D14" s="13"/>
      <c r="E14" s="10">
        <v>11</v>
      </c>
      <c r="F14" s="10">
        <v>1750</v>
      </c>
      <c r="G14" s="13"/>
      <c r="H14" s="10">
        <v>7</v>
      </c>
      <c r="I14" s="10">
        <v>1165</v>
      </c>
      <c r="J14" s="13"/>
      <c r="K14" s="10">
        <v>1</v>
      </c>
      <c r="L14" s="10">
        <v>185</v>
      </c>
      <c r="M14" s="13"/>
      <c r="N14" s="10" t="s">
        <v>23</v>
      </c>
      <c r="O14" s="10" t="s">
        <v>23</v>
      </c>
      <c r="P14" s="13"/>
      <c r="Q14" s="10">
        <v>10</v>
      </c>
      <c r="R14" s="10">
        <v>1513</v>
      </c>
      <c r="S14" s="10"/>
      <c r="T14" s="10" t="s">
        <v>23</v>
      </c>
      <c r="U14" s="10" t="s">
        <v>23</v>
      </c>
    </row>
    <row r="15" spans="1:21" ht="12.9" customHeight="1" x14ac:dyDescent="0.25">
      <c r="A15" s="12" t="s">
        <v>13</v>
      </c>
      <c r="B15" s="8">
        <f t="shared" ref="B15:C18" si="2">E15+H15+K15+N15+Q15</f>
        <v>76</v>
      </c>
      <c r="C15" s="8">
        <f t="shared" si="2"/>
        <v>26227</v>
      </c>
      <c r="D15" s="13"/>
      <c r="E15" s="10">
        <v>24</v>
      </c>
      <c r="F15" s="10">
        <v>7903</v>
      </c>
      <c r="G15" s="13"/>
      <c r="H15" s="10">
        <v>12</v>
      </c>
      <c r="I15" s="10">
        <v>3974</v>
      </c>
      <c r="J15" s="13"/>
      <c r="K15" s="10">
        <v>2</v>
      </c>
      <c r="L15" s="10">
        <v>610</v>
      </c>
      <c r="M15" s="13"/>
      <c r="N15" s="10">
        <v>1</v>
      </c>
      <c r="O15" s="10">
        <v>288</v>
      </c>
      <c r="P15" s="13"/>
      <c r="Q15" s="10">
        <v>37</v>
      </c>
      <c r="R15" s="10">
        <v>13452</v>
      </c>
      <c r="S15" s="10"/>
      <c r="T15" s="10" t="s">
        <v>23</v>
      </c>
      <c r="U15" s="10" t="s">
        <v>23</v>
      </c>
    </row>
    <row r="16" spans="1:21" ht="12.9" customHeight="1" x14ac:dyDescent="0.25">
      <c r="A16" s="12" t="s">
        <v>14</v>
      </c>
      <c r="B16" s="8">
        <f t="shared" ref="B16" si="3">E16+H16+K16+Q16</f>
        <v>33</v>
      </c>
      <c r="C16" s="8">
        <f t="shared" ref="C16" si="4">F16+I16+L16+R16</f>
        <v>21879</v>
      </c>
      <c r="D16" s="13"/>
      <c r="E16" s="10">
        <v>8</v>
      </c>
      <c r="F16" s="10">
        <v>5155</v>
      </c>
      <c r="G16" s="13"/>
      <c r="H16" s="10">
        <v>3</v>
      </c>
      <c r="I16" s="10">
        <v>1969</v>
      </c>
      <c r="J16" s="13"/>
      <c r="K16" s="10">
        <v>1</v>
      </c>
      <c r="L16" s="10">
        <v>782</v>
      </c>
      <c r="M16" s="13"/>
      <c r="N16" s="13" t="s">
        <v>23</v>
      </c>
      <c r="O16" s="13" t="s">
        <v>23</v>
      </c>
      <c r="P16" s="13"/>
      <c r="Q16" s="13">
        <v>21</v>
      </c>
      <c r="R16" s="13">
        <v>13973</v>
      </c>
      <c r="S16" s="10"/>
      <c r="T16" s="10" t="s">
        <v>23</v>
      </c>
      <c r="U16" s="10" t="s">
        <v>23</v>
      </c>
    </row>
    <row r="17" spans="1:21" ht="12.9" customHeight="1" x14ac:dyDescent="0.25">
      <c r="A17" s="12" t="s">
        <v>15</v>
      </c>
      <c r="B17" s="8">
        <f t="shared" si="2"/>
        <v>41</v>
      </c>
      <c r="C17" s="8">
        <f t="shared" si="2"/>
        <v>63161.2</v>
      </c>
      <c r="D17" s="13"/>
      <c r="E17" s="10">
        <v>4</v>
      </c>
      <c r="F17" s="10">
        <v>6682.2</v>
      </c>
      <c r="G17" s="13"/>
      <c r="H17" s="10">
        <v>2</v>
      </c>
      <c r="I17" s="10">
        <v>2829</v>
      </c>
      <c r="J17" s="13"/>
      <c r="K17" s="10">
        <v>3</v>
      </c>
      <c r="L17" s="10">
        <v>4094</v>
      </c>
      <c r="M17" s="13"/>
      <c r="N17" s="10">
        <v>1</v>
      </c>
      <c r="O17" s="10">
        <v>1139</v>
      </c>
      <c r="P17" s="13"/>
      <c r="Q17" s="10">
        <v>31</v>
      </c>
      <c r="R17" s="10">
        <v>48417</v>
      </c>
      <c r="S17" s="10"/>
      <c r="T17" s="10" t="s">
        <v>23</v>
      </c>
      <c r="U17" s="10" t="s">
        <v>23</v>
      </c>
    </row>
    <row r="18" spans="1:21" ht="12.9" customHeight="1" x14ac:dyDescent="0.25">
      <c r="A18" s="12" t="s">
        <v>6</v>
      </c>
      <c r="B18" s="8">
        <f t="shared" si="2"/>
        <v>76</v>
      </c>
      <c r="C18" s="8">
        <f t="shared" si="2"/>
        <v>401673</v>
      </c>
      <c r="D18" s="13"/>
      <c r="E18" s="10">
        <v>5</v>
      </c>
      <c r="F18" s="10">
        <v>25093</v>
      </c>
      <c r="G18" s="13"/>
      <c r="H18" s="10">
        <v>3</v>
      </c>
      <c r="I18" s="10">
        <v>16032</v>
      </c>
      <c r="J18" s="13"/>
      <c r="K18" s="10">
        <v>4</v>
      </c>
      <c r="L18" s="10">
        <v>11521</v>
      </c>
      <c r="M18" s="13"/>
      <c r="N18" s="10">
        <v>1</v>
      </c>
      <c r="O18" s="10">
        <v>4201</v>
      </c>
      <c r="P18" s="13"/>
      <c r="Q18" s="10">
        <v>63</v>
      </c>
      <c r="R18" s="10">
        <v>344826</v>
      </c>
      <c r="S18" s="10"/>
      <c r="T18" s="10" t="s">
        <v>23</v>
      </c>
      <c r="U18" s="10" t="s">
        <v>23</v>
      </c>
    </row>
    <row r="19" spans="1:21" ht="9.15" customHeight="1" x14ac:dyDescent="0.25">
      <c r="A19" s="15"/>
      <c r="B19" s="16"/>
      <c r="C19" s="8"/>
      <c r="D19" s="17"/>
      <c r="E19" s="10"/>
      <c r="F19" s="10"/>
      <c r="G19" s="13"/>
      <c r="H19" s="10"/>
      <c r="I19" s="10"/>
      <c r="J19" s="13"/>
      <c r="K19" s="10"/>
      <c r="L19" s="10"/>
      <c r="M19" s="13"/>
      <c r="N19" s="10"/>
      <c r="O19" s="10"/>
      <c r="P19" s="13"/>
      <c r="Q19" s="10"/>
      <c r="R19" s="10"/>
      <c r="S19" s="1"/>
      <c r="T19" s="1"/>
      <c r="U19" s="1"/>
    </row>
    <row r="20" spans="1:21" ht="12.9" customHeight="1" x14ac:dyDescent="0.25">
      <c r="A20" s="43" t="s">
        <v>9</v>
      </c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</row>
    <row r="21" spans="1:21" ht="13.5" customHeight="1" x14ac:dyDescent="0.25">
      <c r="A21" s="43" t="s">
        <v>21</v>
      </c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</row>
  </sheetData>
  <mergeCells count="19">
    <mergeCell ref="A20:U20"/>
    <mergeCell ref="A21:U21"/>
    <mergeCell ref="T5:U5"/>
    <mergeCell ref="F6:F7"/>
    <mergeCell ref="I6:I7"/>
    <mergeCell ref="L6:L7"/>
    <mergeCell ref="O6:O7"/>
    <mergeCell ref="R6:R7"/>
    <mergeCell ref="U6:U7"/>
    <mergeCell ref="A1:U2"/>
    <mergeCell ref="A4:A7"/>
    <mergeCell ref="B4:C4"/>
    <mergeCell ref="E4:U4"/>
    <mergeCell ref="C5:C6"/>
    <mergeCell ref="E5:F5"/>
    <mergeCell ref="H5:I5"/>
    <mergeCell ref="K5:L5"/>
    <mergeCell ref="N5:O5"/>
    <mergeCell ref="Q5:R5"/>
  </mergeCells>
  <pageMargins left="0.7" right="0.7" top="0.75" bottom="0.75" header="0.3" footer="0.3"/>
  <ignoredErrors>
    <ignoredError sqref="B15:C15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1"/>
  <sheetViews>
    <sheetView showGridLines="0" workbookViewId="0">
      <selection sqref="A1:U2"/>
    </sheetView>
  </sheetViews>
  <sheetFormatPr baseColWidth="10" defaultRowHeight="15" x14ac:dyDescent="0.25"/>
  <cols>
    <col min="1" max="1" width="15.4140625" customWidth="1"/>
    <col min="2" max="2" width="5.58203125" customWidth="1"/>
    <col min="3" max="3" width="7" customWidth="1"/>
    <col min="4" max="4" width="1" customWidth="1"/>
    <col min="5" max="5" width="6" customWidth="1"/>
    <col min="6" max="6" width="6.6640625" customWidth="1"/>
    <col min="7" max="7" width="0.9140625" customWidth="1"/>
    <col min="8" max="8" width="5.9140625" customWidth="1"/>
    <col min="9" max="9" width="6.6640625" customWidth="1"/>
    <col min="10" max="10" width="0.9140625" customWidth="1"/>
    <col min="11" max="11" width="5.25" customWidth="1"/>
    <col min="12" max="12" width="6.6640625" customWidth="1"/>
    <col min="13" max="13" width="0.9140625" customWidth="1"/>
    <col min="14" max="14" width="5.08203125" customWidth="1"/>
    <col min="15" max="15" width="6.25" customWidth="1"/>
    <col min="16" max="16" width="0.9140625" customWidth="1"/>
    <col min="17" max="17" width="4.6640625" customWidth="1"/>
    <col min="18" max="18" width="6.25" customWidth="1"/>
    <col min="19" max="19" width="1.08203125" customWidth="1"/>
    <col min="20" max="20" width="6.25" customWidth="1"/>
    <col min="21" max="21" width="6.33203125" customWidth="1"/>
  </cols>
  <sheetData>
    <row r="1" spans="1:21" ht="15" customHeight="1" x14ac:dyDescent="0.25">
      <c r="A1" s="47" t="s">
        <v>34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</row>
    <row r="2" spans="1:21" ht="15" customHeight="1" x14ac:dyDescent="0.25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</row>
    <row r="3" spans="1:21" ht="9.15" customHeight="1" x14ac:dyDescent="0.3">
      <c r="A3" s="29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</row>
    <row r="4" spans="1:21" ht="12.9" customHeight="1" x14ac:dyDescent="0.25">
      <c r="A4" s="48" t="s">
        <v>7</v>
      </c>
      <c r="B4" s="44" t="s">
        <v>4</v>
      </c>
      <c r="C4" s="44"/>
      <c r="D4" s="36"/>
      <c r="E4" s="44" t="s">
        <v>5</v>
      </c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</row>
    <row r="5" spans="1:21" ht="24.75" customHeight="1" x14ac:dyDescent="0.25">
      <c r="A5" s="48"/>
      <c r="B5" s="35" t="s">
        <v>16</v>
      </c>
      <c r="C5" s="45" t="s">
        <v>18</v>
      </c>
      <c r="D5" s="36"/>
      <c r="E5" s="44" t="s">
        <v>0</v>
      </c>
      <c r="F5" s="44"/>
      <c r="G5" s="36"/>
      <c r="H5" s="44" t="s">
        <v>1</v>
      </c>
      <c r="I5" s="44"/>
      <c r="J5" s="36"/>
      <c r="K5" s="44" t="s">
        <v>2</v>
      </c>
      <c r="L5" s="44"/>
      <c r="M5" s="36"/>
      <c r="N5" s="44" t="s">
        <v>3</v>
      </c>
      <c r="O5" s="44"/>
      <c r="P5" s="36"/>
      <c r="Q5" s="44" t="s">
        <v>22</v>
      </c>
      <c r="R5" s="44"/>
      <c r="S5" s="36"/>
      <c r="T5" s="44" t="s">
        <v>19</v>
      </c>
      <c r="U5" s="44"/>
    </row>
    <row r="6" spans="1:21" ht="12.9" customHeight="1" x14ac:dyDescent="0.25">
      <c r="A6" s="48"/>
      <c r="B6" s="5" t="s">
        <v>17</v>
      </c>
      <c r="C6" s="46"/>
      <c r="D6" s="6"/>
      <c r="E6" s="35" t="s">
        <v>16</v>
      </c>
      <c r="F6" s="45" t="s">
        <v>18</v>
      </c>
      <c r="G6" s="6"/>
      <c r="H6" s="35" t="s">
        <v>16</v>
      </c>
      <c r="I6" s="45" t="s">
        <v>18</v>
      </c>
      <c r="J6" s="6"/>
      <c r="K6" s="35" t="s">
        <v>16</v>
      </c>
      <c r="L6" s="45" t="s">
        <v>18</v>
      </c>
      <c r="M6" s="6"/>
      <c r="N6" s="35" t="s">
        <v>16</v>
      </c>
      <c r="O6" s="45" t="s">
        <v>18</v>
      </c>
      <c r="P6" s="6"/>
      <c r="Q6" s="35" t="s">
        <v>16</v>
      </c>
      <c r="R6" s="45" t="s">
        <v>18</v>
      </c>
      <c r="S6" s="34"/>
      <c r="T6" s="35" t="s">
        <v>16</v>
      </c>
      <c r="U6" s="45" t="s">
        <v>18</v>
      </c>
    </row>
    <row r="7" spans="1:21" ht="12.9" customHeight="1" x14ac:dyDescent="0.25">
      <c r="A7" s="48"/>
      <c r="B7" s="3"/>
      <c r="C7" s="3"/>
      <c r="D7" s="6"/>
      <c r="E7" s="5" t="s">
        <v>17</v>
      </c>
      <c r="F7" s="46"/>
      <c r="G7" s="6"/>
      <c r="H7" s="5" t="s">
        <v>17</v>
      </c>
      <c r="I7" s="46"/>
      <c r="J7" s="6"/>
      <c r="K7" s="5" t="s">
        <v>17</v>
      </c>
      <c r="L7" s="46"/>
      <c r="M7" s="6"/>
      <c r="N7" s="5" t="s">
        <v>17</v>
      </c>
      <c r="O7" s="46"/>
      <c r="P7" s="6"/>
      <c r="Q7" s="5" t="s">
        <v>17</v>
      </c>
      <c r="R7" s="46"/>
      <c r="S7" s="34"/>
      <c r="T7" s="5" t="s">
        <v>17</v>
      </c>
      <c r="U7" s="46"/>
    </row>
    <row r="8" spans="1:21" ht="9.15" customHeight="1" x14ac:dyDescent="0.25">
      <c r="A8" s="3"/>
      <c r="B8" s="3"/>
      <c r="C8" s="3"/>
      <c r="D8" s="7"/>
      <c r="E8" s="3"/>
      <c r="F8" s="3"/>
      <c r="G8" s="7"/>
      <c r="H8" s="3"/>
      <c r="I8" s="3"/>
      <c r="J8" s="7"/>
      <c r="K8" s="8"/>
      <c r="L8" s="8"/>
      <c r="M8" s="8"/>
      <c r="N8" s="8"/>
      <c r="O8" s="8"/>
      <c r="P8" s="8"/>
      <c r="Q8" s="8"/>
      <c r="R8" s="8"/>
      <c r="S8" s="8"/>
      <c r="T8" s="8"/>
      <c r="U8" s="8"/>
    </row>
    <row r="9" spans="1:21" ht="12.9" customHeight="1" x14ac:dyDescent="0.25">
      <c r="A9" s="1" t="s">
        <v>4</v>
      </c>
      <c r="B9" s="8">
        <f>SUM(B11:B18)</f>
        <v>450</v>
      </c>
      <c r="C9" s="8">
        <f>SUM(C11:C18)</f>
        <v>479249</v>
      </c>
      <c r="D9" s="9"/>
      <c r="E9" s="8">
        <f>SUM(E11:E18)</f>
        <v>180</v>
      </c>
      <c r="F9" s="8">
        <f>SUM(F11:F18)</f>
        <v>120853</v>
      </c>
      <c r="G9" s="9"/>
      <c r="H9" s="8">
        <f>SUM(H11:H18)</f>
        <v>65</v>
      </c>
      <c r="I9" s="8">
        <f>SUM(I11:I18)</f>
        <v>38229</v>
      </c>
      <c r="J9" s="9"/>
      <c r="K9" s="8">
        <f>SUM(K11:K18)</f>
        <v>17</v>
      </c>
      <c r="L9" s="8">
        <f>SUM(L11:L18)</f>
        <v>15254</v>
      </c>
      <c r="M9" s="8"/>
      <c r="N9" s="8">
        <f>SUM(N11:N18)</f>
        <v>3</v>
      </c>
      <c r="O9" s="8">
        <f>SUM(O11:O18)</f>
        <v>852</v>
      </c>
      <c r="P9" s="8"/>
      <c r="Q9" s="8">
        <f>SUM(Q11:Q18)</f>
        <v>185</v>
      </c>
      <c r="R9" s="8">
        <f>SUM(R11:R18)</f>
        <v>304061</v>
      </c>
      <c r="S9" s="8"/>
      <c r="T9" s="8" t="s">
        <v>23</v>
      </c>
      <c r="U9" s="8" t="s">
        <v>23</v>
      </c>
    </row>
    <row r="10" spans="1:21" ht="9.15" customHeight="1" x14ac:dyDescent="0.25">
      <c r="A10" s="1"/>
      <c r="B10" s="10"/>
      <c r="C10" s="10"/>
      <c r="D10" s="10"/>
      <c r="E10" s="10"/>
      <c r="F10" s="10"/>
      <c r="G10" s="11"/>
      <c r="H10" s="10"/>
      <c r="I10" s="10"/>
      <c r="J10" s="11"/>
      <c r="K10" s="10"/>
      <c r="L10" s="10"/>
      <c r="M10" s="11"/>
      <c r="N10" s="10"/>
      <c r="O10" s="10"/>
      <c r="P10" s="11"/>
      <c r="Q10" s="10"/>
      <c r="R10" s="10"/>
      <c r="S10" s="10"/>
      <c r="T10" s="10"/>
      <c r="U10" s="10"/>
    </row>
    <row r="11" spans="1:21" ht="12.9" customHeight="1" x14ac:dyDescent="0.25">
      <c r="A11" s="12" t="s">
        <v>8</v>
      </c>
      <c r="B11" s="8">
        <f>E11+H11+K11+Q11</f>
        <v>44</v>
      </c>
      <c r="C11" s="8">
        <f>F11+I11+L11+R11</f>
        <v>545</v>
      </c>
      <c r="D11" s="13"/>
      <c r="E11" s="10">
        <v>31</v>
      </c>
      <c r="F11" s="10">
        <v>350</v>
      </c>
      <c r="G11" s="13"/>
      <c r="H11" s="10">
        <v>4</v>
      </c>
      <c r="I11" s="10">
        <v>52</v>
      </c>
      <c r="J11" s="13"/>
      <c r="K11" s="10">
        <v>1</v>
      </c>
      <c r="L11" s="10">
        <v>26</v>
      </c>
      <c r="M11" s="14"/>
      <c r="N11" s="10" t="s">
        <v>23</v>
      </c>
      <c r="O11" s="10" t="s">
        <v>23</v>
      </c>
      <c r="P11" s="14"/>
      <c r="Q11" s="10">
        <v>8</v>
      </c>
      <c r="R11" s="10">
        <v>117</v>
      </c>
      <c r="S11" s="10"/>
      <c r="T11" s="10" t="s">
        <v>23</v>
      </c>
      <c r="U11" s="10" t="s">
        <v>23</v>
      </c>
    </row>
    <row r="12" spans="1:21" ht="12.9" customHeight="1" x14ac:dyDescent="0.25">
      <c r="A12" s="12" t="s">
        <v>10</v>
      </c>
      <c r="B12" s="8">
        <f>E12+H12+K12+N12+Q12</f>
        <v>63</v>
      </c>
      <c r="C12" s="8">
        <f>F12+I12+L12+O12+R12</f>
        <v>3277</v>
      </c>
      <c r="D12" s="13"/>
      <c r="E12" s="10">
        <v>28</v>
      </c>
      <c r="F12" s="10">
        <v>1560</v>
      </c>
      <c r="G12" s="13"/>
      <c r="H12" s="10">
        <v>11</v>
      </c>
      <c r="I12" s="10">
        <v>561</v>
      </c>
      <c r="J12" s="13"/>
      <c r="K12" s="10">
        <v>1</v>
      </c>
      <c r="L12" s="10">
        <v>49</v>
      </c>
      <c r="M12" s="13"/>
      <c r="N12" s="10">
        <v>1</v>
      </c>
      <c r="O12" s="10">
        <v>66</v>
      </c>
      <c r="P12" s="13"/>
      <c r="Q12" s="10">
        <v>22</v>
      </c>
      <c r="R12" s="10">
        <v>1041</v>
      </c>
      <c r="S12" s="10"/>
      <c r="T12" s="10" t="s">
        <v>23</v>
      </c>
      <c r="U12" s="10" t="s">
        <v>23</v>
      </c>
    </row>
    <row r="13" spans="1:21" ht="12.9" customHeight="1" x14ac:dyDescent="0.25">
      <c r="A13" s="12" t="s">
        <v>11</v>
      </c>
      <c r="B13" s="8">
        <f>E13+H13+K13+Q13</f>
        <v>31</v>
      </c>
      <c r="C13" s="8">
        <f>F13+I13+L13+R13</f>
        <v>3008</v>
      </c>
      <c r="D13" s="13"/>
      <c r="E13" s="10">
        <v>19</v>
      </c>
      <c r="F13" s="10">
        <v>1813</v>
      </c>
      <c r="G13" s="13"/>
      <c r="H13" s="10">
        <v>5</v>
      </c>
      <c r="I13" s="10">
        <v>531</v>
      </c>
      <c r="J13" s="13"/>
      <c r="K13" s="10">
        <v>1</v>
      </c>
      <c r="L13" s="10">
        <v>95</v>
      </c>
      <c r="M13" s="14"/>
      <c r="N13" s="10" t="s">
        <v>23</v>
      </c>
      <c r="O13" s="10" t="s">
        <v>23</v>
      </c>
      <c r="P13" s="14"/>
      <c r="Q13" s="10">
        <v>6</v>
      </c>
      <c r="R13" s="10">
        <v>569</v>
      </c>
      <c r="S13" s="14"/>
      <c r="T13" s="10" t="s">
        <v>23</v>
      </c>
      <c r="U13" s="10" t="s">
        <v>23</v>
      </c>
    </row>
    <row r="14" spans="1:21" ht="12.9" customHeight="1" x14ac:dyDescent="0.25">
      <c r="A14" s="12" t="s">
        <v>12</v>
      </c>
      <c r="B14" s="8">
        <f>E14+H14+Q14</f>
        <v>35</v>
      </c>
      <c r="C14" s="8">
        <f>F14+I14+R14</f>
        <v>5581</v>
      </c>
      <c r="D14" s="13"/>
      <c r="E14" s="10">
        <v>13</v>
      </c>
      <c r="F14" s="10">
        <v>2158</v>
      </c>
      <c r="G14" s="13"/>
      <c r="H14" s="10">
        <v>11</v>
      </c>
      <c r="I14" s="10">
        <v>1686</v>
      </c>
      <c r="J14" s="13"/>
      <c r="K14" s="10" t="s">
        <v>23</v>
      </c>
      <c r="L14" s="10" t="s">
        <v>23</v>
      </c>
      <c r="M14" s="13"/>
      <c r="N14" s="10" t="s">
        <v>23</v>
      </c>
      <c r="O14" s="10" t="s">
        <v>23</v>
      </c>
      <c r="P14" s="13"/>
      <c r="Q14" s="10">
        <v>11</v>
      </c>
      <c r="R14" s="10">
        <v>1737</v>
      </c>
      <c r="S14" s="10"/>
      <c r="T14" s="10" t="s">
        <v>23</v>
      </c>
      <c r="U14" s="10" t="s">
        <v>23</v>
      </c>
    </row>
    <row r="15" spans="1:21" ht="12.9" customHeight="1" x14ac:dyDescent="0.25">
      <c r="A15" s="12" t="s">
        <v>13</v>
      </c>
      <c r="B15" s="8">
        <f>E15+H15+K15+N15+Q15</f>
        <v>103</v>
      </c>
      <c r="C15" s="8">
        <f>F15+I15+L15+O15+R15</f>
        <v>34676</v>
      </c>
      <c r="D15" s="13"/>
      <c r="E15" s="10">
        <v>36</v>
      </c>
      <c r="F15" s="10">
        <v>11266</v>
      </c>
      <c r="G15" s="13"/>
      <c r="H15" s="10">
        <v>17</v>
      </c>
      <c r="I15" s="10">
        <v>6243</v>
      </c>
      <c r="J15" s="13"/>
      <c r="K15" s="10">
        <v>7</v>
      </c>
      <c r="L15" s="10">
        <v>2701</v>
      </c>
      <c r="M15" s="13"/>
      <c r="N15" s="10">
        <v>2</v>
      </c>
      <c r="O15" s="10">
        <v>786</v>
      </c>
      <c r="P15" s="13"/>
      <c r="Q15" s="10">
        <v>41</v>
      </c>
      <c r="R15" s="10">
        <v>13680</v>
      </c>
      <c r="S15" s="10"/>
      <c r="T15" s="10" t="s">
        <v>23</v>
      </c>
      <c r="U15" s="10" t="s">
        <v>23</v>
      </c>
    </row>
    <row r="16" spans="1:21" ht="12.9" customHeight="1" x14ac:dyDescent="0.25">
      <c r="A16" s="12" t="s">
        <v>14</v>
      </c>
      <c r="B16" s="8">
        <f t="shared" ref="B16:C18" si="0">E16+H16+K16+Q16</f>
        <v>40</v>
      </c>
      <c r="C16" s="8">
        <f t="shared" si="0"/>
        <v>29026</v>
      </c>
      <c r="D16" s="13"/>
      <c r="E16" s="10">
        <v>14</v>
      </c>
      <c r="F16" s="10">
        <v>10071</v>
      </c>
      <c r="G16" s="13"/>
      <c r="H16" s="10">
        <v>11</v>
      </c>
      <c r="I16" s="10">
        <v>7924</v>
      </c>
      <c r="J16" s="13"/>
      <c r="K16" s="10">
        <v>4</v>
      </c>
      <c r="L16" s="10">
        <v>3293</v>
      </c>
      <c r="M16" s="13"/>
      <c r="N16" s="13" t="s">
        <v>23</v>
      </c>
      <c r="O16" s="13" t="s">
        <v>23</v>
      </c>
      <c r="P16" s="13"/>
      <c r="Q16" s="13">
        <v>11</v>
      </c>
      <c r="R16" s="13">
        <v>7738</v>
      </c>
      <c r="S16" s="10"/>
      <c r="T16" s="10" t="s">
        <v>23</v>
      </c>
      <c r="U16" s="10" t="s">
        <v>23</v>
      </c>
    </row>
    <row r="17" spans="1:21" ht="12.9" customHeight="1" x14ac:dyDescent="0.25">
      <c r="A17" s="12" t="s">
        <v>15</v>
      </c>
      <c r="B17" s="8">
        <f t="shared" si="0"/>
        <v>54</v>
      </c>
      <c r="C17" s="8">
        <f t="shared" si="0"/>
        <v>80678</v>
      </c>
      <c r="D17" s="13"/>
      <c r="E17" s="10">
        <v>19</v>
      </c>
      <c r="F17" s="10">
        <v>25880</v>
      </c>
      <c r="G17" s="13"/>
      <c r="H17" s="10">
        <v>2</v>
      </c>
      <c r="I17" s="10">
        <v>2502</v>
      </c>
      <c r="J17" s="13"/>
      <c r="K17" s="10">
        <v>1</v>
      </c>
      <c r="L17" s="10">
        <v>1446</v>
      </c>
      <c r="M17" s="13"/>
      <c r="N17" s="10" t="s">
        <v>23</v>
      </c>
      <c r="O17" s="10" t="s">
        <v>23</v>
      </c>
      <c r="P17" s="13"/>
      <c r="Q17" s="10">
        <v>32</v>
      </c>
      <c r="R17" s="10">
        <v>50850</v>
      </c>
      <c r="S17" s="10"/>
      <c r="T17" s="10" t="s">
        <v>23</v>
      </c>
      <c r="U17" s="10" t="s">
        <v>23</v>
      </c>
    </row>
    <row r="18" spans="1:21" ht="12.9" customHeight="1" x14ac:dyDescent="0.25">
      <c r="A18" s="12" t="s">
        <v>6</v>
      </c>
      <c r="B18" s="8">
        <f t="shared" si="0"/>
        <v>80</v>
      </c>
      <c r="C18" s="8">
        <f t="shared" si="0"/>
        <v>322458</v>
      </c>
      <c r="D18" s="13"/>
      <c r="E18" s="10">
        <v>20</v>
      </c>
      <c r="F18" s="10">
        <v>67755</v>
      </c>
      <c r="G18" s="13"/>
      <c r="H18" s="10">
        <v>4</v>
      </c>
      <c r="I18" s="10">
        <v>18730</v>
      </c>
      <c r="J18" s="13"/>
      <c r="K18" s="10">
        <v>2</v>
      </c>
      <c r="L18" s="10">
        <v>7644</v>
      </c>
      <c r="M18" s="13"/>
      <c r="N18" s="10" t="s">
        <v>23</v>
      </c>
      <c r="O18" s="10" t="s">
        <v>23</v>
      </c>
      <c r="P18" s="13"/>
      <c r="Q18" s="10">
        <v>54</v>
      </c>
      <c r="R18" s="10">
        <v>228329</v>
      </c>
      <c r="S18" s="10"/>
      <c r="T18" s="10" t="s">
        <v>23</v>
      </c>
      <c r="U18" s="10" t="s">
        <v>23</v>
      </c>
    </row>
    <row r="19" spans="1:21" ht="9.15" customHeight="1" x14ac:dyDescent="0.25">
      <c r="A19" s="15"/>
      <c r="B19" s="16"/>
      <c r="C19" s="8"/>
      <c r="D19" s="17"/>
      <c r="E19" s="10"/>
      <c r="F19" s="10"/>
      <c r="G19" s="13"/>
      <c r="H19" s="10"/>
      <c r="I19" s="10"/>
      <c r="J19" s="13"/>
      <c r="K19" s="10"/>
      <c r="L19" s="10"/>
      <c r="M19" s="13"/>
      <c r="N19" s="10"/>
      <c r="O19" s="10"/>
      <c r="P19" s="13"/>
      <c r="Q19" s="10"/>
      <c r="R19" s="10"/>
      <c r="S19" s="1"/>
      <c r="T19" s="1"/>
      <c r="U19" s="1"/>
    </row>
    <row r="20" spans="1:21" ht="12.9" customHeight="1" x14ac:dyDescent="0.25">
      <c r="A20" s="43" t="s">
        <v>9</v>
      </c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</row>
    <row r="21" spans="1:21" ht="13.5" customHeight="1" x14ac:dyDescent="0.25">
      <c r="A21" s="43" t="s">
        <v>21</v>
      </c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</row>
  </sheetData>
  <mergeCells count="19">
    <mergeCell ref="A20:U20"/>
    <mergeCell ref="A21:U21"/>
    <mergeCell ref="T5:U5"/>
    <mergeCell ref="F6:F7"/>
    <mergeCell ref="I6:I7"/>
    <mergeCell ref="L6:L7"/>
    <mergeCell ref="O6:O7"/>
    <mergeCell ref="R6:R7"/>
    <mergeCell ref="U6:U7"/>
    <mergeCell ref="A1:U2"/>
    <mergeCell ref="A4:A7"/>
    <mergeCell ref="B4:C4"/>
    <mergeCell ref="E4:U4"/>
    <mergeCell ref="C5:C6"/>
    <mergeCell ref="E5:F5"/>
    <mergeCell ref="H5:I5"/>
    <mergeCell ref="K5:L5"/>
    <mergeCell ref="N5:O5"/>
    <mergeCell ref="Q5:R5"/>
  </mergeCells>
  <pageMargins left="0.7" right="0.7" top="0.75" bottom="0.75" header="0.3" footer="0.3"/>
  <ignoredErrors>
    <ignoredError sqref="B12:C12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267"/>
  <sheetViews>
    <sheetView showGridLines="0" workbookViewId="0">
      <selection sqref="A1:U2"/>
    </sheetView>
  </sheetViews>
  <sheetFormatPr baseColWidth="10" defaultColWidth="9.6640625" defaultRowHeight="15" x14ac:dyDescent="0.25"/>
  <cols>
    <col min="1" max="1" width="15.4140625" style="18" customWidth="1"/>
    <col min="2" max="2" width="5.58203125" style="18" customWidth="1"/>
    <col min="3" max="3" width="7" style="18" customWidth="1"/>
    <col min="4" max="4" width="1" style="19" customWidth="1"/>
    <col min="5" max="5" width="6" style="18" customWidth="1"/>
    <col min="6" max="6" width="6.6640625" style="18" customWidth="1"/>
    <col min="7" max="7" width="0.9140625" style="19" customWidth="1"/>
    <col min="8" max="8" width="5.9140625" style="18" customWidth="1"/>
    <col min="9" max="9" width="6.6640625" style="18" customWidth="1"/>
    <col min="10" max="10" width="0.9140625" style="19" customWidth="1"/>
    <col min="11" max="11" width="5.25" style="18" customWidth="1"/>
    <col min="12" max="12" width="6.6640625" style="18" customWidth="1"/>
    <col min="13" max="13" width="0.9140625" style="19" customWidth="1"/>
    <col min="14" max="14" width="5.08203125" style="18" customWidth="1"/>
    <col min="15" max="15" width="6.25" style="18" customWidth="1"/>
    <col min="16" max="16" width="0.9140625" style="18" customWidth="1"/>
    <col min="17" max="17" width="4.6640625" style="18" customWidth="1"/>
    <col min="18" max="18" width="6.25" style="18" customWidth="1"/>
    <col min="19" max="19" width="1.08203125" style="18" customWidth="1"/>
    <col min="20" max="20" width="6.25" style="18" customWidth="1"/>
    <col min="21" max="21" width="6.33203125" style="18" customWidth="1"/>
    <col min="22" max="16384" width="9.6640625" style="18"/>
  </cols>
  <sheetData>
    <row r="1" spans="1:21" s="30" customFormat="1" ht="15" customHeight="1" x14ac:dyDescent="0.3">
      <c r="A1" s="47" t="s">
        <v>33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</row>
    <row r="2" spans="1:21" s="30" customFormat="1" ht="15" customHeight="1" x14ac:dyDescent="0.3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</row>
    <row r="3" spans="1:21" s="30" customFormat="1" ht="9.15" customHeight="1" x14ac:dyDescent="0.3">
      <c r="A3" s="29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</row>
    <row r="4" spans="1:21" s="3" customFormat="1" ht="12.9" customHeight="1" x14ac:dyDescent="0.2">
      <c r="A4" s="48" t="s">
        <v>7</v>
      </c>
      <c r="B4" s="44" t="s">
        <v>4</v>
      </c>
      <c r="C4" s="44"/>
      <c r="D4" s="33"/>
      <c r="E4" s="44" t="s">
        <v>5</v>
      </c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</row>
    <row r="5" spans="1:21" s="3" customFormat="1" ht="24.75" customHeight="1" x14ac:dyDescent="0.2">
      <c r="A5" s="48"/>
      <c r="B5" s="31" t="s">
        <v>16</v>
      </c>
      <c r="C5" s="45" t="s">
        <v>18</v>
      </c>
      <c r="D5" s="33"/>
      <c r="E5" s="44" t="s">
        <v>0</v>
      </c>
      <c r="F5" s="44"/>
      <c r="G5" s="33"/>
      <c r="H5" s="44" t="s">
        <v>1</v>
      </c>
      <c r="I5" s="44"/>
      <c r="J5" s="33"/>
      <c r="K5" s="44" t="s">
        <v>2</v>
      </c>
      <c r="L5" s="44"/>
      <c r="M5" s="33"/>
      <c r="N5" s="44" t="s">
        <v>3</v>
      </c>
      <c r="O5" s="44"/>
      <c r="P5" s="33"/>
      <c r="Q5" s="44" t="s">
        <v>22</v>
      </c>
      <c r="R5" s="44"/>
      <c r="S5" s="33"/>
      <c r="T5" s="44" t="s">
        <v>19</v>
      </c>
      <c r="U5" s="44"/>
    </row>
    <row r="6" spans="1:21" s="3" customFormat="1" ht="12.9" customHeight="1" x14ac:dyDescent="0.25">
      <c r="A6" s="48"/>
      <c r="B6" s="5" t="s">
        <v>17</v>
      </c>
      <c r="C6" s="46"/>
      <c r="D6" s="6"/>
      <c r="E6" s="31" t="s">
        <v>16</v>
      </c>
      <c r="F6" s="45" t="s">
        <v>18</v>
      </c>
      <c r="G6" s="6"/>
      <c r="H6" s="31" t="s">
        <v>16</v>
      </c>
      <c r="I6" s="45" t="s">
        <v>18</v>
      </c>
      <c r="J6" s="6"/>
      <c r="K6" s="31" t="s">
        <v>16</v>
      </c>
      <c r="L6" s="45" t="s">
        <v>18</v>
      </c>
      <c r="M6" s="6"/>
      <c r="N6" s="31" t="s">
        <v>16</v>
      </c>
      <c r="O6" s="45" t="s">
        <v>18</v>
      </c>
      <c r="P6" s="6"/>
      <c r="Q6" s="31" t="s">
        <v>16</v>
      </c>
      <c r="R6" s="45" t="s">
        <v>18</v>
      </c>
      <c r="S6" s="32"/>
      <c r="T6" s="31" t="s">
        <v>16</v>
      </c>
      <c r="U6" s="45" t="s">
        <v>18</v>
      </c>
    </row>
    <row r="7" spans="1:21" s="3" customFormat="1" ht="12.9" customHeight="1" x14ac:dyDescent="0.25">
      <c r="A7" s="48"/>
      <c r="D7" s="6"/>
      <c r="E7" s="5" t="s">
        <v>17</v>
      </c>
      <c r="F7" s="46"/>
      <c r="G7" s="6"/>
      <c r="H7" s="5" t="s">
        <v>17</v>
      </c>
      <c r="I7" s="46"/>
      <c r="J7" s="6"/>
      <c r="K7" s="5" t="s">
        <v>17</v>
      </c>
      <c r="L7" s="46"/>
      <c r="M7" s="6"/>
      <c r="N7" s="5" t="s">
        <v>17</v>
      </c>
      <c r="O7" s="46"/>
      <c r="P7" s="6"/>
      <c r="Q7" s="5" t="s">
        <v>17</v>
      </c>
      <c r="R7" s="46"/>
      <c r="S7" s="32"/>
      <c r="T7" s="5" t="s">
        <v>17</v>
      </c>
      <c r="U7" s="46"/>
    </row>
    <row r="8" spans="1:21" s="3" customFormat="1" ht="9.15" customHeight="1" x14ac:dyDescent="0.25">
      <c r="D8" s="7"/>
      <c r="G8" s="7"/>
      <c r="J8" s="7"/>
      <c r="K8" s="8"/>
      <c r="L8" s="8"/>
      <c r="M8" s="8"/>
      <c r="N8" s="8"/>
      <c r="O8" s="8"/>
      <c r="P8" s="8"/>
      <c r="Q8" s="8"/>
      <c r="R8" s="8"/>
      <c r="S8" s="8"/>
      <c r="T8" s="8"/>
      <c r="U8" s="8"/>
    </row>
    <row r="9" spans="1:21" s="3" customFormat="1" ht="12.9" customHeight="1" x14ac:dyDescent="0.25">
      <c r="A9" s="1" t="s">
        <v>4</v>
      </c>
      <c r="B9" s="8">
        <f>SUM(B11:B18)</f>
        <v>436</v>
      </c>
      <c r="C9" s="8">
        <f>SUM(C11:C18)</f>
        <v>531191.03</v>
      </c>
      <c r="D9" s="9"/>
      <c r="E9" s="8">
        <f>SUM(E11:E18)</f>
        <v>278</v>
      </c>
      <c r="F9" s="8">
        <f>SUM(F11:F18)</f>
        <v>222507.93</v>
      </c>
      <c r="G9" s="9"/>
      <c r="H9" s="8">
        <f>SUM(H11:H18)</f>
        <v>50</v>
      </c>
      <c r="I9" s="8">
        <f>SUM(I11:I18)</f>
        <v>37133</v>
      </c>
      <c r="J9" s="9"/>
      <c r="K9" s="8">
        <f>SUM(K11:K18)</f>
        <v>7</v>
      </c>
      <c r="L9" s="8">
        <f>SUM(L11:L18)</f>
        <v>18477</v>
      </c>
      <c r="M9" s="8"/>
      <c r="N9" s="8">
        <f>SUM(N11:N18)</f>
        <v>2</v>
      </c>
      <c r="O9" s="8">
        <f>SUM(O11:O18)</f>
        <v>538</v>
      </c>
      <c r="P9" s="8"/>
      <c r="Q9" s="8">
        <f>SUM(Q11:Q18)</f>
        <v>99</v>
      </c>
      <c r="R9" s="8">
        <f>SUM(R11:R18)</f>
        <v>252535.1</v>
      </c>
      <c r="S9" s="8"/>
      <c r="T9" s="8" t="s">
        <v>23</v>
      </c>
      <c r="U9" s="8" t="s">
        <v>23</v>
      </c>
    </row>
    <row r="10" spans="1:21" s="3" customFormat="1" ht="9.15" customHeight="1" x14ac:dyDescent="0.25">
      <c r="A10" s="1"/>
      <c r="B10" s="10"/>
      <c r="C10" s="10"/>
      <c r="D10" s="10"/>
      <c r="E10" s="10"/>
      <c r="F10" s="10"/>
      <c r="G10" s="11"/>
      <c r="H10" s="10"/>
      <c r="I10" s="10"/>
      <c r="J10" s="11"/>
      <c r="K10" s="10"/>
      <c r="L10" s="10"/>
      <c r="M10" s="11"/>
      <c r="N10" s="10"/>
      <c r="O10" s="10"/>
      <c r="P10" s="11"/>
      <c r="Q10" s="10"/>
      <c r="R10" s="10"/>
      <c r="S10" s="10"/>
      <c r="T10" s="10"/>
      <c r="U10" s="10"/>
    </row>
    <row r="11" spans="1:21" s="3" customFormat="1" ht="12.9" customHeight="1" x14ac:dyDescent="0.25">
      <c r="A11" s="12" t="s">
        <v>8</v>
      </c>
      <c r="B11" s="8">
        <f>E11+H11++Q11</f>
        <v>45</v>
      </c>
      <c r="C11" s="8">
        <f>F11+I11++R11</f>
        <v>681</v>
      </c>
      <c r="D11" s="13"/>
      <c r="E11" s="10">
        <v>36</v>
      </c>
      <c r="F11" s="10">
        <v>555</v>
      </c>
      <c r="G11" s="13"/>
      <c r="H11" s="10">
        <v>5</v>
      </c>
      <c r="I11" s="10">
        <v>76</v>
      </c>
      <c r="J11" s="13"/>
      <c r="K11" s="10" t="s">
        <v>23</v>
      </c>
      <c r="L11" s="10" t="s">
        <v>23</v>
      </c>
      <c r="M11" s="14"/>
      <c r="N11" s="10" t="s">
        <v>23</v>
      </c>
      <c r="O11" s="10" t="s">
        <v>23</v>
      </c>
      <c r="P11" s="14"/>
      <c r="Q11" s="10">
        <v>4</v>
      </c>
      <c r="R11" s="10">
        <v>50</v>
      </c>
      <c r="S11" s="10"/>
      <c r="T11" s="10" t="s">
        <v>23</v>
      </c>
      <c r="U11" s="10" t="s">
        <v>23</v>
      </c>
    </row>
    <row r="12" spans="1:21" s="3" customFormat="1" ht="12.9" customHeight="1" x14ac:dyDescent="0.25">
      <c r="A12" s="12" t="s">
        <v>10</v>
      </c>
      <c r="B12" s="8">
        <f>E12+H12+N12+Q12</f>
        <v>85</v>
      </c>
      <c r="C12" s="8">
        <f>F12+I12+O12+R12</f>
        <v>4484.93</v>
      </c>
      <c r="D12" s="13"/>
      <c r="E12" s="10">
        <v>63</v>
      </c>
      <c r="F12" s="10">
        <v>3396.93</v>
      </c>
      <c r="G12" s="13"/>
      <c r="H12" s="10">
        <v>9</v>
      </c>
      <c r="I12" s="10">
        <v>425</v>
      </c>
      <c r="J12" s="13"/>
      <c r="K12" s="10" t="s">
        <v>23</v>
      </c>
      <c r="L12" s="10" t="s">
        <v>23</v>
      </c>
      <c r="M12" s="13"/>
      <c r="N12" s="10">
        <v>1</v>
      </c>
      <c r="O12" s="10">
        <v>36</v>
      </c>
      <c r="P12" s="13"/>
      <c r="Q12" s="10">
        <v>12</v>
      </c>
      <c r="R12" s="10">
        <v>627</v>
      </c>
      <c r="S12" s="10"/>
      <c r="T12" s="10" t="s">
        <v>23</v>
      </c>
      <c r="U12" s="10" t="s">
        <v>23</v>
      </c>
    </row>
    <row r="13" spans="1:21" s="3" customFormat="1" ht="12.9" customHeight="1" x14ac:dyDescent="0.25">
      <c r="A13" s="12" t="s">
        <v>11</v>
      </c>
      <c r="B13" s="8">
        <f>E13+H13+Q13</f>
        <v>34</v>
      </c>
      <c r="C13" s="8">
        <f>F13+I13+R13</f>
        <v>3374.3</v>
      </c>
      <c r="D13" s="13"/>
      <c r="E13" s="10">
        <v>27</v>
      </c>
      <c r="F13" s="10">
        <v>2662</v>
      </c>
      <c r="G13" s="13"/>
      <c r="H13" s="10">
        <v>2</v>
      </c>
      <c r="I13" s="10">
        <v>205</v>
      </c>
      <c r="J13" s="13"/>
      <c r="K13" s="10" t="s">
        <v>23</v>
      </c>
      <c r="L13" s="10" t="s">
        <v>23</v>
      </c>
      <c r="M13" s="14"/>
      <c r="N13" s="10" t="s">
        <v>23</v>
      </c>
      <c r="O13" s="10" t="s">
        <v>23</v>
      </c>
      <c r="P13" s="14"/>
      <c r="Q13" s="10">
        <v>5</v>
      </c>
      <c r="R13" s="10">
        <v>507.3</v>
      </c>
      <c r="S13" s="14"/>
      <c r="T13" s="10" t="s">
        <v>23</v>
      </c>
      <c r="U13" s="10" t="s">
        <v>23</v>
      </c>
    </row>
    <row r="14" spans="1:21" s="3" customFormat="1" ht="12.9" customHeight="1" x14ac:dyDescent="0.25">
      <c r="A14" s="12" t="s">
        <v>12</v>
      </c>
      <c r="B14" s="8">
        <f>E14+H14+K14+Q14</f>
        <v>23</v>
      </c>
      <c r="C14" s="8">
        <f>F14+I14+L14+R14</f>
        <v>3513</v>
      </c>
      <c r="D14" s="13"/>
      <c r="E14" s="10">
        <v>13</v>
      </c>
      <c r="F14" s="10">
        <v>1962</v>
      </c>
      <c r="G14" s="13"/>
      <c r="H14" s="10">
        <v>4</v>
      </c>
      <c r="I14" s="10">
        <v>652</v>
      </c>
      <c r="J14" s="13"/>
      <c r="K14" s="10">
        <v>1</v>
      </c>
      <c r="L14" s="10">
        <v>158</v>
      </c>
      <c r="M14" s="13"/>
      <c r="N14" s="10" t="s">
        <v>23</v>
      </c>
      <c r="O14" s="10" t="s">
        <v>23</v>
      </c>
      <c r="P14" s="13"/>
      <c r="Q14" s="10">
        <v>5</v>
      </c>
      <c r="R14" s="10">
        <v>741</v>
      </c>
      <c r="S14" s="10"/>
      <c r="T14" s="10" t="s">
        <v>23</v>
      </c>
      <c r="U14" s="10" t="s">
        <v>23</v>
      </c>
    </row>
    <row r="15" spans="1:21" s="3" customFormat="1" ht="12.9" customHeight="1" x14ac:dyDescent="0.25">
      <c r="A15" s="12" t="s">
        <v>13</v>
      </c>
      <c r="B15" s="8">
        <f>E15+H15+K15+Q15</f>
        <v>74</v>
      </c>
      <c r="C15" s="8">
        <f>F15+I15+L15+R15</f>
        <v>24158</v>
      </c>
      <c r="D15" s="13"/>
      <c r="E15" s="10">
        <v>46</v>
      </c>
      <c r="F15" s="10">
        <v>14731</v>
      </c>
      <c r="G15" s="13"/>
      <c r="H15" s="10">
        <v>12</v>
      </c>
      <c r="I15" s="10">
        <v>4059</v>
      </c>
      <c r="J15" s="13"/>
      <c r="K15" s="10">
        <v>1</v>
      </c>
      <c r="L15" s="10">
        <v>413</v>
      </c>
      <c r="M15" s="13"/>
      <c r="N15" s="10" t="s">
        <v>23</v>
      </c>
      <c r="O15" s="10" t="s">
        <v>23</v>
      </c>
      <c r="P15" s="13"/>
      <c r="Q15" s="10">
        <v>15</v>
      </c>
      <c r="R15" s="10">
        <v>4955</v>
      </c>
      <c r="S15" s="10"/>
      <c r="T15" s="10" t="s">
        <v>23</v>
      </c>
      <c r="U15" s="10" t="s">
        <v>23</v>
      </c>
    </row>
    <row r="16" spans="1:21" s="3" customFormat="1" ht="12.9" customHeight="1" x14ac:dyDescent="0.25">
      <c r="A16" s="12" t="s">
        <v>14</v>
      </c>
      <c r="B16" s="8">
        <f>E16+H16+K16+N16+Q16</f>
        <v>51</v>
      </c>
      <c r="C16" s="8">
        <f>F16+I16+L16+O16+R16</f>
        <v>35362.800000000003</v>
      </c>
      <c r="D16" s="13"/>
      <c r="E16" s="10">
        <v>29</v>
      </c>
      <c r="F16" s="10">
        <v>20655</v>
      </c>
      <c r="G16" s="13"/>
      <c r="H16" s="10">
        <v>9</v>
      </c>
      <c r="I16" s="10">
        <v>6500</v>
      </c>
      <c r="J16" s="13"/>
      <c r="K16" s="10">
        <v>2</v>
      </c>
      <c r="L16" s="10">
        <v>1233</v>
      </c>
      <c r="M16" s="13"/>
      <c r="N16" s="13">
        <v>1</v>
      </c>
      <c r="O16" s="13">
        <v>502</v>
      </c>
      <c r="P16" s="13"/>
      <c r="Q16" s="13">
        <v>10</v>
      </c>
      <c r="R16" s="13">
        <v>6472.8</v>
      </c>
      <c r="S16" s="10"/>
      <c r="T16" s="10" t="s">
        <v>23</v>
      </c>
      <c r="U16" s="10" t="s">
        <v>23</v>
      </c>
    </row>
    <row r="17" spans="1:24" s="3" customFormat="1" ht="12.9" customHeight="1" x14ac:dyDescent="0.25">
      <c r="A17" s="12" t="s">
        <v>15</v>
      </c>
      <c r="B17" s="8">
        <f>E17+H17+Q17</f>
        <v>52</v>
      </c>
      <c r="C17" s="8">
        <f>F17+I17+R17</f>
        <v>75492</v>
      </c>
      <c r="D17" s="13"/>
      <c r="E17" s="10">
        <v>27</v>
      </c>
      <c r="F17" s="10">
        <v>39084</v>
      </c>
      <c r="G17" s="13"/>
      <c r="H17" s="10">
        <v>5</v>
      </c>
      <c r="I17" s="10">
        <v>7834</v>
      </c>
      <c r="J17" s="13"/>
      <c r="K17" s="10" t="s">
        <v>23</v>
      </c>
      <c r="L17" s="10" t="s">
        <v>23</v>
      </c>
      <c r="M17" s="13"/>
      <c r="N17" s="10" t="s">
        <v>23</v>
      </c>
      <c r="O17" s="10" t="s">
        <v>23</v>
      </c>
      <c r="P17" s="13"/>
      <c r="Q17" s="10">
        <v>20</v>
      </c>
      <c r="R17" s="10">
        <v>28574</v>
      </c>
      <c r="S17" s="10"/>
      <c r="T17" s="10" t="s">
        <v>23</v>
      </c>
      <c r="U17" s="10" t="s">
        <v>23</v>
      </c>
    </row>
    <row r="18" spans="1:24" s="3" customFormat="1" ht="12.9" customHeight="1" x14ac:dyDescent="0.25">
      <c r="A18" s="12" t="s">
        <v>6</v>
      </c>
      <c r="B18" s="8">
        <f>E18+H18+K18+Q18</f>
        <v>72</v>
      </c>
      <c r="C18" s="8">
        <f>F18+I18+L18+R18</f>
        <v>384125</v>
      </c>
      <c r="D18" s="13"/>
      <c r="E18" s="10">
        <v>37</v>
      </c>
      <c r="F18" s="10">
        <v>139462</v>
      </c>
      <c r="G18" s="13"/>
      <c r="H18" s="10">
        <v>4</v>
      </c>
      <c r="I18" s="10">
        <v>17382</v>
      </c>
      <c r="J18" s="13"/>
      <c r="K18" s="10">
        <v>3</v>
      </c>
      <c r="L18" s="10">
        <v>16673</v>
      </c>
      <c r="M18" s="13"/>
      <c r="N18" s="10" t="s">
        <v>23</v>
      </c>
      <c r="O18" s="10" t="s">
        <v>23</v>
      </c>
      <c r="P18" s="13"/>
      <c r="Q18" s="10">
        <v>28</v>
      </c>
      <c r="R18" s="10">
        <v>210608</v>
      </c>
      <c r="S18" s="10"/>
      <c r="T18" s="10" t="s">
        <v>23</v>
      </c>
      <c r="U18" s="10" t="s">
        <v>23</v>
      </c>
    </row>
    <row r="19" spans="1:24" s="1" customFormat="1" ht="9.15" customHeight="1" x14ac:dyDescent="0.25">
      <c r="A19" s="15"/>
      <c r="B19" s="16"/>
      <c r="C19" s="8"/>
      <c r="D19" s="17"/>
      <c r="E19" s="10"/>
      <c r="F19" s="10"/>
      <c r="G19" s="13"/>
      <c r="H19" s="10"/>
      <c r="I19" s="10"/>
      <c r="J19" s="13"/>
      <c r="K19" s="10"/>
      <c r="L19" s="10"/>
      <c r="M19" s="13"/>
      <c r="N19" s="10"/>
      <c r="O19" s="10"/>
      <c r="P19" s="13"/>
      <c r="Q19" s="10"/>
      <c r="R19" s="10"/>
      <c r="V19" s="3"/>
      <c r="W19" s="3"/>
      <c r="X19" s="3"/>
    </row>
    <row r="20" spans="1:24" ht="12.9" customHeight="1" x14ac:dyDescent="0.25">
      <c r="A20" s="15" t="s">
        <v>9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V20" s="3"/>
      <c r="W20" s="3"/>
      <c r="X20" s="3"/>
    </row>
    <row r="21" spans="1:24" ht="13.5" customHeight="1" x14ac:dyDescent="0.25">
      <c r="A21" s="15" t="s">
        <v>21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V21" s="3"/>
      <c r="W21" s="3"/>
      <c r="X21" s="3"/>
    </row>
    <row r="22" spans="1:24" ht="9.15" customHeight="1" x14ac:dyDescent="0.25">
      <c r="A22" s="12"/>
      <c r="B22" s="19"/>
      <c r="C22" s="19"/>
      <c r="E22" s="19"/>
      <c r="F22" s="19"/>
      <c r="H22" s="19"/>
      <c r="I22" s="19"/>
      <c r="K22" s="19"/>
      <c r="L22" s="19"/>
      <c r="N22" s="19"/>
      <c r="O22" s="19"/>
    </row>
    <row r="23" spans="1:24" ht="12.9" customHeight="1" x14ac:dyDescent="0.25"/>
    <row r="24" spans="1:24" ht="12.9" customHeight="1" x14ac:dyDescent="0.25"/>
    <row r="25" spans="1:24" ht="12.9" customHeight="1" x14ac:dyDescent="0.25"/>
    <row r="26" spans="1:24" ht="12.9" customHeight="1" x14ac:dyDescent="0.25">
      <c r="C26" s="20"/>
    </row>
    <row r="27" spans="1:24" ht="12.9" customHeight="1" x14ac:dyDescent="0.25"/>
    <row r="28" spans="1:24" ht="12.9" customHeight="1" x14ac:dyDescent="0.25"/>
    <row r="29" spans="1:24" ht="12.9" customHeight="1" x14ac:dyDescent="0.25"/>
    <row r="30" spans="1:24" ht="12.9" customHeight="1" x14ac:dyDescent="0.25"/>
    <row r="31" spans="1:24" ht="12.9" customHeight="1" x14ac:dyDescent="0.25"/>
    <row r="32" spans="1:24" ht="12.9" customHeight="1" x14ac:dyDescent="0.25"/>
    <row r="33" ht="12.9" customHeight="1" x14ac:dyDescent="0.25"/>
    <row r="34" ht="12.9" customHeight="1" x14ac:dyDescent="0.25"/>
    <row r="35" ht="12.9" customHeight="1" x14ac:dyDescent="0.25"/>
    <row r="36" ht="12.9" customHeight="1" x14ac:dyDescent="0.25"/>
    <row r="37" ht="12.9" customHeight="1" x14ac:dyDescent="0.25"/>
    <row r="38" ht="12.9" customHeight="1" x14ac:dyDescent="0.25"/>
    <row r="39" ht="12.9" customHeight="1" x14ac:dyDescent="0.25"/>
    <row r="40" ht="12.9" customHeight="1" x14ac:dyDescent="0.25"/>
    <row r="41" ht="12.9" customHeight="1" x14ac:dyDescent="0.25"/>
    <row r="42" ht="12.9" customHeight="1" x14ac:dyDescent="0.25"/>
    <row r="43" ht="12.9" customHeight="1" x14ac:dyDescent="0.25"/>
    <row r="44" ht="12.9" customHeight="1" x14ac:dyDescent="0.25"/>
    <row r="45" ht="12.9" customHeight="1" x14ac:dyDescent="0.25"/>
    <row r="46" ht="12.9" customHeight="1" x14ac:dyDescent="0.25"/>
    <row r="47" ht="12.9" customHeight="1" x14ac:dyDescent="0.25"/>
    <row r="48" ht="12.9" customHeight="1" x14ac:dyDescent="0.25"/>
    <row r="49" ht="12.9" customHeight="1" x14ac:dyDescent="0.25"/>
    <row r="50" ht="12.9" customHeight="1" x14ac:dyDescent="0.25"/>
    <row r="51" ht="12.9" customHeight="1" x14ac:dyDescent="0.25"/>
    <row r="52" ht="12.9" customHeight="1" x14ac:dyDescent="0.25"/>
    <row r="53" ht="12.9" customHeight="1" x14ac:dyDescent="0.25"/>
    <row r="54" ht="12.9" customHeight="1" x14ac:dyDescent="0.25"/>
    <row r="55" ht="12.9" customHeight="1" x14ac:dyDescent="0.25"/>
    <row r="56" ht="12.9" customHeight="1" x14ac:dyDescent="0.25"/>
    <row r="57" ht="12.9" customHeight="1" x14ac:dyDescent="0.25"/>
    <row r="58" ht="12.9" customHeight="1" x14ac:dyDescent="0.25"/>
    <row r="59" ht="12.9" customHeight="1" x14ac:dyDescent="0.25"/>
    <row r="60" ht="12.9" customHeight="1" x14ac:dyDescent="0.25"/>
    <row r="61" ht="12.9" customHeight="1" x14ac:dyDescent="0.25"/>
    <row r="62" ht="12.9" customHeight="1" x14ac:dyDescent="0.25"/>
    <row r="63" ht="12.9" customHeight="1" x14ac:dyDescent="0.25"/>
    <row r="64" ht="12.9" customHeight="1" x14ac:dyDescent="0.25"/>
    <row r="65" ht="12.9" customHeight="1" x14ac:dyDescent="0.25"/>
    <row r="66" ht="12.9" customHeight="1" x14ac:dyDescent="0.25"/>
    <row r="67" ht="12.9" customHeight="1" x14ac:dyDescent="0.25"/>
    <row r="68" ht="12.9" customHeight="1" x14ac:dyDescent="0.25"/>
    <row r="69" ht="12.9" customHeight="1" x14ac:dyDescent="0.25"/>
    <row r="70" ht="12.9" customHeight="1" x14ac:dyDescent="0.25"/>
    <row r="71" ht="12.9" customHeight="1" x14ac:dyDescent="0.25"/>
    <row r="72" ht="12.9" customHeight="1" x14ac:dyDescent="0.25"/>
    <row r="73" ht="12.9" customHeight="1" x14ac:dyDescent="0.25"/>
    <row r="74" ht="12.9" customHeight="1" x14ac:dyDescent="0.25"/>
    <row r="75" ht="12.9" customHeight="1" x14ac:dyDescent="0.25"/>
    <row r="76" ht="12.9" customHeight="1" x14ac:dyDescent="0.25"/>
    <row r="77" ht="12.9" customHeight="1" x14ac:dyDescent="0.25"/>
    <row r="78" ht="12.9" customHeight="1" x14ac:dyDescent="0.25"/>
    <row r="79" ht="12.9" customHeight="1" x14ac:dyDescent="0.25"/>
    <row r="80" ht="12.9" customHeight="1" x14ac:dyDescent="0.25"/>
    <row r="81" ht="12.9" customHeight="1" x14ac:dyDescent="0.25"/>
    <row r="82" ht="12.9" customHeight="1" x14ac:dyDescent="0.25"/>
    <row r="83" ht="12.9" customHeight="1" x14ac:dyDescent="0.25"/>
    <row r="84" ht="12.9" customHeight="1" x14ac:dyDescent="0.25"/>
    <row r="85" ht="12.9" customHeight="1" x14ac:dyDescent="0.25"/>
    <row r="86" ht="12.9" customHeight="1" x14ac:dyDescent="0.25"/>
    <row r="87" ht="12.9" customHeight="1" x14ac:dyDescent="0.25"/>
    <row r="88" ht="12.9" customHeight="1" x14ac:dyDescent="0.25"/>
    <row r="89" ht="12.9" customHeight="1" x14ac:dyDescent="0.25"/>
    <row r="90" ht="12.9" customHeight="1" x14ac:dyDescent="0.25"/>
    <row r="91" ht="12.9" customHeight="1" x14ac:dyDescent="0.25"/>
    <row r="92" ht="12.9" customHeight="1" x14ac:dyDescent="0.25"/>
    <row r="93" ht="12.9" customHeight="1" x14ac:dyDescent="0.25"/>
    <row r="94" ht="12.9" customHeight="1" x14ac:dyDescent="0.25"/>
    <row r="95" ht="12.9" customHeight="1" x14ac:dyDescent="0.25"/>
    <row r="96" ht="12.9" customHeight="1" x14ac:dyDescent="0.25"/>
    <row r="97" ht="12.9" customHeight="1" x14ac:dyDescent="0.25"/>
    <row r="98" ht="12.9" customHeight="1" x14ac:dyDescent="0.25"/>
    <row r="99" ht="12.9" customHeight="1" x14ac:dyDescent="0.25"/>
    <row r="100" ht="12.9" customHeight="1" x14ac:dyDescent="0.25"/>
    <row r="101" ht="12.9" customHeight="1" x14ac:dyDescent="0.25"/>
    <row r="102" ht="12.9" customHeight="1" x14ac:dyDescent="0.25"/>
    <row r="103" ht="12.9" customHeight="1" x14ac:dyDescent="0.25"/>
    <row r="104" ht="12.9" customHeight="1" x14ac:dyDescent="0.25"/>
    <row r="105" ht="12.9" customHeight="1" x14ac:dyDescent="0.25"/>
    <row r="106" ht="12.9" customHeight="1" x14ac:dyDescent="0.25"/>
    <row r="107" ht="12.9" customHeight="1" x14ac:dyDescent="0.25"/>
    <row r="108" ht="12.9" customHeight="1" x14ac:dyDescent="0.25"/>
    <row r="109" ht="12.9" customHeight="1" x14ac:dyDescent="0.25"/>
    <row r="110" ht="12.9" customHeight="1" x14ac:dyDescent="0.25"/>
    <row r="111" ht="12.9" customHeight="1" x14ac:dyDescent="0.25"/>
    <row r="112" ht="12.9" customHeight="1" x14ac:dyDescent="0.25"/>
    <row r="113" ht="12.9" customHeight="1" x14ac:dyDescent="0.25"/>
    <row r="114" ht="12.9" customHeight="1" x14ac:dyDescent="0.25"/>
    <row r="115" ht="12.9" customHeight="1" x14ac:dyDescent="0.25"/>
    <row r="116" ht="12.9" customHeight="1" x14ac:dyDescent="0.25"/>
    <row r="117" ht="12.9" customHeight="1" x14ac:dyDescent="0.25"/>
    <row r="118" ht="12.9" customHeight="1" x14ac:dyDescent="0.25"/>
    <row r="119" ht="12.9" customHeight="1" x14ac:dyDescent="0.25"/>
    <row r="120" ht="12.9" customHeight="1" x14ac:dyDescent="0.25"/>
    <row r="121" ht="12.9" customHeight="1" x14ac:dyDescent="0.25"/>
    <row r="122" ht="12.9" customHeight="1" x14ac:dyDescent="0.25"/>
    <row r="123" ht="12.9" customHeight="1" x14ac:dyDescent="0.25"/>
    <row r="124" ht="12.9" customHeight="1" x14ac:dyDescent="0.25"/>
    <row r="125" ht="12.9" customHeight="1" x14ac:dyDescent="0.25"/>
    <row r="126" ht="12.9" customHeight="1" x14ac:dyDescent="0.25"/>
    <row r="127" ht="12.9" customHeight="1" x14ac:dyDescent="0.25"/>
    <row r="128" ht="12.9" customHeight="1" x14ac:dyDescent="0.25"/>
    <row r="129" ht="12.9" customHeight="1" x14ac:dyDescent="0.25"/>
    <row r="130" ht="12.9" customHeight="1" x14ac:dyDescent="0.25"/>
    <row r="131" ht="12.9" customHeight="1" x14ac:dyDescent="0.25"/>
    <row r="132" ht="12.9" customHeight="1" x14ac:dyDescent="0.25"/>
    <row r="133" ht="12.9" customHeight="1" x14ac:dyDescent="0.25"/>
    <row r="134" ht="12.9" customHeight="1" x14ac:dyDescent="0.25"/>
    <row r="135" ht="12.9" customHeight="1" x14ac:dyDescent="0.25"/>
    <row r="136" ht="12.9" customHeight="1" x14ac:dyDescent="0.25"/>
    <row r="137" ht="12.9" customHeight="1" x14ac:dyDescent="0.25"/>
    <row r="138" ht="12.9" customHeight="1" x14ac:dyDescent="0.25"/>
    <row r="139" ht="12.9" customHeight="1" x14ac:dyDescent="0.25"/>
    <row r="140" ht="12.9" customHeight="1" x14ac:dyDescent="0.25"/>
    <row r="141" ht="12.9" customHeight="1" x14ac:dyDescent="0.25"/>
    <row r="142" ht="12.9" customHeight="1" x14ac:dyDescent="0.25"/>
    <row r="143" ht="12.9" customHeight="1" x14ac:dyDescent="0.25"/>
    <row r="144" ht="12.9" customHeight="1" x14ac:dyDescent="0.25"/>
    <row r="145" ht="12.9" customHeight="1" x14ac:dyDescent="0.25"/>
    <row r="146" ht="12.9" customHeight="1" x14ac:dyDescent="0.25"/>
    <row r="147" ht="12.9" customHeight="1" x14ac:dyDescent="0.25"/>
    <row r="148" ht="12.9" customHeight="1" x14ac:dyDescent="0.25"/>
    <row r="149" ht="12.9" customHeight="1" x14ac:dyDescent="0.25"/>
    <row r="150" ht="12.9" customHeight="1" x14ac:dyDescent="0.25"/>
    <row r="151" ht="12.9" customHeight="1" x14ac:dyDescent="0.25"/>
    <row r="152" ht="12.9" customHeight="1" x14ac:dyDescent="0.25"/>
    <row r="153" ht="12.9" customHeight="1" x14ac:dyDescent="0.25"/>
    <row r="154" ht="12.9" customHeight="1" x14ac:dyDescent="0.25"/>
    <row r="155" ht="12.9" customHeight="1" x14ac:dyDescent="0.25"/>
    <row r="156" ht="12.9" customHeight="1" x14ac:dyDescent="0.25"/>
    <row r="157" ht="12.9" customHeight="1" x14ac:dyDescent="0.25"/>
    <row r="158" ht="12.9" customHeight="1" x14ac:dyDescent="0.25"/>
    <row r="159" ht="12.9" customHeight="1" x14ac:dyDescent="0.25"/>
    <row r="160" ht="12.9" customHeight="1" x14ac:dyDescent="0.25"/>
    <row r="161" ht="12.9" customHeight="1" x14ac:dyDescent="0.25"/>
    <row r="162" ht="12.9" customHeight="1" x14ac:dyDescent="0.25"/>
    <row r="163" ht="12.9" customHeight="1" x14ac:dyDescent="0.25"/>
    <row r="164" ht="12.9" customHeight="1" x14ac:dyDescent="0.25"/>
    <row r="165" ht="12.9" customHeight="1" x14ac:dyDescent="0.25"/>
    <row r="166" ht="12.9" customHeight="1" x14ac:dyDescent="0.25"/>
    <row r="167" ht="12.9" customHeight="1" x14ac:dyDescent="0.25"/>
    <row r="168" ht="12.9" customHeight="1" x14ac:dyDescent="0.25"/>
    <row r="169" ht="12.9" customHeight="1" x14ac:dyDescent="0.25"/>
    <row r="170" ht="12.9" customHeight="1" x14ac:dyDescent="0.25"/>
    <row r="171" ht="12.9" customHeight="1" x14ac:dyDescent="0.25"/>
    <row r="172" ht="12.9" customHeight="1" x14ac:dyDescent="0.25"/>
    <row r="173" ht="12.9" customHeight="1" x14ac:dyDescent="0.25"/>
    <row r="174" ht="12.9" customHeight="1" x14ac:dyDescent="0.25"/>
    <row r="175" ht="12.9" customHeight="1" x14ac:dyDescent="0.25"/>
    <row r="176" ht="12.9" customHeight="1" x14ac:dyDescent="0.25"/>
    <row r="177" ht="12.9" customHeight="1" x14ac:dyDescent="0.25"/>
    <row r="178" ht="12.9" customHeight="1" x14ac:dyDescent="0.25"/>
    <row r="179" ht="12.9" customHeight="1" x14ac:dyDescent="0.25"/>
    <row r="180" ht="12.9" customHeight="1" x14ac:dyDescent="0.25"/>
    <row r="181" ht="12.9" customHeight="1" x14ac:dyDescent="0.25"/>
    <row r="182" ht="12.9" customHeight="1" x14ac:dyDescent="0.25"/>
    <row r="183" ht="12.9" customHeight="1" x14ac:dyDescent="0.25"/>
    <row r="184" ht="12.9" customHeight="1" x14ac:dyDescent="0.25"/>
    <row r="185" ht="12.9" customHeight="1" x14ac:dyDescent="0.25"/>
    <row r="186" ht="12.9" customHeight="1" x14ac:dyDescent="0.25"/>
    <row r="187" ht="12.9" customHeight="1" x14ac:dyDescent="0.25"/>
    <row r="188" ht="12.9" customHeight="1" x14ac:dyDescent="0.25"/>
    <row r="189" ht="12.9" customHeight="1" x14ac:dyDescent="0.25"/>
    <row r="190" ht="12.9" customHeight="1" x14ac:dyDescent="0.25"/>
    <row r="191" ht="12.9" customHeight="1" x14ac:dyDescent="0.25"/>
    <row r="192" ht="12.9" customHeight="1" x14ac:dyDescent="0.25"/>
    <row r="193" ht="12.9" customHeight="1" x14ac:dyDescent="0.25"/>
    <row r="194" ht="12.9" customHeight="1" x14ac:dyDescent="0.25"/>
    <row r="195" ht="12.9" customHeight="1" x14ac:dyDescent="0.25"/>
    <row r="196" ht="12.9" customHeight="1" x14ac:dyDescent="0.25"/>
    <row r="197" ht="12.9" customHeight="1" x14ac:dyDescent="0.25"/>
    <row r="198" ht="12.9" customHeight="1" x14ac:dyDescent="0.25"/>
    <row r="199" ht="12.9" customHeight="1" x14ac:dyDescent="0.25"/>
    <row r="200" ht="12.9" customHeight="1" x14ac:dyDescent="0.25"/>
    <row r="201" ht="12.9" customHeight="1" x14ac:dyDescent="0.25"/>
    <row r="202" ht="12.9" customHeight="1" x14ac:dyDescent="0.25"/>
    <row r="203" ht="12.9" customHeight="1" x14ac:dyDescent="0.25"/>
    <row r="204" ht="12.9" customHeight="1" x14ac:dyDescent="0.25"/>
    <row r="205" ht="12.9" customHeight="1" x14ac:dyDescent="0.25"/>
    <row r="206" ht="12.9" customHeight="1" x14ac:dyDescent="0.25"/>
    <row r="207" ht="12.9" customHeight="1" x14ac:dyDescent="0.25"/>
    <row r="208" ht="12.9" customHeight="1" x14ac:dyDescent="0.25"/>
    <row r="209" ht="12.9" customHeight="1" x14ac:dyDescent="0.25"/>
    <row r="210" ht="12.9" customHeight="1" x14ac:dyDescent="0.25"/>
    <row r="211" ht="12.9" customHeight="1" x14ac:dyDescent="0.25"/>
    <row r="212" ht="12.9" customHeight="1" x14ac:dyDescent="0.25"/>
    <row r="213" ht="12.9" customHeight="1" x14ac:dyDescent="0.25"/>
    <row r="214" ht="12.9" customHeight="1" x14ac:dyDescent="0.25"/>
    <row r="215" ht="12.9" customHeight="1" x14ac:dyDescent="0.25"/>
    <row r="216" ht="12.9" customHeight="1" x14ac:dyDescent="0.25"/>
    <row r="217" ht="12.9" customHeight="1" x14ac:dyDescent="0.25"/>
    <row r="218" ht="12.9" customHeight="1" x14ac:dyDescent="0.25"/>
    <row r="219" ht="12.9" customHeight="1" x14ac:dyDescent="0.25"/>
    <row r="220" ht="12.9" customHeight="1" x14ac:dyDescent="0.25"/>
    <row r="221" ht="12.9" customHeight="1" x14ac:dyDescent="0.25"/>
    <row r="222" ht="12.9" customHeight="1" x14ac:dyDescent="0.25"/>
    <row r="223" ht="12.9" customHeight="1" x14ac:dyDescent="0.25"/>
    <row r="224" ht="12.9" customHeight="1" x14ac:dyDescent="0.25"/>
    <row r="225" ht="12.9" customHeight="1" x14ac:dyDescent="0.25"/>
    <row r="226" ht="12.9" customHeight="1" x14ac:dyDescent="0.25"/>
    <row r="227" ht="12.9" customHeight="1" x14ac:dyDescent="0.25"/>
    <row r="228" ht="12.9" customHeight="1" x14ac:dyDescent="0.25"/>
    <row r="229" ht="12.9" customHeight="1" x14ac:dyDescent="0.25"/>
    <row r="230" ht="12.9" customHeight="1" x14ac:dyDescent="0.25"/>
    <row r="231" ht="12.9" customHeight="1" x14ac:dyDescent="0.25"/>
    <row r="232" ht="12.9" customHeight="1" x14ac:dyDescent="0.25"/>
    <row r="233" ht="12.9" customHeight="1" x14ac:dyDescent="0.25"/>
    <row r="234" ht="12.9" customHeight="1" x14ac:dyDescent="0.25"/>
    <row r="235" ht="12.9" customHeight="1" x14ac:dyDescent="0.25"/>
    <row r="236" ht="12.9" customHeight="1" x14ac:dyDescent="0.25"/>
    <row r="237" ht="12.9" customHeight="1" x14ac:dyDescent="0.25"/>
    <row r="238" ht="12.9" customHeight="1" x14ac:dyDescent="0.25"/>
    <row r="239" ht="12.9" customHeight="1" x14ac:dyDescent="0.25"/>
    <row r="240" ht="12.9" customHeight="1" x14ac:dyDescent="0.25"/>
    <row r="241" ht="12.9" customHeight="1" x14ac:dyDescent="0.25"/>
    <row r="242" ht="12.9" customHeight="1" x14ac:dyDescent="0.25"/>
    <row r="243" ht="12.9" customHeight="1" x14ac:dyDescent="0.25"/>
    <row r="244" ht="12.9" customHeight="1" x14ac:dyDescent="0.25"/>
    <row r="245" ht="12.9" customHeight="1" x14ac:dyDescent="0.25"/>
    <row r="246" ht="12.9" customHeight="1" x14ac:dyDescent="0.25"/>
    <row r="247" ht="12.9" customHeight="1" x14ac:dyDescent="0.25"/>
    <row r="248" ht="12.9" customHeight="1" x14ac:dyDescent="0.25"/>
    <row r="249" ht="12.9" customHeight="1" x14ac:dyDescent="0.25"/>
    <row r="250" ht="12.9" customHeight="1" x14ac:dyDescent="0.25"/>
    <row r="251" ht="12.9" customHeight="1" x14ac:dyDescent="0.25"/>
    <row r="252" ht="12.9" customHeight="1" x14ac:dyDescent="0.25"/>
    <row r="253" ht="12.9" customHeight="1" x14ac:dyDescent="0.25"/>
    <row r="254" ht="12.9" customHeight="1" x14ac:dyDescent="0.25"/>
    <row r="255" ht="12.9" customHeight="1" x14ac:dyDescent="0.25"/>
    <row r="256" ht="12.9" customHeight="1" x14ac:dyDescent="0.25"/>
    <row r="257" ht="12.9" customHeight="1" x14ac:dyDescent="0.25"/>
    <row r="258" ht="12.9" customHeight="1" x14ac:dyDescent="0.25"/>
    <row r="259" ht="12.9" customHeight="1" x14ac:dyDescent="0.25"/>
    <row r="260" ht="12.9" customHeight="1" x14ac:dyDescent="0.25"/>
    <row r="261" ht="12.9" customHeight="1" x14ac:dyDescent="0.25"/>
    <row r="262" ht="12.9" customHeight="1" x14ac:dyDescent="0.25"/>
    <row r="263" ht="12.9" customHeight="1" x14ac:dyDescent="0.25"/>
    <row r="264" ht="12.9" customHeight="1" x14ac:dyDescent="0.25"/>
    <row r="265" ht="12.9" customHeight="1" x14ac:dyDescent="0.25"/>
    <row r="266" ht="12.9" customHeight="1" x14ac:dyDescent="0.25"/>
    <row r="267" ht="12.9" customHeight="1" x14ac:dyDescent="0.25"/>
  </sheetData>
  <mergeCells count="17">
    <mergeCell ref="A1:U2"/>
    <mergeCell ref="A4:A7"/>
    <mergeCell ref="E4:U4"/>
    <mergeCell ref="E5:F5"/>
    <mergeCell ref="H5:I5"/>
    <mergeCell ref="K5:L5"/>
    <mergeCell ref="N5:O5"/>
    <mergeCell ref="Q5:R5"/>
    <mergeCell ref="T5:U5"/>
    <mergeCell ref="F6:F7"/>
    <mergeCell ref="I6:I7"/>
    <mergeCell ref="U6:U7"/>
    <mergeCell ref="L6:L7"/>
    <mergeCell ref="O6:O7"/>
    <mergeCell ref="R6:R7"/>
    <mergeCell ref="B4:C4"/>
    <mergeCell ref="C5:C6"/>
  </mergeCells>
  <pageMargins left="0.7" right="0.7" top="0.75" bottom="0.75" header="0.3" footer="0.3"/>
  <pageSetup scale="66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6"/>
  <sheetViews>
    <sheetView workbookViewId="0">
      <selection sqref="A1:U2"/>
    </sheetView>
  </sheetViews>
  <sheetFormatPr baseColWidth="10" defaultColWidth="9.6640625" defaultRowHeight="15" x14ac:dyDescent="0.25"/>
  <cols>
    <col min="1" max="1" width="15.4140625" style="18" customWidth="1"/>
    <col min="2" max="2" width="5.58203125" style="18" customWidth="1"/>
    <col min="3" max="3" width="7" style="18" customWidth="1"/>
    <col min="4" max="4" width="1" style="19" customWidth="1"/>
    <col min="5" max="5" width="6" style="18" customWidth="1"/>
    <col min="6" max="6" width="6.6640625" style="18" customWidth="1"/>
    <col min="7" max="7" width="0.9140625" style="19" customWidth="1"/>
    <col min="8" max="8" width="5.9140625" style="18" customWidth="1"/>
    <col min="9" max="9" width="6.6640625" style="18" customWidth="1"/>
    <col min="10" max="10" width="0.9140625" style="19" customWidth="1"/>
    <col min="11" max="11" width="5.25" style="18" customWidth="1"/>
    <col min="12" max="12" width="6.6640625" style="18" customWidth="1"/>
    <col min="13" max="13" width="0.9140625" style="19" customWidth="1"/>
    <col min="14" max="14" width="5.08203125" style="18" customWidth="1"/>
    <col min="15" max="15" width="6.25" style="18" customWidth="1"/>
    <col min="16" max="16" width="0.9140625" style="18" customWidth="1"/>
    <col min="17" max="17" width="4.6640625" style="18" customWidth="1"/>
    <col min="18" max="18" width="6.25" style="18" customWidth="1"/>
    <col min="19" max="19" width="1.08203125" style="18" customWidth="1"/>
    <col min="20" max="20" width="6.25" style="18" customWidth="1"/>
    <col min="21" max="21" width="6.33203125" style="18" customWidth="1"/>
    <col min="22" max="16384" width="9.6640625" style="18"/>
  </cols>
  <sheetData>
    <row r="1" spans="1:21" s="30" customFormat="1" ht="15" customHeight="1" x14ac:dyDescent="0.3">
      <c r="A1" s="47" t="s">
        <v>32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</row>
    <row r="2" spans="1:21" s="30" customFormat="1" ht="15" customHeight="1" x14ac:dyDescent="0.3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</row>
    <row r="3" spans="1:21" s="30" customFormat="1" ht="9.15" customHeight="1" x14ac:dyDescent="0.3">
      <c r="A3" s="29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</row>
    <row r="4" spans="1:21" s="3" customFormat="1" ht="12.9" customHeight="1" x14ac:dyDescent="0.2">
      <c r="A4" s="48" t="s">
        <v>7</v>
      </c>
      <c r="B4" s="51" t="s">
        <v>4</v>
      </c>
      <c r="C4" s="51"/>
      <c r="D4" s="2"/>
      <c r="E4" s="44" t="s">
        <v>5</v>
      </c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</row>
    <row r="5" spans="1:21" s="3" customFormat="1" ht="23.25" customHeight="1" x14ac:dyDescent="0.2">
      <c r="A5" s="48"/>
      <c r="B5" s="44"/>
      <c r="C5" s="44"/>
      <c r="D5" s="2"/>
      <c r="E5" s="52" t="s">
        <v>0</v>
      </c>
      <c r="F5" s="52"/>
      <c r="G5" s="2"/>
      <c r="H5" s="44" t="s">
        <v>1</v>
      </c>
      <c r="I5" s="44"/>
      <c r="J5" s="2"/>
      <c r="K5" s="44" t="s">
        <v>2</v>
      </c>
      <c r="L5" s="44"/>
      <c r="M5" s="2"/>
      <c r="N5" s="44" t="s">
        <v>3</v>
      </c>
      <c r="O5" s="44"/>
      <c r="P5" s="2"/>
      <c r="Q5" s="52" t="s">
        <v>22</v>
      </c>
      <c r="R5" s="52"/>
      <c r="S5" s="2"/>
      <c r="T5" s="44" t="s">
        <v>19</v>
      </c>
      <c r="U5" s="44"/>
    </row>
    <row r="6" spans="1:21" s="3" customFormat="1" ht="12.9" customHeight="1" x14ac:dyDescent="0.25">
      <c r="A6" s="48"/>
      <c r="B6" s="50" t="s">
        <v>31</v>
      </c>
      <c r="C6" s="46" t="s">
        <v>18</v>
      </c>
      <c r="D6" s="6"/>
      <c r="E6" s="49" t="s">
        <v>31</v>
      </c>
      <c r="F6" s="45" t="s">
        <v>18</v>
      </c>
      <c r="G6" s="6"/>
      <c r="H6" s="49" t="s">
        <v>31</v>
      </c>
      <c r="I6" s="45" t="s">
        <v>18</v>
      </c>
      <c r="J6" s="6"/>
      <c r="K6" s="49" t="s">
        <v>31</v>
      </c>
      <c r="L6" s="45" t="s">
        <v>18</v>
      </c>
      <c r="M6" s="6"/>
      <c r="N6" s="49" t="s">
        <v>31</v>
      </c>
      <c r="O6" s="45" t="s">
        <v>18</v>
      </c>
      <c r="P6" s="6"/>
      <c r="Q6" s="49" t="s">
        <v>31</v>
      </c>
      <c r="R6" s="45" t="s">
        <v>18</v>
      </c>
      <c r="S6" s="21"/>
      <c r="T6" s="49" t="s">
        <v>31</v>
      </c>
      <c r="U6" s="45" t="s">
        <v>18</v>
      </c>
    </row>
    <row r="7" spans="1:21" s="3" customFormat="1" ht="12.9" customHeight="1" x14ac:dyDescent="0.25">
      <c r="A7" s="48"/>
      <c r="B7" s="50"/>
      <c r="C7" s="46"/>
      <c r="D7" s="6"/>
      <c r="E7" s="50"/>
      <c r="F7" s="46"/>
      <c r="G7" s="6"/>
      <c r="H7" s="50"/>
      <c r="I7" s="46"/>
      <c r="J7" s="6"/>
      <c r="K7" s="50"/>
      <c r="L7" s="46"/>
      <c r="M7" s="6"/>
      <c r="N7" s="50"/>
      <c r="O7" s="46"/>
      <c r="P7" s="6"/>
      <c r="Q7" s="50"/>
      <c r="R7" s="46"/>
      <c r="S7" s="21"/>
      <c r="T7" s="50"/>
      <c r="U7" s="46"/>
    </row>
    <row r="8" spans="1:21" s="3" customFormat="1" ht="9.15" customHeight="1" x14ac:dyDescent="0.25">
      <c r="D8" s="7"/>
      <c r="G8" s="7"/>
      <c r="J8" s="7"/>
      <c r="K8" s="8"/>
      <c r="L8" s="8"/>
      <c r="M8" s="8"/>
      <c r="N8" s="8"/>
      <c r="O8" s="8"/>
      <c r="P8" s="8"/>
      <c r="Q8" s="8"/>
      <c r="R8" s="8"/>
      <c r="S8" s="8"/>
      <c r="T8" s="8"/>
      <c r="U8" s="8"/>
    </row>
    <row r="9" spans="1:21" s="3" customFormat="1" ht="12.9" customHeight="1" x14ac:dyDescent="0.25">
      <c r="A9" s="1" t="s">
        <v>4</v>
      </c>
      <c r="B9" s="8">
        <f>+E9+H9+K9+N9+Q9</f>
        <v>288</v>
      </c>
      <c r="C9" s="8">
        <f>+F9+I9+L9+O9+R9</f>
        <v>309395.03000000003</v>
      </c>
      <c r="D9" s="9"/>
      <c r="E9" s="8">
        <f>SUM(E11:E18)</f>
        <v>185</v>
      </c>
      <c r="F9" s="8">
        <f>SUM(F11:F18)</f>
        <v>158897.03</v>
      </c>
      <c r="G9" s="9"/>
      <c r="H9" s="8">
        <f>SUM(H11:H18)</f>
        <v>47</v>
      </c>
      <c r="I9" s="8">
        <f>SUM(I11:I18)</f>
        <v>40592</v>
      </c>
      <c r="J9" s="9"/>
      <c r="K9" s="8">
        <f>SUM(K11:K18)</f>
        <v>6</v>
      </c>
      <c r="L9" s="8">
        <f>SUM(L11:L18)</f>
        <v>7618</v>
      </c>
      <c r="M9" s="8"/>
      <c r="N9" s="8">
        <f>SUM(N11:N18)</f>
        <v>2</v>
      </c>
      <c r="O9" s="8">
        <f>SUM(O11:O18)</f>
        <v>959</v>
      </c>
      <c r="P9" s="8"/>
      <c r="Q9" s="8">
        <f>SUM(Q11:Q18)</f>
        <v>48</v>
      </c>
      <c r="R9" s="8">
        <f>SUM(R11:R18)</f>
        <v>101329</v>
      </c>
      <c r="S9" s="8"/>
      <c r="T9" s="10" t="s">
        <v>23</v>
      </c>
      <c r="U9" s="10" t="s">
        <v>23</v>
      </c>
    </row>
    <row r="10" spans="1:21" s="3" customFormat="1" ht="9.15" customHeight="1" x14ac:dyDescent="0.25">
      <c r="A10" s="1"/>
      <c r="B10" s="10"/>
      <c r="C10" s="10"/>
      <c r="D10" s="10"/>
      <c r="E10" s="10"/>
      <c r="F10" s="10"/>
      <c r="G10" s="11"/>
      <c r="H10" s="10"/>
      <c r="I10" s="10"/>
      <c r="J10" s="11"/>
      <c r="K10" s="10"/>
      <c r="L10" s="10"/>
      <c r="M10" s="11"/>
      <c r="N10" s="10"/>
      <c r="O10" s="10"/>
      <c r="P10" s="11"/>
      <c r="Q10" s="10"/>
      <c r="R10" s="10"/>
      <c r="S10" s="10"/>
      <c r="T10" s="10"/>
      <c r="U10" s="10"/>
    </row>
    <row r="11" spans="1:21" s="3" customFormat="1" ht="12.9" customHeight="1" x14ac:dyDescent="0.25">
      <c r="A11" s="12" t="s">
        <v>8</v>
      </c>
      <c r="B11" s="8">
        <f t="shared" ref="B11:C13" si="0">+E11+H11+Q11</f>
        <v>49</v>
      </c>
      <c r="C11" s="8">
        <f t="shared" si="0"/>
        <v>694.11</v>
      </c>
      <c r="D11" s="13"/>
      <c r="E11" s="10">
        <v>41</v>
      </c>
      <c r="F11" s="10">
        <v>634.11</v>
      </c>
      <c r="G11" s="13"/>
      <c r="H11" s="10">
        <v>5</v>
      </c>
      <c r="I11" s="10">
        <v>37</v>
      </c>
      <c r="J11" s="13"/>
      <c r="K11" s="10" t="s">
        <v>23</v>
      </c>
      <c r="L11" s="10" t="s">
        <v>23</v>
      </c>
      <c r="M11" s="14"/>
      <c r="N11" s="10" t="s">
        <v>23</v>
      </c>
      <c r="O11" s="10" t="s">
        <v>23</v>
      </c>
      <c r="P11" s="14"/>
      <c r="Q11" s="10">
        <v>3</v>
      </c>
      <c r="R11" s="10">
        <v>23</v>
      </c>
      <c r="S11" s="10"/>
      <c r="T11" s="10" t="s">
        <v>23</v>
      </c>
      <c r="U11" s="10" t="s">
        <v>23</v>
      </c>
    </row>
    <row r="12" spans="1:21" s="3" customFormat="1" ht="12.9" customHeight="1" x14ac:dyDescent="0.25">
      <c r="A12" s="12" t="s">
        <v>10</v>
      </c>
      <c r="B12" s="8">
        <f t="shared" si="0"/>
        <v>53</v>
      </c>
      <c r="C12" s="8">
        <f t="shared" si="0"/>
        <v>2841.92</v>
      </c>
      <c r="D12" s="13"/>
      <c r="E12" s="10">
        <v>40</v>
      </c>
      <c r="F12" s="10">
        <v>2096.92</v>
      </c>
      <c r="G12" s="13"/>
      <c r="H12" s="10">
        <v>7</v>
      </c>
      <c r="I12" s="10">
        <v>430</v>
      </c>
      <c r="J12" s="13"/>
      <c r="K12" s="10" t="s">
        <v>23</v>
      </c>
      <c r="L12" s="10" t="s">
        <v>23</v>
      </c>
      <c r="M12" s="13"/>
      <c r="N12" s="10" t="s">
        <v>23</v>
      </c>
      <c r="O12" s="10" t="s">
        <v>23</v>
      </c>
      <c r="P12" s="13"/>
      <c r="Q12" s="10">
        <v>6</v>
      </c>
      <c r="R12" s="10">
        <v>315</v>
      </c>
      <c r="S12" s="10"/>
      <c r="T12" s="10" t="s">
        <v>23</v>
      </c>
      <c r="U12" s="10" t="s">
        <v>23</v>
      </c>
    </row>
    <row r="13" spans="1:21" s="3" customFormat="1" ht="12.9" customHeight="1" x14ac:dyDescent="0.25">
      <c r="A13" s="12" t="s">
        <v>11</v>
      </c>
      <c r="B13" s="8">
        <f t="shared" si="0"/>
        <v>12</v>
      </c>
      <c r="C13" s="8">
        <f t="shared" si="0"/>
        <v>1192</v>
      </c>
      <c r="D13" s="13"/>
      <c r="E13" s="10">
        <v>10</v>
      </c>
      <c r="F13" s="10">
        <v>1019</v>
      </c>
      <c r="G13" s="13"/>
      <c r="H13" s="10">
        <v>2</v>
      </c>
      <c r="I13" s="10">
        <v>173</v>
      </c>
      <c r="J13" s="13"/>
      <c r="K13" s="10" t="s">
        <v>23</v>
      </c>
      <c r="L13" s="10" t="s">
        <v>23</v>
      </c>
      <c r="M13" s="14"/>
      <c r="N13" s="10" t="s">
        <v>23</v>
      </c>
      <c r="O13" s="10" t="s">
        <v>23</v>
      </c>
      <c r="P13" s="14"/>
      <c r="Q13" s="10"/>
      <c r="R13" s="10"/>
      <c r="S13" s="14"/>
      <c r="T13" s="10" t="s">
        <v>23</v>
      </c>
      <c r="U13" s="10" t="s">
        <v>23</v>
      </c>
    </row>
    <row r="14" spans="1:21" s="3" customFormat="1" ht="12.9" customHeight="1" x14ac:dyDescent="0.25">
      <c r="A14" s="12" t="s">
        <v>12</v>
      </c>
      <c r="B14" s="8">
        <f>+E14+H14+K14+Q14</f>
        <v>31</v>
      </c>
      <c r="C14" s="8">
        <f>+F14+I14+L14+R14</f>
        <v>4687</v>
      </c>
      <c r="D14" s="13"/>
      <c r="E14" s="10">
        <v>15</v>
      </c>
      <c r="F14" s="10">
        <v>2256</v>
      </c>
      <c r="G14" s="13"/>
      <c r="H14" s="10">
        <v>9</v>
      </c>
      <c r="I14" s="10">
        <v>1318</v>
      </c>
      <c r="J14" s="13"/>
      <c r="K14" s="10">
        <v>2</v>
      </c>
      <c r="L14" s="10">
        <v>362</v>
      </c>
      <c r="M14" s="13"/>
      <c r="N14" s="10" t="s">
        <v>23</v>
      </c>
      <c r="O14" s="10" t="s">
        <v>23</v>
      </c>
      <c r="P14" s="13"/>
      <c r="Q14" s="10">
        <v>5</v>
      </c>
      <c r="R14" s="10">
        <v>751</v>
      </c>
      <c r="S14" s="10"/>
      <c r="T14" s="10" t="s">
        <v>23</v>
      </c>
      <c r="U14" s="10" t="s">
        <v>23</v>
      </c>
    </row>
    <row r="15" spans="1:21" s="3" customFormat="1" ht="12.9" customHeight="1" x14ac:dyDescent="0.25">
      <c r="A15" s="12" t="s">
        <v>13</v>
      </c>
      <c r="B15" s="8">
        <f>+E15+H15+K15+N15+Q15</f>
        <v>51</v>
      </c>
      <c r="C15" s="8">
        <f>+F15+I15+L15+O15+R15</f>
        <v>17127</v>
      </c>
      <c r="D15" s="13"/>
      <c r="E15" s="10">
        <v>26</v>
      </c>
      <c r="F15" s="10">
        <v>8262</v>
      </c>
      <c r="G15" s="13"/>
      <c r="H15" s="10">
        <v>12</v>
      </c>
      <c r="I15" s="10">
        <v>4200</v>
      </c>
      <c r="J15" s="13"/>
      <c r="K15" s="10">
        <v>2</v>
      </c>
      <c r="L15" s="10">
        <v>619</v>
      </c>
      <c r="M15" s="13"/>
      <c r="N15" s="10">
        <v>1</v>
      </c>
      <c r="O15" s="10">
        <v>458</v>
      </c>
      <c r="P15" s="13"/>
      <c r="Q15" s="10">
        <v>10</v>
      </c>
      <c r="R15" s="10">
        <v>3588</v>
      </c>
      <c r="S15" s="10"/>
      <c r="T15" s="10" t="s">
        <v>23</v>
      </c>
      <c r="U15" s="10" t="s">
        <v>23</v>
      </c>
    </row>
    <row r="16" spans="1:21" s="3" customFormat="1" ht="12.9" customHeight="1" x14ac:dyDescent="0.25">
      <c r="A16" s="12" t="s">
        <v>14</v>
      </c>
      <c r="B16" s="8">
        <f>+E16+H16+K16+N16+Q16</f>
        <v>21</v>
      </c>
      <c r="C16" s="8">
        <f>+F16+I16+L16+O16+R16</f>
        <v>16159</v>
      </c>
      <c r="D16" s="13"/>
      <c r="E16" s="10">
        <v>13</v>
      </c>
      <c r="F16" s="10">
        <v>9983</v>
      </c>
      <c r="G16" s="13"/>
      <c r="H16" s="10">
        <v>3</v>
      </c>
      <c r="I16" s="10">
        <v>2097</v>
      </c>
      <c r="J16" s="13"/>
      <c r="K16" s="10">
        <v>1</v>
      </c>
      <c r="L16" s="10">
        <v>939</v>
      </c>
      <c r="M16" s="13"/>
      <c r="N16" s="13">
        <v>1</v>
      </c>
      <c r="O16" s="13">
        <v>501</v>
      </c>
      <c r="P16" s="13"/>
      <c r="Q16" s="13">
        <v>3</v>
      </c>
      <c r="R16" s="13">
        <v>2639</v>
      </c>
      <c r="S16" s="10"/>
      <c r="T16" s="10" t="s">
        <v>23</v>
      </c>
      <c r="U16" s="10" t="s">
        <v>23</v>
      </c>
    </row>
    <row r="17" spans="1:21" s="3" customFormat="1" ht="12.9" customHeight="1" x14ac:dyDescent="0.25">
      <c r="A17" s="12" t="s">
        <v>15</v>
      </c>
      <c r="B17" s="8">
        <f>+E17+H17+Q17</f>
        <v>31</v>
      </c>
      <c r="C17" s="8">
        <f>+F17+I17+R17</f>
        <v>44741</v>
      </c>
      <c r="D17" s="13"/>
      <c r="E17" s="10">
        <v>20</v>
      </c>
      <c r="F17" s="10">
        <v>29688</v>
      </c>
      <c r="G17" s="13"/>
      <c r="H17" s="10">
        <v>5</v>
      </c>
      <c r="I17" s="10">
        <v>6451</v>
      </c>
      <c r="J17" s="13"/>
      <c r="K17" s="10" t="s">
        <v>23</v>
      </c>
      <c r="L17" s="10" t="s">
        <v>23</v>
      </c>
      <c r="M17" s="13"/>
      <c r="N17" s="10" t="s">
        <v>23</v>
      </c>
      <c r="O17" s="10" t="s">
        <v>23</v>
      </c>
      <c r="P17" s="13"/>
      <c r="Q17" s="10">
        <v>6</v>
      </c>
      <c r="R17" s="10">
        <v>8602</v>
      </c>
      <c r="S17" s="10"/>
      <c r="T17" s="10" t="s">
        <v>23</v>
      </c>
      <c r="U17" s="10" t="s">
        <v>23</v>
      </c>
    </row>
    <row r="18" spans="1:21" s="3" customFormat="1" ht="12.9" customHeight="1" x14ac:dyDescent="0.25">
      <c r="A18" s="12" t="s">
        <v>6</v>
      </c>
      <c r="B18" s="8">
        <f>+E18+H18+K18+Q18</f>
        <v>40</v>
      </c>
      <c r="C18" s="8">
        <f>+F18+I18+L18+R18</f>
        <v>221953</v>
      </c>
      <c r="D18" s="13"/>
      <c r="E18" s="10">
        <v>20</v>
      </c>
      <c r="F18" s="10">
        <v>104958</v>
      </c>
      <c r="G18" s="13"/>
      <c r="H18" s="10">
        <v>4</v>
      </c>
      <c r="I18" s="10">
        <v>25886</v>
      </c>
      <c r="J18" s="13"/>
      <c r="K18" s="10">
        <v>1</v>
      </c>
      <c r="L18" s="10">
        <v>5698</v>
      </c>
      <c r="M18" s="13"/>
      <c r="N18" s="10" t="s">
        <v>23</v>
      </c>
      <c r="O18" s="10" t="s">
        <v>23</v>
      </c>
      <c r="P18" s="13"/>
      <c r="Q18" s="10">
        <v>15</v>
      </c>
      <c r="R18" s="10">
        <v>85411</v>
      </c>
      <c r="S18" s="10"/>
      <c r="T18" s="10" t="s">
        <v>23</v>
      </c>
      <c r="U18" s="10" t="s">
        <v>23</v>
      </c>
    </row>
    <row r="19" spans="1:21" s="1" customFormat="1" ht="9.15" customHeight="1" x14ac:dyDescent="0.25">
      <c r="A19" s="15"/>
      <c r="B19" s="16"/>
      <c r="C19" s="8"/>
      <c r="D19" s="17"/>
      <c r="E19" s="10"/>
      <c r="F19" s="10"/>
      <c r="G19" s="13"/>
      <c r="H19" s="10"/>
      <c r="I19" s="10"/>
      <c r="J19" s="13"/>
      <c r="K19" s="10"/>
      <c r="L19" s="10"/>
      <c r="M19" s="13"/>
      <c r="N19" s="10"/>
      <c r="O19" s="10"/>
      <c r="P19" s="13"/>
      <c r="Q19" s="10"/>
      <c r="R19" s="10"/>
    </row>
    <row r="20" spans="1:21" ht="12.9" customHeight="1" x14ac:dyDescent="0.25">
      <c r="A20" s="15" t="s">
        <v>9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</row>
    <row r="21" spans="1:21" ht="13.5" customHeight="1" x14ac:dyDescent="0.25">
      <c r="A21" s="15" t="s">
        <v>21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</row>
    <row r="22" spans="1:21" ht="12.9" customHeight="1" x14ac:dyDescent="0.25">
      <c r="A22" s="12"/>
      <c r="B22" s="19"/>
      <c r="C22" s="19"/>
      <c r="E22" s="19"/>
      <c r="F22" s="19"/>
      <c r="H22" s="19"/>
      <c r="I22" s="19"/>
      <c r="K22" s="19"/>
      <c r="L22" s="19"/>
      <c r="N22" s="19"/>
      <c r="O22" s="19"/>
    </row>
    <row r="26" spans="1:21" x14ac:dyDescent="0.25">
      <c r="C26" s="20"/>
    </row>
  </sheetData>
  <mergeCells count="24">
    <mergeCell ref="A1:U2"/>
    <mergeCell ref="B6:B7"/>
    <mergeCell ref="C6:C7"/>
    <mergeCell ref="B4:C5"/>
    <mergeCell ref="Q5:R5"/>
    <mergeCell ref="F6:F7"/>
    <mergeCell ref="A4:A7"/>
    <mergeCell ref="E5:F5"/>
    <mergeCell ref="H5:I5"/>
    <mergeCell ref="E4:U4"/>
    <mergeCell ref="T5:U5"/>
    <mergeCell ref="R6:R7"/>
    <mergeCell ref="K5:L5"/>
    <mergeCell ref="N5:O5"/>
    <mergeCell ref="Q6:Q7"/>
    <mergeCell ref="U6:U7"/>
    <mergeCell ref="T6:T7"/>
    <mergeCell ref="E6:E7"/>
    <mergeCell ref="H6:H7"/>
    <mergeCell ref="O6:O7"/>
    <mergeCell ref="K6:K7"/>
    <mergeCell ref="N6:N7"/>
    <mergeCell ref="I6:I7"/>
    <mergeCell ref="L6:L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3"/>
  <sheetViews>
    <sheetView workbookViewId="0"/>
  </sheetViews>
  <sheetFormatPr baseColWidth="10" defaultColWidth="9.6640625" defaultRowHeight="15" x14ac:dyDescent="0.25"/>
  <cols>
    <col min="1" max="1" width="15.6640625" style="18" customWidth="1"/>
    <col min="2" max="2" width="5.58203125" style="18" customWidth="1"/>
    <col min="3" max="3" width="7" style="18" customWidth="1"/>
    <col min="4" max="4" width="1" style="19" customWidth="1"/>
    <col min="5" max="5" width="6" style="18" customWidth="1"/>
    <col min="6" max="6" width="6.6640625" style="18" customWidth="1"/>
    <col min="7" max="7" width="0.9140625" style="19" customWidth="1"/>
    <col min="8" max="8" width="5.9140625" style="18" customWidth="1"/>
    <col min="9" max="9" width="6.6640625" style="18" customWidth="1"/>
    <col min="10" max="10" width="0.9140625" style="19" customWidth="1"/>
    <col min="11" max="11" width="5.25" style="18" customWidth="1"/>
    <col min="12" max="12" width="6.6640625" style="18" customWidth="1"/>
    <col min="13" max="13" width="0.9140625" style="19" customWidth="1"/>
    <col min="14" max="14" width="5.08203125" style="18" customWidth="1"/>
    <col min="15" max="15" width="6.25" style="18" customWidth="1"/>
    <col min="16" max="16" width="0.9140625" style="18" customWidth="1"/>
    <col min="17" max="17" width="4.6640625" style="18" customWidth="1"/>
    <col min="18" max="18" width="6.25" style="18" customWidth="1"/>
    <col min="19" max="19" width="0.9140625" style="18" customWidth="1"/>
    <col min="20" max="20" width="4.6640625" style="18" customWidth="1"/>
    <col min="21" max="21" width="6.25" style="18" customWidth="1"/>
    <col min="22" max="16384" width="9.6640625" style="18"/>
  </cols>
  <sheetData>
    <row r="1" spans="1:21" s="1" customFormat="1" ht="15" customHeight="1" x14ac:dyDescent="0.3">
      <c r="A1" s="29" t="s">
        <v>20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</row>
    <row r="2" spans="1:21" s="1" customFormat="1" ht="15" customHeight="1" x14ac:dyDescent="0.3">
      <c r="A2" s="29" t="s">
        <v>29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</row>
    <row r="3" spans="1:21" s="1" customFormat="1" ht="9.15" customHeight="1" x14ac:dyDescent="0.3">
      <c r="A3" s="29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</row>
    <row r="4" spans="1:21" s="3" customFormat="1" ht="12.9" customHeight="1" x14ac:dyDescent="0.25">
      <c r="A4" s="1" t="s">
        <v>7</v>
      </c>
      <c r="B4" s="44" t="s">
        <v>4</v>
      </c>
      <c r="C4" s="44"/>
      <c r="D4" s="2"/>
      <c r="E4" s="44" t="s">
        <v>5</v>
      </c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</row>
    <row r="5" spans="1:21" s="3" customFormat="1" ht="12.9" customHeight="1" x14ac:dyDescent="0.25">
      <c r="A5" s="1"/>
      <c r="B5" s="4" t="s">
        <v>16</v>
      </c>
      <c r="C5" s="45" t="s">
        <v>18</v>
      </c>
      <c r="D5" s="2"/>
      <c r="E5" s="52" t="s">
        <v>0</v>
      </c>
      <c r="F5" s="52"/>
      <c r="G5" s="2"/>
      <c r="H5" s="52" t="s">
        <v>1</v>
      </c>
      <c r="I5" s="52"/>
      <c r="J5" s="2"/>
      <c r="K5" s="52" t="s">
        <v>2</v>
      </c>
      <c r="L5" s="52"/>
      <c r="M5" s="2"/>
      <c r="N5" s="52" t="s">
        <v>3</v>
      </c>
      <c r="O5" s="52"/>
      <c r="P5" s="22"/>
      <c r="Q5" s="52" t="s">
        <v>25</v>
      </c>
      <c r="R5" s="52"/>
      <c r="S5" s="22"/>
      <c r="T5" s="52" t="s">
        <v>19</v>
      </c>
      <c r="U5" s="52"/>
    </row>
    <row r="6" spans="1:21" s="3" customFormat="1" ht="12.9" customHeight="1" x14ac:dyDescent="0.25">
      <c r="A6" s="1"/>
      <c r="B6" s="5" t="s">
        <v>17</v>
      </c>
      <c r="C6" s="46"/>
      <c r="D6" s="6"/>
      <c r="E6" s="4" t="s">
        <v>16</v>
      </c>
      <c r="F6" s="45" t="s">
        <v>18</v>
      </c>
      <c r="G6" s="6"/>
      <c r="H6" s="4" t="s">
        <v>16</v>
      </c>
      <c r="I6" s="45" t="s">
        <v>18</v>
      </c>
      <c r="J6" s="6"/>
      <c r="K6" s="4" t="s">
        <v>16</v>
      </c>
      <c r="L6" s="45" t="s">
        <v>18</v>
      </c>
      <c r="M6" s="6"/>
      <c r="N6" s="4" t="s">
        <v>16</v>
      </c>
      <c r="O6" s="45" t="s">
        <v>18</v>
      </c>
      <c r="P6" s="23"/>
      <c r="Q6" s="4" t="s">
        <v>16</v>
      </c>
      <c r="R6" s="45" t="s">
        <v>18</v>
      </c>
      <c r="S6" s="23"/>
      <c r="T6" s="4" t="s">
        <v>16</v>
      </c>
      <c r="U6" s="45" t="s">
        <v>18</v>
      </c>
    </row>
    <row r="7" spans="1:21" s="3" customFormat="1" ht="12.9" customHeight="1" x14ac:dyDescent="0.25">
      <c r="A7" s="1"/>
      <c r="D7" s="6"/>
      <c r="E7" s="5" t="s">
        <v>17</v>
      </c>
      <c r="F7" s="46"/>
      <c r="G7" s="6"/>
      <c r="H7" s="5" t="s">
        <v>17</v>
      </c>
      <c r="I7" s="46"/>
      <c r="J7" s="6"/>
      <c r="K7" s="5" t="s">
        <v>17</v>
      </c>
      <c r="L7" s="46"/>
      <c r="M7" s="6"/>
      <c r="N7" s="5" t="s">
        <v>17</v>
      </c>
      <c r="O7" s="46"/>
      <c r="P7" s="23"/>
      <c r="Q7" s="5" t="s">
        <v>17</v>
      </c>
      <c r="R7" s="46"/>
      <c r="S7" s="23"/>
      <c r="T7" s="5" t="s">
        <v>17</v>
      </c>
      <c r="U7" s="46"/>
    </row>
    <row r="8" spans="1:21" s="3" customFormat="1" ht="9.15" customHeight="1" x14ac:dyDescent="0.25">
      <c r="D8" s="7"/>
      <c r="G8" s="7"/>
      <c r="J8" s="7"/>
      <c r="K8" s="8"/>
      <c r="L8" s="8"/>
      <c r="M8" s="8"/>
      <c r="N8" s="8"/>
      <c r="O8" s="8"/>
      <c r="P8" s="8"/>
      <c r="Q8" s="8"/>
      <c r="R8" s="8"/>
      <c r="S8" s="8"/>
      <c r="T8" s="8"/>
      <c r="U8" s="8"/>
    </row>
    <row r="9" spans="1:21" s="3" customFormat="1" ht="12.9" customHeight="1" x14ac:dyDescent="0.25">
      <c r="A9" s="1" t="s">
        <v>4</v>
      </c>
      <c r="B9" s="8">
        <v>393</v>
      </c>
      <c r="C9" s="8">
        <v>320604.01</v>
      </c>
      <c r="D9" s="9"/>
      <c r="E9" s="8">
        <v>216</v>
      </c>
      <c r="F9" s="8">
        <v>110792.3</v>
      </c>
      <c r="G9" s="9"/>
      <c r="H9" s="8">
        <v>54</v>
      </c>
      <c r="I9" s="8">
        <v>25978</v>
      </c>
      <c r="J9" s="9"/>
      <c r="K9" s="8">
        <v>19</v>
      </c>
      <c r="L9" s="8">
        <v>10635.26</v>
      </c>
      <c r="M9" s="8">
        <v>0</v>
      </c>
      <c r="N9" s="8">
        <v>16</v>
      </c>
      <c r="O9" s="8">
        <v>30519.45</v>
      </c>
      <c r="P9" s="8"/>
      <c r="Q9" s="8">
        <v>87</v>
      </c>
      <c r="R9" s="8">
        <v>142677</v>
      </c>
      <c r="S9" s="8"/>
      <c r="T9" s="8">
        <v>1</v>
      </c>
      <c r="U9" s="8">
        <v>2</v>
      </c>
    </row>
    <row r="10" spans="1:21" s="3" customFormat="1" ht="9.15" customHeight="1" x14ac:dyDescent="0.25">
      <c r="A10" s="1"/>
      <c r="B10" s="10"/>
      <c r="C10" s="10"/>
      <c r="D10" s="11"/>
      <c r="E10" s="10"/>
      <c r="F10" s="10"/>
      <c r="G10" s="11"/>
      <c r="H10" s="10"/>
      <c r="I10" s="10"/>
      <c r="J10" s="11"/>
      <c r="K10" s="10"/>
      <c r="L10" s="10"/>
      <c r="M10" s="11"/>
      <c r="N10" s="10"/>
      <c r="O10" s="10"/>
      <c r="P10" s="10"/>
      <c r="Q10" s="10"/>
      <c r="R10" s="10"/>
      <c r="S10" s="10"/>
      <c r="T10" s="10"/>
      <c r="U10" s="10"/>
    </row>
    <row r="11" spans="1:21" s="3" customFormat="1" ht="12.9" customHeight="1" x14ac:dyDescent="0.25">
      <c r="A11" s="12" t="s">
        <v>8</v>
      </c>
      <c r="B11" s="27">
        <v>63</v>
      </c>
      <c r="C11" s="27">
        <v>870.11</v>
      </c>
      <c r="D11" s="13"/>
      <c r="E11" s="10">
        <v>41</v>
      </c>
      <c r="F11" s="10">
        <v>548.35</v>
      </c>
      <c r="G11" s="13"/>
      <c r="H11" s="10">
        <v>8</v>
      </c>
      <c r="I11" s="10">
        <v>121</v>
      </c>
      <c r="J11" s="13"/>
      <c r="K11" s="10">
        <v>5</v>
      </c>
      <c r="L11" s="10">
        <v>98.26</v>
      </c>
      <c r="M11" s="14"/>
      <c r="N11" s="10">
        <v>1</v>
      </c>
      <c r="O11" s="10">
        <v>5.5</v>
      </c>
      <c r="P11" s="10"/>
      <c r="Q11" s="10">
        <v>7</v>
      </c>
      <c r="R11" s="10">
        <v>95</v>
      </c>
      <c r="S11" s="10"/>
      <c r="T11" s="10">
        <v>1</v>
      </c>
      <c r="U11" s="10">
        <v>2</v>
      </c>
    </row>
    <row r="12" spans="1:21" s="3" customFormat="1" ht="12.9" customHeight="1" x14ac:dyDescent="0.25">
      <c r="A12" s="12" t="s">
        <v>10</v>
      </c>
      <c r="B12" s="27">
        <v>71</v>
      </c>
      <c r="C12" s="27">
        <v>3890.95</v>
      </c>
      <c r="D12" s="13"/>
      <c r="E12" s="10">
        <v>51</v>
      </c>
      <c r="F12" s="10">
        <v>2763.45</v>
      </c>
      <c r="G12" s="13"/>
      <c r="H12" s="10">
        <v>8</v>
      </c>
      <c r="I12" s="10">
        <v>475</v>
      </c>
      <c r="J12" s="13"/>
      <c r="K12" s="10">
        <v>3</v>
      </c>
      <c r="L12" s="10">
        <v>199</v>
      </c>
      <c r="M12" s="13"/>
      <c r="N12" s="10">
        <v>2</v>
      </c>
      <c r="O12" s="10">
        <v>75.5</v>
      </c>
      <c r="P12" s="10"/>
      <c r="Q12" s="10">
        <v>7</v>
      </c>
      <c r="R12" s="10">
        <v>378</v>
      </c>
      <c r="S12" s="10"/>
      <c r="T12" s="10" t="s">
        <v>23</v>
      </c>
      <c r="U12" s="10" t="s">
        <v>23</v>
      </c>
    </row>
    <row r="13" spans="1:21" s="3" customFormat="1" ht="12.9" customHeight="1" x14ac:dyDescent="0.25">
      <c r="A13" s="12" t="s">
        <v>11</v>
      </c>
      <c r="B13" s="27">
        <v>40</v>
      </c>
      <c r="C13" s="27">
        <v>3866.2</v>
      </c>
      <c r="D13" s="13"/>
      <c r="E13" s="10">
        <v>27</v>
      </c>
      <c r="F13" s="10">
        <v>2608.1999999999998</v>
      </c>
      <c r="G13" s="13"/>
      <c r="H13" s="10">
        <v>3</v>
      </c>
      <c r="I13" s="10">
        <v>305</v>
      </c>
      <c r="J13" s="13"/>
      <c r="K13" s="10" t="s">
        <v>23</v>
      </c>
      <c r="L13" s="10" t="s">
        <v>23</v>
      </c>
      <c r="M13" s="14"/>
      <c r="N13" s="10">
        <v>3</v>
      </c>
      <c r="O13" s="10">
        <v>271</v>
      </c>
      <c r="P13" s="14"/>
      <c r="Q13" s="10">
        <v>7</v>
      </c>
      <c r="R13" s="10">
        <v>682</v>
      </c>
      <c r="S13" s="14"/>
      <c r="T13" s="10" t="s">
        <v>23</v>
      </c>
      <c r="U13" s="10" t="s">
        <v>23</v>
      </c>
    </row>
    <row r="14" spans="1:21" s="3" customFormat="1" ht="12.9" customHeight="1" x14ac:dyDescent="0.25">
      <c r="A14" s="12" t="s">
        <v>12</v>
      </c>
      <c r="B14" s="27">
        <v>37</v>
      </c>
      <c r="C14" s="27">
        <v>5617</v>
      </c>
      <c r="D14" s="13"/>
      <c r="E14" s="10">
        <v>22</v>
      </c>
      <c r="F14" s="10">
        <v>3371</v>
      </c>
      <c r="G14" s="13"/>
      <c r="H14" s="10">
        <v>7</v>
      </c>
      <c r="I14" s="10">
        <v>992</v>
      </c>
      <c r="J14" s="13"/>
      <c r="K14" s="10">
        <v>1</v>
      </c>
      <c r="L14" s="10">
        <v>163</v>
      </c>
      <c r="M14" s="13"/>
      <c r="N14" s="10">
        <v>2</v>
      </c>
      <c r="O14" s="10">
        <v>301</v>
      </c>
      <c r="P14" s="10"/>
      <c r="Q14" s="10">
        <v>5</v>
      </c>
      <c r="R14" s="10">
        <v>790</v>
      </c>
      <c r="S14" s="10"/>
      <c r="T14" s="10" t="s">
        <v>23</v>
      </c>
      <c r="U14" s="10" t="s">
        <v>23</v>
      </c>
    </row>
    <row r="15" spans="1:21" s="3" customFormat="1" ht="12.9" customHeight="1" x14ac:dyDescent="0.25">
      <c r="A15" s="12" t="s">
        <v>13</v>
      </c>
      <c r="B15" s="27">
        <v>76</v>
      </c>
      <c r="C15" s="27">
        <v>24721.3</v>
      </c>
      <c r="D15" s="13"/>
      <c r="E15" s="10">
        <v>39</v>
      </c>
      <c r="F15" s="10">
        <v>11907.3</v>
      </c>
      <c r="G15" s="13"/>
      <c r="H15" s="10">
        <v>16</v>
      </c>
      <c r="I15" s="10">
        <v>5901</v>
      </c>
      <c r="J15" s="13"/>
      <c r="K15" s="10">
        <v>5</v>
      </c>
      <c r="L15" s="10">
        <v>1730</v>
      </c>
      <c r="M15" s="13"/>
      <c r="N15" s="10">
        <v>3</v>
      </c>
      <c r="O15" s="10">
        <v>1112</v>
      </c>
      <c r="P15" s="10"/>
      <c r="Q15" s="10">
        <v>13</v>
      </c>
      <c r="R15" s="10">
        <v>4071</v>
      </c>
      <c r="S15" s="10"/>
      <c r="T15" s="10" t="s">
        <v>23</v>
      </c>
      <c r="U15" s="10" t="s">
        <v>23</v>
      </c>
    </row>
    <row r="16" spans="1:21" s="3" customFormat="1" ht="12.9" customHeight="1" x14ac:dyDescent="0.25">
      <c r="A16" s="12" t="s">
        <v>14</v>
      </c>
      <c r="B16" s="27">
        <v>27</v>
      </c>
      <c r="C16" s="27">
        <v>20524</v>
      </c>
      <c r="D16" s="13"/>
      <c r="E16" s="10">
        <v>6</v>
      </c>
      <c r="F16" s="10">
        <v>4655</v>
      </c>
      <c r="G16" s="13"/>
      <c r="H16" s="10">
        <v>6</v>
      </c>
      <c r="I16" s="10">
        <v>4639</v>
      </c>
      <c r="J16" s="13"/>
      <c r="K16" s="10">
        <v>3</v>
      </c>
      <c r="L16" s="10">
        <v>2544</v>
      </c>
      <c r="M16" s="13"/>
      <c r="N16" s="10" t="s">
        <v>23</v>
      </c>
      <c r="O16" s="10" t="s">
        <v>23</v>
      </c>
      <c r="P16" s="10"/>
      <c r="Q16" s="10">
        <v>12</v>
      </c>
      <c r="R16" s="10">
        <v>8686</v>
      </c>
      <c r="S16" s="10"/>
      <c r="T16" s="10" t="s">
        <v>23</v>
      </c>
      <c r="U16" s="10" t="s">
        <v>23</v>
      </c>
    </row>
    <row r="17" spans="1:21" s="3" customFormat="1" ht="12.9" customHeight="1" x14ac:dyDescent="0.25">
      <c r="A17" s="12" t="s">
        <v>15</v>
      </c>
      <c r="B17" s="27">
        <v>32</v>
      </c>
      <c r="C17" s="27">
        <v>44881</v>
      </c>
      <c r="D17" s="13"/>
      <c r="E17" s="10">
        <v>14</v>
      </c>
      <c r="F17" s="10">
        <v>19946</v>
      </c>
      <c r="G17" s="13"/>
      <c r="H17" s="10">
        <v>3</v>
      </c>
      <c r="I17" s="10">
        <v>4057</v>
      </c>
      <c r="J17" s="13"/>
      <c r="K17" s="10">
        <v>1</v>
      </c>
      <c r="L17" s="10">
        <v>1301</v>
      </c>
      <c r="M17" s="13"/>
      <c r="N17" s="10">
        <v>2</v>
      </c>
      <c r="O17" s="10">
        <v>3541</v>
      </c>
      <c r="P17" s="10"/>
      <c r="Q17" s="10">
        <v>12</v>
      </c>
      <c r="R17" s="10">
        <v>16036</v>
      </c>
      <c r="S17" s="10"/>
      <c r="T17" s="10" t="s">
        <v>23</v>
      </c>
      <c r="U17" s="10" t="s">
        <v>23</v>
      </c>
    </row>
    <row r="18" spans="1:21" s="3" customFormat="1" ht="12.9" customHeight="1" x14ac:dyDescent="0.25">
      <c r="A18" s="12" t="s">
        <v>6</v>
      </c>
      <c r="B18" s="27">
        <v>47</v>
      </c>
      <c r="C18" s="27">
        <v>216233.45</v>
      </c>
      <c r="D18" s="13"/>
      <c r="E18" s="10">
        <v>16</v>
      </c>
      <c r="F18" s="10">
        <v>64993</v>
      </c>
      <c r="G18" s="13"/>
      <c r="H18" s="10">
        <v>3</v>
      </c>
      <c r="I18" s="10">
        <v>9488</v>
      </c>
      <c r="J18" s="13"/>
      <c r="K18" s="10">
        <v>1</v>
      </c>
      <c r="L18" s="10">
        <v>4600</v>
      </c>
      <c r="M18" s="13"/>
      <c r="N18" s="10">
        <v>3</v>
      </c>
      <c r="O18" s="10">
        <v>25213.45</v>
      </c>
      <c r="P18" s="10"/>
      <c r="Q18" s="10">
        <v>24</v>
      </c>
      <c r="R18" s="10">
        <v>111939</v>
      </c>
      <c r="S18" s="10"/>
      <c r="T18" s="10" t="s">
        <v>23</v>
      </c>
      <c r="U18" s="10" t="s">
        <v>23</v>
      </c>
    </row>
    <row r="19" spans="1:21" s="1" customFormat="1" ht="9.15" customHeight="1" x14ac:dyDescent="0.25">
      <c r="A19" s="15"/>
      <c r="B19" s="16"/>
      <c r="C19" s="16"/>
      <c r="D19" s="17"/>
      <c r="E19" s="10"/>
      <c r="F19" s="10"/>
      <c r="G19" s="13"/>
      <c r="H19" s="10"/>
      <c r="I19" s="10"/>
      <c r="J19" s="13"/>
      <c r="K19" s="10"/>
      <c r="L19" s="10"/>
      <c r="M19" s="13"/>
      <c r="N19" s="10"/>
      <c r="O19" s="10"/>
    </row>
    <row r="20" spans="1:21" ht="12.9" customHeight="1" x14ac:dyDescent="0.25">
      <c r="A20" s="15" t="s">
        <v>9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spans="1:21" ht="13.5" customHeight="1" x14ac:dyDescent="0.25">
      <c r="A21" s="15" t="s">
        <v>26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spans="1:21" ht="12.9" customHeight="1" x14ac:dyDescent="0.25">
      <c r="A22" s="28" t="s">
        <v>30</v>
      </c>
    </row>
    <row r="23" spans="1:21" ht="9.75" customHeight="1" x14ac:dyDescent="0.25"/>
  </sheetData>
  <mergeCells count="15">
    <mergeCell ref="B4:C4"/>
    <mergeCell ref="E4:U4"/>
    <mergeCell ref="C5:C6"/>
    <mergeCell ref="E5:F5"/>
    <mergeCell ref="H5:I5"/>
    <mergeCell ref="K5:L5"/>
    <mergeCell ref="N5:O5"/>
    <mergeCell ref="Q5:R5"/>
    <mergeCell ref="T5:U5"/>
    <mergeCell ref="F6:F7"/>
    <mergeCell ref="I6:I7"/>
    <mergeCell ref="L6:L7"/>
    <mergeCell ref="O6:O7"/>
    <mergeCell ref="R6:R7"/>
    <mergeCell ref="U6:U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3"/>
  <sheetViews>
    <sheetView workbookViewId="0"/>
  </sheetViews>
  <sheetFormatPr baseColWidth="10" defaultColWidth="9.6640625" defaultRowHeight="15" x14ac:dyDescent="0.25"/>
  <cols>
    <col min="1" max="1" width="15.6640625" style="18" customWidth="1"/>
    <col min="2" max="2" width="5.58203125" style="18" customWidth="1"/>
    <col min="3" max="3" width="7" style="18" customWidth="1"/>
    <col min="4" max="4" width="1" style="19" customWidth="1"/>
    <col min="5" max="5" width="6" style="18" customWidth="1"/>
    <col min="6" max="6" width="6.6640625" style="18" customWidth="1"/>
    <col min="7" max="7" width="0.9140625" style="19" customWidth="1"/>
    <col min="8" max="8" width="5.9140625" style="18" customWidth="1"/>
    <col min="9" max="9" width="6.6640625" style="18" customWidth="1"/>
    <col min="10" max="10" width="0.9140625" style="19" customWidth="1"/>
    <col min="11" max="11" width="5.25" style="18" customWidth="1"/>
    <col min="12" max="12" width="6.6640625" style="18" customWidth="1"/>
    <col min="13" max="13" width="0.9140625" style="19" customWidth="1"/>
    <col min="14" max="14" width="5.08203125" style="18" customWidth="1"/>
    <col min="15" max="15" width="6.25" style="18" customWidth="1"/>
    <col min="16" max="16" width="0.9140625" style="18" customWidth="1"/>
    <col min="17" max="17" width="4.6640625" style="18" customWidth="1"/>
    <col min="18" max="18" width="6.25" style="18" customWidth="1"/>
    <col min="19" max="19" width="0.9140625" style="18" customWidth="1"/>
    <col min="20" max="20" width="4.6640625" style="18" customWidth="1"/>
    <col min="21" max="21" width="6.25" style="18" customWidth="1"/>
    <col min="22" max="16384" width="9.6640625" style="18"/>
  </cols>
  <sheetData>
    <row r="1" spans="1:21" s="1" customFormat="1" ht="15" customHeight="1" x14ac:dyDescent="0.3">
      <c r="A1" s="29" t="s">
        <v>20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</row>
    <row r="2" spans="1:21" s="1" customFormat="1" ht="15" customHeight="1" x14ac:dyDescent="0.3">
      <c r="A2" s="29" t="s">
        <v>28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</row>
    <row r="3" spans="1:21" s="1" customFormat="1" ht="9.15" customHeight="1" x14ac:dyDescent="0.3">
      <c r="A3" s="29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</row>
    <row r="4" spans="1:21" s="3" customFormat="1" ht="12.9" customHeight="1" x14ac:dyDescent="0.25">
      <c r="A4" s="1" t="s">
        <v>7</v>
      </c>
      <c r="B4" s="44" t="s">
        <v>4</v>
      </c>
      <c r="C4" s="44"/>
      <c r="D4" s="2"/>
      <c r="E4" s="44" t="s">
        <v>5</v>
      </c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</row>
    <row r="5" spans="1:21" s="3" customFormat="1" ht="12.9" customHeight="1" x14ac:dyDescent="0.25">
      <c r="A5" s="1"/>
      <c r="B5" s="4" t="s">
        <v>16</v>
      </c>
      <c r="C5" s="45" t="s">
        <v>18</v>
      </c>
      <c r="D5" s="2"/>
      <c r="E5" s="52" t="s">
        <v>0</v>
      </c>
      <c r="F5" s="52"/>
      <c r="G5" s="2"/>
      <c r="H5" s="52" t="s">
        <v>1</v>
      </c>
      <c r="I5" s="52"/>
      <c r="J5" s="2"/>
      <c r="K5" s="52" t="s">
        <v>2</v>
      </c>
      <c r="L5" s="52"/>
      <c r="M5" s="2"/>
      <c r="N5" s="52" t="s">
        <v>3</v>
      </c>
      <c r="O5" s="52"/>
      <c r="P5" s="22"/>
      <c r="Q5" s="52" t="s">
        <v>25</v>
      </c>
      <c r="R5" s="52"/>
      <c r="S5" s="22"/>
      <c r="T5" s="52" t="s">
        <v>19</v>
      </c>
      <c r="U5" s="52"/>
    </row>
    <row r="6" spans="1:21" s="3" customFormat="1" ht="12.9" customHeight="1" x14ac:dyDescent="0.25">
      <c r="A6" s="1"/>
      <c r="B6" s="5" t="s">
        <v>17</v>
      </c>
      <c r="C6" s="46"/>
      <c r="D6" s="6"/>
      <c r="E6" s="4" t="s">
        <v>16</v>
      </c>
      <c r="F6" s="45" t="s">
        <v>18</v>
      </c>
      <c r="G6" s="6"/>
      <c r="H6" s="4" t="s">
        <v>16</v>
      </c>
      <c r="I6" s="45" t="s">
        <v>18</v>
      </c>
      <c r="J6" s="6"/>
      <c r="K6" s="4" t="s">
        <v>16</v>
      </c>
      <c r="L6" s="45" t="s">
        <v>18</v>
      </c>
      <c r="M6" s="6"/>
      <c r="N6" s="4" t="s">
        <v>16</v>
      </c>
      <c r="O6" s="45" t="s">
        <v>18</v>
      </c>
      <c r="P6" s="23"/>
      <c r="Q6" s="4" t="s">
        <v>16</v>
      </c>
      <c r="R6" s="45" t="s">
        <v>18</v>
      </c>
      <c r="S6" s="23"/>
      <c r="T6" s="4" t="s">
        <v>16</v>
      </c>
      <c r="U6" s="45" t="s">
        <v>18</v>
      </c>
    </row>
    <row r="7" spans="1:21" s="3" customFormat="1" ht="12.9" customHeight="1" x14ac:dyDescent="0.25">
      <c r="A7" s="1"/>
      <c r="D7" s="6"/>
      <c r="E7" s="5" t="s">
        <v>17</v>
      </c>
      <c r="F7" s="46"/>
      <c r="G7" s="6"/>
      <c r="H7" s="5" t="s">
        <v>17</v>
      </c>
      <c r="I7" s="46"/>
      <c r="J7" s="6"/>
      <c r="K7" s="5" t="s">
        <v>17</v>
      </c>
      <c r="L7" s="46"/>
      <c r="M7" s="6"/>
      <c r="N7" s="5" t="s">
        <v>17</v>
      </c>
      <c r="O7" s="46"/>
      <c r="P7" s="23"/>
      <c r="Q7" s="5" t="s">
        <v>17</v>
      </c>
      <c r="R7" s="46"/>
      <c r="S7" s="23"/>
      <c r="T7" s="5" t="s">
        <v>17</v>
      </c>
      <c r="U7" s="46"/>
    </row>
    <row r="8" spans="1:21" s="3" customFormat="1" ht="9.15" customHeight="1" x14ac:dyDescent="0.25">
      <c r="D8" s="7"/>
      <c r="G8" s="7"/>
      <c r="J8" s="7"/>
      <c r="K8" s="8"/>
      <c r="L8" s="8"/>
      <c r="M8" s="8"/>
      <c r="N8" s="8"/>
      <c r="O8" s="8"/>
      <c r="P8" s="8"/>
      <c r="Q8" s="8"/>
      <c r="R8" s="8"/>
      <c r="S8" s="8"/>
      <c r="T8" s="8"/>
      <c r="U8" s="8"/>
    </row>
    <row r="9" spans="1:21" s="3" customFormat="1" ht="12.9" customHeight="1" x14ac:dyDescent="0.25">
      <c r="A9" s="1" t="s">
        <v>4</v>
      </c>
      <c r="B9" s="8">
        <v>450</v>
      </c>
      <c r="C9" s="8">
        <v>403755.61</v>
      </c>
      <c r="D9" s="9"/>
      <c r="E9" s="8">
        <v>233</v>
      </c>
      <c r="F9" s="8">
        <v>129267.61</v>
      </c>
      <c r="G9" s="9"/>
      <c r="H9" s="8">
        <v>73</v>
      </c>
      <c r="I9" s="8">
        <v>93542</v>
      </c>
      <c r="J9" s="9"/>
      <c r="K9" s="8">
        <v>15</v>
      </c>
      <c r="L9" s="8">
        <v>19727</v>
      </c>
      <c r="M9" s="8">
        <v>0</v>
      </c>
      <c r="N9" s="8">
        <v>1</v>
      </c>
      <c r="O9" s="8">
        <v>52</v>
      </c>
      <c r="P9" s="8"/>
      <c r="Q9" s="8">
        <v>128</v>
      </c>
      <c r="R9" s="8">
        <v>161167</v>
      </c>
      <c r="S9" s="8"/>
      <c r="T9" s="8" t="s">
        <v>23</v>
      </c>
      <c r="U9" s="8" t="s">
        <v>23</v>
      </c>
    </row>
    <row r="10" spans="1:21" s="3" customFormat="1" ht="9.15" customHeight="1" x14ac:dyDescent="0.25">
      <c r="A10" s="1"/>
      <c r="B10" s="10"/>
      <c r="C10" s="10"/>
      <c r="D10" s="11"/>
      <c r="E10" s="10"/>
      <c r="F10" s="10"/>
      <c r="G10" s="11"/>
      <c r="H10" s="10"/>
      <c r="I10" s="10"/>
      <c r="J10" s="11"/>
      <c r="K10" s="10"/>
      <c r="L10" s="10"/>
      <c r="M10" s="11"/>
      <c r="N10" s="10"/>
      <c r="O10" s="10"/>
      <c r="P10" s="10"/>
      <c r="Q10" s="10"/>
      <c r="R10" s="10"/>
      <c r="S10" s="10"/>
      <c r="T10" s="10"/>
      <c r="U10" s="10"/>
    </row>
    <row r="11" spans="1:21" s="3" customFormat="1" ht="12.9" customHeight="1" x14ac:dyDescent="0.25">
      <c r="A11" s="12" t="s">
        <v>8</v>
      </c>
      <c r="B11" s="27">
        <v>70</v>
      </c>
      <c r="C11" s="27">
        <v>926</v>
      </c>
      <c r="D11" s="13"/>
      <c r="E11" s="10">
        <v>50</v>
      </c>
      <c r="F11" s="10">
        <v>619</v>
      </c>
      <c r="G11" s="13"/>
      <c r="H11" s="10">
        <v>3</v>
      </c>
      <c r="I11" s="10">
        <v>59</v>
      </c>
      <c r="J11" s="13"/>
      <c r="K11" s="10">
        <v>1</v>
      </c>
      <c r="L11" s="10">
        <v>3</v>
      </c>
      <c r="M11" s="14"/>
      <c r="N11" s="10" t="s">
        <v>23</v>
      </c>
      <c r="O11" s="10" t="s">
        <v>23</v>
      </c>
      <c r="P11" s="10"/>
      <c r="Q11" s="10">
        <v>16</v>
      </c>
      <c r="R11" s="10">
        <v>245</v>
      </c>
      <c r="S11" s="10"/>
      <c r="T11" s="10" t="s">
        <v>23</v>
      </c>
      <c r="U11" s="10" t="s">
        <v>23</v>
      </c>
    </row>
    <row r="12" spans="1:21" s="3" customFormat="1" ht="12.9" customHeight="1" x14ac:dyDescent="0.25">
      <c r="A12" s="12" t="s">
        <v>10</v>
      </c>
      <c r="B12" s="27">
        <v>86</v>
      </c>
      <c r="C12" s="27">
        <v>4524.6100000000006</v>
      </c>
      <c r="D12" s="13"/>
      <c r="E12" s="10">
        <v>59</v>
      </c>
      <c r="F12" s="10">
        <v>3227.61</v>
      </c>
      <c r="G12" s="13"/>
      <c r="H12" s="10">
        <v>9</v>
      </c>
      <c r="I12" s="10">
        <v>438</v>
      </c>
      <c r="J12" s="13"/>
      <c r="K12" s="10" t="s">
        <v>23</v>
      </c>
      <c r="L12" s="10" t="s">
        <v>23</v>
      </c>
      <c r="M12" s="13"/>
      <c r="N12" s="10">
        <v>1</v>
      </c>
      <c r="O12" s="10">
        <v>52</v>
      </c>
      <c r="P12" s="10"/>
      <c r="Q12" s="10">
        <v>17</v>
      </c>
      <c r="R12" s="10">
        <v>807</v>
      </c>
      <c r="S12" s="10"/>
      <c r="T12" s="10" t="s">
        <v>23</v>
      </c>
      <c r="U12" s="10" t="s">
        <v>23</v>
      </c>
    </row>
    <row r="13" spans="1:21" s="3" customFormat="1" ht="12.9" customHeight="1" x14ac:dyDescent="0.25">
      <c r="A13" s="12" t="s">
        <v>11</v>
      </c>
      <c r="B13" s="27">
        <v>37</v>
      </c>
      <c r="C13" s="27">
        <v>3598</v>
      </c>
      <c r="D13" s="13"/>
      <c r="E13" s="10">
        <v>20</v>
      </c>
      <c r="F13" s="10">
        <v>1910</v>
      </c>
      <c r="G13" s="13"/>
      <c r="H13" s="10">
        <v>5</v>
      </c>
      <c r="I13" s="10">
        <v>481</v>
      </c>
      <c r="J13" s="13"/>
      <c r="K13" s="10">
        <v>1</v>
      </c>
      <c r="L13" s="10">
        <v>92</v>
      </c>
      <c r="M13" s="14"/>
      <c r="N13" s="10" t="s">
        <v>23</v>
      </c>
      <c r="O13" s="10" t="s">
        <v>23</v>
      </c>
      <c r="P13" s="14"/>
      <c r="Q13" s="10">
        <v>11</v>
      </c>
      <c r="R13" s="10">
        <v>1115</v>
      </c>
      <c r="S13" s="14"/>
      <c r="T13" s="10" t="s">
        <v>23</v>
      </c>
      <c r="U13" s="10" t="s">
        <v>23</v>
      </c>
    </row>
    <row r="14" spans="1:21" s="3" customFormat="1" ht="12.9" customHeight="1" x14ac:dyDescent="0.25">
      <c r="A14" s="12" t="s">
        <v>12</v>
      </c>
      <c r="B14" s="27">
        <v>37</v>
      </c>
      <c r="C14" s="27">
        <v>5963</v>
      </c>
      <c r="D14" s="13"/>
      <c r="E14" s="10">
        <v>20</v>
      </c>
      <c r="F14" s="10">
        <v>3131</v>
      </c>
      <c r="G14" s="13"/>
      <c r="H14" s="10">
        <v>12</v>
      </c>
      <c r="I14" s="10">
        <v>2017</v>
      </c>
      <c r="J14" s="13"/>
      <c r="K14" s="10">
        <v>1</v>
      </c>
      <c r="L14" s="10">
        <v>196</v>
      </c>
      <c r="M14" s="13"/>
      <c r="N14" s="10" t="s">
        <v>23</v>
      </c>
      <c r="O14" s="10" t="s">
        <v>23</v>
      </c>
      <c r="P14" s="10"/>
      <c r="Q14" s="10">
        <v>4</v>
      </c>
      <c r="R14" s="10">
        <v>619</v>
      </c>
      <c r="S14" s="10"/>
      <c r="T14" s="10" t="s">
        <v>23</v>
      </c>
      <c r="U14" s="10" t="s">
        <v>23</v>
      </c>
    </row>
    <row r="15" spans="1:21" s="3" customFormat="1" ht="12.9" customHeight="1" x14ac:dyDescent="0.25">
      <c r="A15" s="12" t="s">
        <v>13</v>
      </c>
      <c r="B15" s="27">
        <v>91</v>
      </c>
      <c r="C15" s="27">
        <v>28302</v>
      </c>
      <c r="D15" s="13"/>
      <c r="E15" s="10">
        <v>50</v>
      </c>
      <c r="F15" s="10">
        <v>15509</v>
      </c>
      <c r="G15" s="13"/>
      <c r="H15" s="10">
        <v>19</v>
      </c>
      <c r="I15" s="10">
        <v>6093</v>
      </c>
      <c r="J15" s="13"/>
      <c r="K15" s="10">
        <v>2</v>
      </c>
      <c r="L15" s="10">
        <v>507</v>
      </c>
      <c r="M15" s="13"/>
      <c r="N15" s="10" t="s">
        <v>23</v>
      </c>
      <c r="O15" s="10" t="s">
        <v>23</v>
      </c>
      <c r="P15" s="10"/>
      <c r="Q15" s="10">
        <v>20</v>
      </c>
      <c r="R15" s="10">
        <v>6193</v>
      </c>
      <c r="S15" s="10"/>
      <c r="T15" s="10" t="s">
        <v>23</v>
      </c>
      <c r="U15" s="10" t="s">
        <v>23</v>
      </c>
    </row>
    <row r="16" spans="1:21" s="3" customFormat="1" ht="12.9" customHeight="1" x14ac:dyDescent="0.25">
      <c r="A16" s="12" t="s">
        <v>14</v>
      </c>
      <c r="B16" s="27">
        <v>30</v>
      </c>
      <c r="C16" s="27">
        <v>21148</v>
      </c>
      <c r="D16" s="13"/>
      <c r="E16" s="10">
        <v>6</v>
      </c>
      <c r="F16" s="10">
        <v>4540</v>
      </c>
      <c r="G16" s="13"/>
      <c r="H16" s="10">
        <v>11</v>
      </c>
      <c r="I16" s="10">
        <v>7712</v>
      </c>
      <c r="J16" s="13"/>
      <c r="K16" s="10">
        <v>2</v>
      </c>
      <c r="L16" s="10">
        <v>1385</v>
      </c>
      <c r="M16" s="13"/>
      <c r="N16" s="10" t="s">
        <v>23</v>
      </c>
      <c r="O16" s="10" t="s">
        <v>23</v>
      </c>
      <c r="P16" s="10"/>
      <c r="Q16" s="10">
        <v>11</v>
      </c>
      <c r="R16" s="10">
        <v>7511</v>
      </c>
      <c r="S16" s="10"/>
      <c r="T16" s="10" t="s">
        <v>23</v>
      </c>
      <c r="U16" s="10" t="s">
        <v>23</v>
      </c>
    </row>
    <row r="17" spans="1:21" s="3" customFormat="1" ht="12.9" customHeight="1" x14ac:dyDescent="0.25">
      <c r="A17" s="12" t="s">
        <v>15</v>
      </c>
      <c r="B17" s="27">
        <v>36</v>
      </c>
      <c r="C17" s="27">
        <v>53224</v>
      </c>
      <c r="D17" s="13"/>
      <c r="E17" s="10">
        <v>6</v>
      </c>
      <c r="F17" s="10">
        <v>8919</v>
      </c>
      <c r="G17" s="13"/>
      <c r="H17" s="10">
        <v>6</v>
      </c>
      <c r="I17" s="10">
        <v>7740</v>
      </c>
      <c r="J17" s="13"/>
      <c r="K17" s="10">
        <v>5</v>
      </c>
      <c r="L17" s="10">
        <v>7635</v>
      </c>
      <c r="M17" s="13"/>
      <c r="N17" s="10" t="s">
        <v>23</v>
      </c>
      <c r="O17" s="10" t="s">
        <v>23</v>
      </c>
      <c r="P17" s="10"/>
      <c r="Q17" s="10">
        <v>19</v>
      </c>
      <c r="R17" s="10">
        <v>28930</v>
      </c>
      <c r="S17" s="10"/>
      <c r="T17" s="10" t="s">
        <v>23</v>
      </c>
      <c r="U17" s="10" t="s">
        <v>23</v>
      </c>
    </row>
    <row r="18" spans="1:21" s="3" customFormat="1" ht="12.9" customHeight="1" x14ac:dyDescent="0.25">
      <c r="A18" s="12" t="s">
        <v>6</v>
      </c>
      <c r="B18" s="27">
        <v>63</v>
      </c>
      <c r="C18" s="27">
        <v>286070</v>
      </c>
      <c r="D18" s="13"/>
      <c r="E18" s="10">
        <v>22</v>
      </c>
      <c r="F18" s="10">
        <v>91412</v>
      </c>
      <c r="G18" s="13"/>
      <c r="H18" s="10">
        <v>8</v>
      </c>
      <c r="I18" s="10">
        <v>69002</v>
      </c>
      <c r="J18" s="13"/>
      <c r="K18" s="10">
        <v>3</v>
      </c>
      <c r="L18" s="10">
        <v>9909</v>
      </c>
      <c r="M18" s="13"/>
      <c r="N18" s="10" t="s">
        <v>23</v>
      </c>
      <c r="O18" s="10" t="s">
        <v>23</v>
      </c>
      <c r="P18" s="10"/>
      <c r="Q18" s="10">
        <v>30</v>
      </c>
      <c r="R18" s="10">
        <v>115747</v>
      </c>
      <c r="S18" s="10"/>
      <c r="T18" s="10" t="s">
        <v>23</v>
      </c>
      <c r="U18" s="10" t="s">
        <v>23</v>
      </c>
    </row>
    <row r="19" spans="1:21" s="1" customFormat="1" ht="9.15" customHeight="1" x14ac:dyDescent="0.25">
      <c r="A19" s="15"/>
      <c r="B19" s="16"/>
      <c r="C19" s="16"/>
      <c r="D19" s="17"/>
      <c r="E19" s="10"/>
      <c r="F19" s="10"/>
      <c r="G19" s="13"/>
      <c r="H19" s="10"/>
      <c r="I19" s="10"/>
      <c r="J19" s="13"/>
      <c r="K19" s="10"/>
      <c r="L19" s="10"/>
      <c r="M19" s="13"/>
      <c r="N19" s="10"/>
      <c r="O19" s="10"/>
    </row>
    <row r="20" spans="1:21" ht="12.9" customHeight="1" x14ac:dyDescent="0.25">
      <c r="A20" s="15" t="s">
        <v>9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spans="1:21" ht="13.5" customHeight="1" x14ac:dyDescent="0.25">
      <c r="A21" s="15" t="s">
        <v>26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spans="1:21" ht="12.9" customHeight="1" x14ac:dyDescent="0.25">
      <c r="A22" s="28" t="s">
        <v>30</v>
      </c>
    </row>
    <row r="23" spans="1:21" ht="9.15" customHeight="1" x14ac:dyDescent="0.25"/>
  </sheetData>
  <mergeCells count="15">
    <mergeCell ref="B4:C4"/>
    <mergeCell ref="E4:U4"/>
    <mergeCell ref="C5:C6"/>
    <mergeCell ref="E5:F5"/>
    <mergeCell ref="H5:I5"/>
    <mergeCell ref="K5:L5"/>
    <mergeCell ref="N5:O5"/>
    <mergeCell ref="Q5:R5"/>
    <mergeCell ref="T5:U5"/>
    <mergeCell ref="F6:F7"/>
    <mergeCell ref="I6:I7"/>
    <mergeCell ref="L6:L7"/>
    <mergeCell ref="O6:O7"/>
    <mergeCell ref="R6:R7"/>
    <mergeCell ref="U6:U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3"/>
  <sheetViews>
    <sheetView workbookViewId="0"/>
  </sheetViews>
  <sheetFormatPr baseColWidth="10" defaultColWidth="9.6640625" defaultRowHeight="15" x14ac:dyDescent="0.25"/>
  <cols>
    <col min="1" max="1" width="15.6640625" style="18" customWidth="1"/>
    <col min="2" max="2" width="5.58203125" style="18" customWidth="1"/>
    <col min="3" max="3" width="7" style="18" customWidth="1"/>
    <col min="4" max="4" width="1" style="19" customWidth="1"/>
    <col min="5" max="5" width="6" style="18" customWidth="1"/>
    <col min="6" max="6" width="6.6640625" style="18" customWidth="1"/>
    <col min="7" max="7" width="0.9140625" style="19" customWidth="1"/>
    <col min="8" max="8" width="5.9140625" style="18" customWidth="1"/>
    <col min="9" max="9" width="6.6640625" style="18" customWidth="1"/>
    <col min="10" max="10" width="0.9140625" style="19" customWidth="1"/>
    <col min="11" max="11" width="5.25" style="18" customWidth="1"/>
    <col min="12" max="12" width="6.6640625" style="18" customWidth="1"/>
    <col min="13" max="13" width="0.9140625" style="19" customWidth="1"/>
    <col min="14" max="14" width="5.08203125" style="18" customWidth="1"/>
    <col min="15" max="15" width="6.25" style="18" customWidth="1"/>
    <col min="16" max="16" width="0.9140625" style="18" customWidth="1"/>
    <col min="17" max="17" width="4.6640625" style="18" customWidth="1"/>
    <col min="18" max="18" width="6.25" style="18" customWidth="1"/>
    <col min="19" max="19" width="0.9140625" style="18" customWidth="1"/>
    <col min="20" max="20" width="4.6640625" style="18" customWidth="1"/>
    <col min="21" max="21" width="6.25" style="18" customWidth="1"/>
    <col min="22" max="16384" width="9.6640625" style="18"/>
  </cols>
  <sheetData>
    <row r="1" spans="1:21" s="1" customFormat="1" ht="15" customHeight="1" x14ac:dyDescent="0.3">
      <c r="A1" s="29" t="s">
        <v>20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</row>
    <row r="2" spans="1:21" s="1" customFormat="1" ht="15" customHeight="1" x14ac:dyDescent="0.3">
      <c r="A2" s="29" t="s">
        <v>27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</row>
    <row r="3" spans="1:21" s="1" customFormat="1" ht="9.15" customHeight="1" x14ac:dyDescent="0.3">
      <c r="A3" s="29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</row>
    <row r="4" spans="1:21" s="3" customFormat="1" ht="12.9" customHeight="1" x14ac:dyDescent="0.25">
      <c r="A4" s="1" t="s">
        <v>7</v>
      </c>
      <c r="B4" s="44" t="s">
        <v>4</v>
      </c>
      <c r="C4" s="44"/>
      <c r="D4" s="2"/>
      <c r="E4" s="44" t="s">
        <v>5</v>
      </c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</row>
    <row r="5" spans="1:21" s="3" customFormat="1" ht="12.9" customHeight="1" x14ac:dyDescent="0.25">
      <c r="A5" s="1"/>
      <c r="B5" s="4" t="s">
        <v>16</v>
      </c>
      <c r="C5" s="45" t="s">
        <v>18</v>
      </c>
      <c r="D5" s="2"/>
      <c r="E5" s="44" t="s">
        <v>0</v>
      </c>
      <c r="F5" s="44"/>
      <c r="G5" s="2"/>
      <c r="H5" s="44" t="s">
        <v>1</v>
      </c>
      <c r="I5" s="44"/>
      <c r="J5" s="2"/>
      <c r="K5" s="44" t="s">
        <v>2</v>
      </c>
      <c r="L5" s="44"/>
      <c r="M5" s="2"/>
      <c r="N5" s="44" t="s">
        <v>3</v>
      </c>
      <c r="O5" s="44"/>
      <c r="P5" s="22"/>
      <c r="Q5" s="44" t="s">
        <v>25</v>
      </c>
      <c r="R5" s="44"/>
      <c r="S5" s="22"/>
      <c r="T5" s="44" t="s">
        <v>19</v>
      </c>
      <c r="U5" s="44"/>
    </row>
    <row r="6" spans="1:21" s="3" customFormat="1" ht="12.9" customHeight="1" x14ac:dyDescent="0.25">
      <c r="A6" s="1"/>
      <c r="B6" s="5" t="s">
        <v>17</v>
      </c>
      <c r="C6" s="46"/>
      <c r="D6" s="6"/>
      <c r="E6" s="4" t="s">
        <v>16</v>
      </c>
      <c r="F6" s="45" t="s">
        <v>18</v>
      </c>
      <c r="G6" s="6"/>
      <c r="H6" s="4" t="s">
        <v>16</v>
      </c>
      <c r="I6" s="45" t="s">
        <v>18</v>
      </c>
      <c r="J6" s="6"/>
      <c r="K6" s="4" t="s">
        <v>16</v>
      </c>
      <c r="L6" s="45" t="s">
        <v>18</v>
      </c>
      <c r="M6" s="6"/>
      <c r="N6" s="4" t="s">
        <v>16</v>
      </c>
      <c r="O6" s="45" t="s">
        <v>18</v>
      </c>
      <c r="P6" s="23"/>
      <c r="Q6" s="4" t="s">
        <v>16</v>
      </c>
      <c r="R6" s="45" t="s">
        <v>18</v>
      </c>
      <c r="S6" s="23"/>
      <c r="T6" s="4" t="s">
        <v>16</v>
      </c>
      <c r="U6" s="45" t="s">
        <v>18</v>
      </c>
    </row>
    <row r="7" spans="1:21" s="3" customFormat="1" ht="12.9" customHeight="1" x14ac:dyDescent="0.25">
      <c r="A7" s="1"/>
      <c r="D7" s="6"/>
      <c r="E7" s="5" t="s">
        <v>17</v>
      </c>
      <c r="F7" s="46"/>
      <c r="G7" s="6"/>
      <c r="H7" s="5" t="s">
        <v>17</v>
      </c>
      <c r="I7" s="46"/>
      <c r="J7" s="6"/>
      <c r="K7" s="5" t="s">
        <v>17</v>
      </c>
      <c r="L7" s="46"/>
      <c r="M7" s="6"/>
      <c r="N7" s="5" t="s">
        <v>17</v>
      </c>
      <c r="O7" s="46"/>
      <c r="P7" s="23"/>
      <c r="Q7" s="5" t="s">
        <v>17</v>
      </c>
      <c r="R7" s="46"/>
      <c r="S7" s="23"/>
      <c r="T7" s="5" t="s">
        <v>17</v>
      </c>
      <c r="U7" s="46"/>
    </row>
    <row r="8" spans="1:21" s="3" customFormat="1" ht="9.15" customHeight="1" x14ac:dyDescent="0.25">
      <c r="D8" s="7"/>
      <c r="G8" s="7"/>
      <c r="J8" s="7"/>
      <c r="K8" s="8"/>
      <c r="L8" s="8"/>
      <c r="M8" s="8"/>
      <c r="N8" s="8"/>
      <c r="O8" s="8"/>
      <c r="P8" s="8"/>
      <c r="Q8" s="8"/>
      <c r="R8" s="8"/>
      <c r="S8" s="8"/>
      <c r="T8" s="8"/>
      <c r="U8" s="8"/>
    </row>
    <row r="9" spans="1:21" s="3" customFormat="1" ht="12.9" customHeight="1" x14ac:dyDescent="0.25">
      <c r="A9" s="1" t="s">
        <v>4</v>
      </c>
      <c r="B9" s="8">
        <v>570</v>
      </c>
      <c r="C9" s="8">
        <v>526540.51</v>
      </c>
      <c r="D9" s="9"/>
      <c r="E9" s="8">
        <v>274</v>
      </c>
      <c r="F9" s="8">
        <v>178386.81</v>
      </c>
      <c r="G9" s="9"/>
      <c r="H9" s="8">
        <v>93</v>
      </c>
      <c r="I9" s="8">
        <v>74699</v>
      </c>
      <c r="J9" s="9"/>
      <c r="K9" s="8">
        <v>11</v>
      </c>
      <c r="L9" s="8">
        <v>12492</v>
      </c>
      <c r="M9" s="8">
        <v>0</v>
      </c>
      <c r="N9" s="8">
        <v>14</v>
      </c>
      <c r="O9" s="8">
        <v>32112.6</v>
      </c>
      <c r="P9" s="8"/>
      <c r="Q9" s="8">
        <v>174</v>
      </c>
      <c r="R9" s="8">
        <v>228215.1</v>
      </c>
      <c r="S9" s="8"/>
      <c r="T9" s="8">
        <v>4</v>
      </c>
      <c r="U9" s="8">
        <v>635</v>
      </c>
    </row>
    <row r="10" spans="1:21" s="3" customFormat="1" ht="9.15" customHeight="1" x14ac:dyDescent="0.25">
      <c r="A10" s="1"/>
      <c r="B10" s="10"/>
      <c r="C10" s="10"/>
      <c r="D10" s="11"/>
      <c r="E10" s="10"/>
      <c r="F10" s="10"/>
      <c r="G10" s="11"/>
      <c r="H10" s="10"/>
      <c r="I10" s="10"/>
      <c r="J10" s="11"/>
      <c r="K10" s="10"/>
      <c r="L10" s="10"/>
      <c r="M10" s="11"/>
      <c r="N10" s="10"/>
      <c r="O10" s="10"/>
      <c r="P10" s="10"/>
      <c r="Q10" s="10"/>
      <c r="R10" s="10"/>
      <c r="S10" s="10"/>
      <c r="T10" s="10"/>
      <c r="U10" s="10"/>
    </row>
    <row r="11" spans="1:21" s="3" customFormat="1" ht="12.9" customHeight="1" x14ac:dyDescent="0.25">
      <c r="A11" s="12" t="s">
        <v>8</v>
      </c>
      <c r="B11" s="27">
        <v>88</v>
      </c>
      <c r="C11" s="27">
        <v>1275.2</v>
      </c>
      <c r="D11" s="13"/>
      <c r="E11" s="10">
        <v>52</v>
      </c>
      <c r="F11" s="10">
        <v>762.1</v>
      </c>
      <c r="G11" s="13"/>
      <c r="H11" s="10">
        <v>5</v>
      </c>
      <c r="I11" s="10">
        <v>103</v>
      </c>
      <c r="J11" s="13"/>
      <c r="K11" s="10" t="s">
        <v>23</v>
      </c>
      <c r="L11" s="10" t="s">
        <v>23</v>
      </c>
      <c r="M11" s="14"/>
      <c r="N11" s="10">
        <v>2</v>
      </c>
      <c r="O11" s="10">
        <v>16</v>
      </c>
      <c r="P11" s="10"/>
      <c r="Q11" s="10">
        <v>29</v>
      </c>
      <c r="R11" s="10">
        <v>394.1</v>
      </c>
      <c r="S11" s="10"/>
      <c r="T11" s="10" t="s">
        <v>23</v>
      </c>
      <c r="U11" s="10" t="s">
        <v>23</v>
      </c>
    </row>
    <row r="12" spans="1:21" s="3" customFormat="1" ht="12.9" customHeight="1" x14ac:dyDescent="0.25">
      <c r="A12" s="12" t="s">
        <v>10</v>
      </c>
      <c r="B12" s="27">
        <v>103</v>
      </c>
      <c r="C12" s="27">
        <v>5231.55</v>
      </c>
      <c r="D12" s="13"/>
      <c r="E12" s="10">
        <v>67</v>
      </c>
      <c r="F12" s="10">
        <v>3511.95</v>
      </c>
      <c r="G12" s="13"/>
      <c r="H12" s="10">
        <v>12</v>
      </c>
      <c r="I12" s="10">
        <v>574</v>
      </c>
      <c r="J12" s="13"/>
      <c r="K12" s="10" t="s">
        <v>23</v>
      </c>
      <c r="L12" s="10" t="s">
        <v>23</v>
      </c>
      <c r="M12" s="13"/>
      <c r="N12" s="10">
        <v>2</v>
      </c>
      <c r="O12" s="10">
        <v>74.599999999999994</v>
      </c>
      <c r="P12" s="10"/>
      <c r="Q12" s="10">
        <v>21</v>
      </c>
      <c r="R12" s="10">
        <v>1012</v>
      </c>
      <c r="S12" s="10"/>
      <c r="T12" s="10">
        <v>1</v>
      </c>
      <c r="U12" s="10">
        <v>59</v>
      </c>
    </row>
    <row r="13" spans="1:21" s="3" customFormat="1" ht="12.9" customHeight="1" x14ac:dyDescent="0.25">
      <c r="A13" s="12" t="s">
        <v>11</v>
      </c>
      <c r="B13" s="27">
        <v>41</v>
      </c>
      <c r="C13" s="27">
        <v>3956.65</v>
      </c>
      <c r="D13" s="13"/>
      <c r="E13" s="10">
        <v>24</v>
      </c>
      <c r="F13" s="10">
        <v>2329.65</v>
      </c>
      <c r="G13" s="13"/>
      <c r="H13" s="10">
        <v>10</v>
      </c>
      <c r="I13" s="10">
        <v>969</v>
      </c>
      <c r="J13" s="13"/>
      <c r="K13" s="10" t="s">
        <v>23</v>
      </c>
      <c r="L13" s="10" t="s">
        <v>23</v>
      </c>
      <c r="M13" s="14"/>
      <c r="N13" s="10" t="s">
        <v>23</v>
      </c>
      <c r="O13" s="10" t="s">
        <v>23</v>
      </c>
      <c r="P13" s="14"/>
      <c r="Q13" s="10">
        <v>6</v>
      </c>
      <c r="R13" s="10">
        <v>557</v>
      </c>
      <c r="S13" s="14"/>
      <c r="T13" s="10">
        <v>1</v>
      </c>
      <c r="U13" s="10">
        <v>101</v>
      </c>
    </row>
    <row r="14" spans="1:21" s="3" customFormat="1" ht="12.9" customHeight="1" x14ac:dyDescent="0.25">
      <c r="A14" s="12" t="s">
        <v>12</v>
      </c>
      <c r="B14" s="27">
        <v>52</v>
      </c>
      <c r="C14" s="27">
        <v>8149</v>
      </c>
      <c r="D14" s="13"/>
      <c r="E14" s="10">
        <v>28</v>
      </c>
      <c r="F14" s="10">
        <v>4465</v>
      </c>
      <c r="G14" s="13"/>
      <c r="H14" s="10">
        <v>12</v>
      </c>
      <c r="I14" s="10">
        <v>1879</v>
      </c>
      <c r="J14" s="13"/>
      <c r="K14" s="10">
        <v>2</v>
      </c>
      <c r="L14" s="10">
        <v>334</v>
      </c>
      <c r="M14" s="13"/>
      <c r="N14" s="10">
        <v>2</v>
      </c>
      <c r="O14" s="10">
        <v>320</v>
      </c>
      <c r="P14" s="10"/>
      <c r="Q14" s="10">
        <v>7</v>
      </c>
      <c r="R14" s="10">
        <v>1031</v>
      </c>
      <c r="S14" s="10"/>
      <c r="T14" s="10">
        <v>1</v>
      </c>
      <c r="U14" s="10">
        <v>120</v>
      </c>
    </row>
    <row r="15" spans="1:21" s="3" customFormat="1" ht="12.9" customHeight="1" x14ac:dyDescent="0.25">
      <c r="A15" s="12" t="s">
        <v>13</v>
      </c>
      <c r="B15" s="27">
        <v>108</v>
      </c>
      <c r="C15" s="27">
        <v>35553</v>
      </c>
      <c r="D15" s="13"/>
      <c r="E15" s="10">
        <v>47</v>
      </c>
      <c r="F15" s="10">
        <v>15351</v>
      </c>
      <c r="G15" s="13"/>
      <c r="H15" s="10">
        <v>26</v>
      </c>
      <c r="I15" s="10">
        <v>8794</v>
      </c>
      <c r="J15" s="13"/>
      <c r="K15" s="10">
        <v>2</v>
      </c>
      <c r="L15" s="10">
        <v>618</v>
      </c>
      <c r="M15" s="13"/>
      <c r="N15" s="10">
        <v>3</v>
      </c>
      <c r="O15" s="10">
        <v>897</v>
      </c>
      <c r="P15" s="10"/>
      <c r="Q15" s="10">
        <v>29</v>
      </c>
      <c r="R15" s="10">
        <v>9538</v>
      </c>
      <c r="S15" s="10"/>
      <c r="T15" s="10">
        <v>1</v>
      </c>
      <c r="U15" s="10">
        <v>355</v>
      </c>
    </row>
    <row r="16" spans="1:21" s="3" customFormat="1" ht="12.9" customHeight="1" x14ac:dyDescent="0.25">
      <c r="A16" s="12" t="s">
        <v>14</v>
      </c>
      <c r="B16" s="27">
        <v>41</v>
      </c>
      <c r="C16" s="27">
        <v>28638.11</v>
      </c>
      <c r="D16" s="13"/>
      <c r="E16" s="10">
        <v>12</v>
      </c>
      <c r="F16" s="10">
        <v>8713.11</v>
      </c>
      <c r="G16" s="13"/>
      <c r="H16" s="10">
        <v>10</v>
      </c>
      <c r="I16" s="10">
        <v>5930</v>
      </c>
      <c r="J16" s="13"/>
      <c r="K16" s="10">
        <v>1</v>
      </c>
      <c r="L16" s="10">
        <v>908</v>
      </c>
      <c r="M16" s="13"/>
      <c r="N16" s="10">
        <v>2</v>
      </c>
      <c r="O16" s="10">
        <v>1555</v>
      </c>
      <c r="P16" s="10"/>
      <c r="Q16" s="10">
        <v>16</v>
      </c>
      <c r="R16" s="10">
        <v>11532</v>
      </c>
      <c r="S16" s="10"/>
      <c r="T16" s="10" t="s">
        <v>23</v>
      </c>
      <c r="U16" s="10" t="s">
        <v>23</v>
      </c>
    </row>
    <row r="17" spans="1:21" s="3" customFormat="1" ht="12.9" customHeight="1" x14ac:dyDescent="0.25">
      <c r="A17" s="12" t="s">
        <v>15</v>
      </c>
      <c r="B17" s="27">
        <v>49</v>
      </c>
      <c r="C17" s="27">
        <v>74254.929999999993</v>
      </c>
      <c r="D17" s="13"/>
      <c r="E17" s="10">
        <v>15</v>
      </c>
      <c r="F17" s="10">
        <v>23945</v>
      </c>
      <c r="G17" s="13"/>
      <c r="H17" s="10">
        <v>7</v>
      </c>
      <c r="I17" s="10">
        <v>10138</v>
      </c>
      <c r="J17" s="13"/>
      <c r="K17" s="10">
        <v>4</v>
      </c>
      <c r="L17" s="10">
        <v>5616</v>
      </c>
      <c r="M17" s="13"/>
      <c r="N17" s="10">
        <v>2</v>
      </c>
      <c r="O17" s="10">
        <v>3006</v>
      </c>
      <c r="P17" s="10"/>
      <c r="Q17" s="10">
        <v>21</v>
      </c>
      <c r="R17" s="10">
        <v>31549.93</v>
      </c>
      <c r="S17" s="10"/>
      <c r="T17" s="10" t="s">
        <v>23</v>
      </c>
      <c r="U17" s="10" t="s">
        <v>23</v>
      </c>
    </row>
    <row r="18" spans="1:21" s="3" customFormat="1" ht="12.9" customHeight="1" x14ac:dyDescent="0.25">
      <c r="A18" s="12" t="s">
        <v>6</v>
      </c>
      <c r="B18" s="27">
        <v>88</v>
      </c>
      <c r="C18" s="27">
        <v>369482.07</v>
      </c>
      <c r="D18" s="13"/>
      <c r="E18" s="10">
        <v>29</v>
      </c>
      <c r="F18" s="10">
        <v>119309</v>
      </c>
      <c r="G18" s="13"/>
      <c r="H18" s="10">
        <v>11</v>
      </c>
      <c r="I18" s="10">
        <v>46312</v>
      </c>
      <c r="J18" s="13"/>
      <c r="K18" s="10">
        <v>2</v>
      </c>
      <c r="L18" s="10">
        <v>5016</v>
      </c>
      <c r="M18" s="13"/>
      <c r="N18" s="10">
        <v>1</v>
      </c>
      <c r="O18" s="10">
        <v>26244</v>
      </c>
      <c r="P18" s="10"/>
      <c r="Q18" s="10">
        <v>45</v>
      </c>
      <c r="R18" s="10">
        <v>172601.07</v>
      </c>
      <c r="S18" s="10"/>
      <c r="T18" s="10" t="s">
        <v>23</v>
      </c>
      <c r="U18" s="10" t="s">
        <v>23</v>
      </c>
    </row>
    <row r="19" spans="1:21" s="1" customFormat="1" ht="9.15" customHeight="1" x14ac:dyDescent="0.25">
      <c r="A19" s="15"/>
      <c r="B19" s="16"/>
      <c r="C19" s="16"/>
      <c r="D19" s="17"/>
      <c r="E19" s="10"/>
      <c r="F19" s="10"/>
      <c r="G19" s="13"/>
      <c r="H19" s="10"/>
      <c r="I19" s="10"/>
      <c r="J19" s="13"/>
      <c r="K19" s="10"/>
      <c r="L19" s="10"/>
      <c r="M19" s="13"/>
      <c r="N19" s="10"/>
      <c r="O19" s="10"/>
    </row>
    <row r="20" spans="1:21" ht="12.9" customHeight="1" x14ac:dyDescent="0.25">
      <c r="A20" s="15" t="s">
        <v>9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spans="1:21" ht="13.5" customHeight="1" x14ac:dyDescent="0.25">
      <c r="A21" s="15" t="s">
        <v>26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spans="1:21" ht="12.9" customHeight="1" x14ac:dyDescent="0.25">
      <c r="A22" s="28" t="s">
        <v>30</v>
      </c>
    </row>
    <row r="23" spans="1:21" ht="9.15" customHeight="1" x14ac:dyDescent="0.25"/>
  </sheetData>
  <mergeCells count="15">
    <mergeCell ref="B4:C4"/>
    <mergeCell ref="E4:U4"/>
    <mergeCell ref="C5:C6"/>
    <mergeCell ref="E5:F5"/>
    <mergeCell ref="H5:I5"/>
    <mergeCell ref="K5:L5"/>
    <mergeCell ref="N5:O5"/>
    <mergeCell ref="Q5:R5"/>
    <mergeCell ref="T5:U5"/>
    <mergeCell ref="F6:F7"/>
    <mergeCell ref="I6:I7"/>
    <mergeCell ref="L6:L7"/>
    <mergeCell ref="O6:O7"/>
    <mergeCell ref="R6:R7"/>
    <mergeCell ref="U6:U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L334"/>
  <sheetViews>
    <sheetView workbookViewId="0"/>
  </sheetViews>
  <sheetFormatPr baseColWidth="10" defaultColWidth="9.6640625" defaultRowHeight="15" x14ac:dyDescent="0.25"/>
  <cols>
    <col min="1" max="1" width="15.6640625" style="25" customWidth="1"/>
    <col min="2" max="2" width="5.58203125" style="25" customWidth="1"/>
    <col min="3" max="3" width="7" style="25" customWidth="1"/>
    <col min="4" max="4" width="1" style="26" customWidth="1"/>
    <col min="5" max="5" width="6" style="25" customWidth="1"/>
    <col min="6" max="6" width="6.6640625" style="25" customWidth="1"/>
    <col min="7" max="7" width="0.9140625" style="26" customWidth="1"/>
    <col min="8" max="8" width="5.9140625" style="25" customWidth="1"/>
    <col min="9" max="9" width="6.6640625" style="25" customWidth="1"/>
    <col min="10" max="10" width="0.9140625" style="26" customWidth="1"/>
    <col min="11" max="11" width="5.25" style="25" customWidth="1"/>
    <col min="12" max="12" width="6.6640625" style="25" customWidth="1"/>
    <col min="13" max="13" width="0.9140625" style="26" customWidth="1"/>
    <col min="14" max="14" width="5.08203125" style="25" customWidth="1"/>
    <col min="15" max="15" width="6.25" style="25" customWidth="1"/>
    <col min="16" max="16" width="0.9140625" style="25" customWidth="1"/>
    <col min="17" max="17" width="4.6640625" style="25" customWidth="1"/>
    <col min="18" max="18" width="6.25" style="25" customWidth="1"/>
    <col min="19" max="19" width="0.9140625" style="25" customWidth="1"/>
    <col min="20" max="20" width="4.6640625" style="25" customWidth="1"/>
    <col min="21" max="21" width="6.25" style="25" customWidth="1"/>
    <col min="22" max="90" width="9.6640625" style="18"/>
    <col min="91" max="16384" width="9.6640625" style="25"/>
  </cols>
  <sheetData>
    <row r="1" spans="1:90" s="24" customFormat="1" ht="15" customHeight="1" x14ac:dyDescent="0.3">
      <c r="A1" s="29" t="s">
        <v>20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</row>
    <row r="2" spans="1:90" s="24" customFormat="1" ht="15" customHeight="1" x14ac:dyDescent="0.3">
      <c r="A2" s="29" t="s">
        <v>24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</row>
    <row r="3" spans="1:90" s="24" customFormat="1" ht="9.15" customHeight="1" x14ac:dyDescent="0.3">
      <c r="A3" s="29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</row>
    <row r="4" spans="1:90" s="3" customFormat="1" ht="12.9" customHeight="1" x14ac:dyDescent="0.25">
      <c r="A4" s="1" t="s">
        <v>7</v>
      </c>
      <c r="B4" s="44" t="s">
        <v>4</v>
      </c>
      <c r="C4" s="44"/>
      <c r="D4" s="2"/>
      <c r="E4" s="44" t="s">
        <v>5</v>
      </c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</row>
    <row r="5" spans="1:90" s="3" customFormat="1" ht="12.9" customHeight="1" x14ac:dyDescent="0.25">
      <c r="A5" s="1"/>
      <c r="B5" s="4" t="s">
        <v>16</v>
      </c>
      <c r="C5" s="45" t="s">
        <v>18</v>
      </c>
      <c r="D5" s="2"/>
      <c r="E5" s="44" t="s">
        <v>0</v>
      </c>
      <c r="F5" s="44"/>
      <c r="G5" s="2"/>
      <c r="H5" s="44" t="s">
        <v>1</v>
      </c>
      <c r="I5" s="44"/>
      <c r="J5" s="2"/>
      <c r="K5" s="44" t="s">
        <v>2</v>
      </c>
      <c r="L5" s="44"/>
      <c r="M5" s="2"/>
      <c r="N5" s="44" t="s">
        <v>3</v>
      </c>
      <c r="O5" s="44"/>
      <c r="P5" s="22"/>
      <c r="Q5" s="44" t="s">
        <v>25</v>
      </c>
      <c r="R5" s="44"/>
      <c r="S5" s="22"/>
      <c r="T5" s="44" t="s">
        <v>19</v>
      </c>
      <c r="U5" s="44"/>
    </row>
    <row r="6" spans="1:90" s="3" customFormat="1" ht="12.9" customHeight="1" x14ac:dyDescent="0.25">
      <c r="A6" s="1"/>
      <c r="B6" s="5" t="s">
        <v>17</v>
      </c>
      <c r="C6" s="46"/>
      <c r="D6" s="6"/>
      <c r="E6" s="4" t="s">
        <v>16</v>
      </c>
      <c r="F6" s="45" t="s">
        <v>18</v>
      </c>
      <c r="G6" s="6"/>
      <c r="H6" s="4" t="s">
        <v>16</v>
      </c>
      <c r="I6" s="45" t="s">
        <v>18</v>
      </c>
      <c r="J6" s="6"/>
      <c r="K6" s="4" t="s">
        <v>16</v>
      </c>
      <c r="L6" s="45" t="s">
        <v>18</v>
      </c>
      <c r="M6" s="6"/>
      <c r="N6" s="4" t="s">
        <v>16</v>
      </c>
      <c r="O6" s="45" t="s">
        <v>18</v>
      </c>
      <c r="P6" s="23"/>
      <c r="Q6" s="4" t="s">
        <v>16</v>
      </c>
      <c r="R6" s="45" t="s">
        <v>18</v>
      </c>
      <c r="S6" s="23"/>
      <c r="T6" s="4" t="s">
        <v>16</v>
      </c>
      <c r="U6" s="45" t="s">
        <v>18</v>
      </c>
    </row>
    <row r="7" spans="1:90" s="3" customFormat="1" ht="12.9" customHeight="1" x14ac:dyDescent="0.25">
      <c r="A7" s="1"/>
      <c r="D7" s="6"/>
      <c r="E7" s="5" t="s">
        <v>17</v>
      </c>
      <c r="F7" s="46"/>
      <c r="G7" s="6"/>
      <c r="H7" s="5" t="s">
        <v>17</v>
      </c>
      <c r="I7" s="46"/>
      <c r="J7" s="6"/>
      <c r="K7" s="5" t="s">
        <v>17</v>
      </c>
      <c r="L7" s="46"/>
      <c r="M7" s="6"/>
      <c r="N7" s="5" t="s">
        <v>17</v>
      </c>
      <c r="O7" s="46"/>
      <c r="P7" s="23"/>
      <c r="Q7" s="5" t="s">
        <v>17</v>
      </c>
      <c r="R7" s="46"/>
      <c r="S7" s="23"/>
      <c r="T7" s="5" t="s">
        <v>17</v>
      </c>
      <c r="U7" s="46"/>
    </row>
    <row r="8" spans="1:90" s="3" customFormat="1" ht="9.15" customHeight="1" x14ac:dyDescent="0.25">
      <c r="D8" s="7"/>
      <c r="G8" s="7"/>
      <c r="J8" s="7"/>
      <c r="K8" s="8"/>
      <c r="L8" s="8"/>
      <c r="M8" s="8"/>
      <c r="N8" s="8"/>
      <c r="O8" s="8"/>
      <c r="P8" s="8"/>
      <c r="Q8" s="8"/>
      <c r="R8" s="8"/>
      <c r="S8" s="8"/>
      <c r="T8" s="8"/>
      <c r="U8" s="8"/>
    </row>
    <row r="9" spans="1:90" s="3" customFormat="1" ht="12.9" customHeight="1" x14ac:dyDescent="0.25">
      <c r="A9" s="1" t="s">
        <v>4</v>
      </c>
      <c r="B9" s="8">
        <v>381</v>
      </c>
      <c r="C9" s="8">
        <v>353359.49999999994</v>
      </c>
      <c r="D9" s="9"/>
      <c r="E9" s="8">
        <v>187</v>
      </c>
      <c r="F9" s="8">
        <v>67364.53</v>
      </c>
      <c r="G9" s="9"/>
      <c r="H9" s="8">
        <v>71</v>
      </c>
      <c r="I9" s="8">
        <v>60948.119999999995</v>
      </c>
      <c r="J9" s="9"/>
      <c r="K9" s="8">
        <v>10</v>
      </c>
      <c r="L9" s="8">
        <v>14420</v>
      </c>
      <c r="M9" s="8">
        <v>0</v>
      </c>
      <c r="N9" s="8">
        <v>5</v>
      </c>
      <c r="O9" s="8">
        <v>846.1</v>
      </c>
      <c r="P9" s="8"/>
      <c r="Q9" s="8">
        <v>107</v>
      </c>
      <c r="R9" s="8">
        <v>209758.74999999997</v>
      </c>
      <c r="S9" s="8"/>
      <c r="T9" s="8">
        <v>1</v>
      </c>
      <c r="U9" s="8">
        <v>22</v>
      </c>
    </row>
    <row r="10" spans="1:90" s="3" customFormat="1" ht="9.15" customHeight="1" x14ac:dyDescent="0.25">
      <c r="A10" s="1"/>
      <c r="B10" s="10"/>
      <c r="C10" s="10"/>
      <c r="D10" s="11"/>
      <c r="E10" s="10"/>
      <c r="F10" s="10"/>
      <c r="G10" s="11"/>
      <c r="H10" s="10"/>
      <c r="I10" s="10"/>
      <c r="J10" s="11"/>
      <c r="K10" s="10"/>
      <c r="L10" s="10"/>
      <c r="M10" s="11"/>
      <c r="N10" s="10"/>
      <c r="O10" s="10"/>
      <c r="P10" s="10"/>
      <c r="Q10" s="10"/>
      <c r="R10" s="10"/>
      <c r="S10" s="10"/>
      <c r="T10" s="10"/>
      <c r="U10" s="10"/>
    </row>
    <row r="11" spans="1:90" s="3" customFormat="1" ht="12.9" customHeight="1" x14ac:dyDescent="0.25">
      <c r="A11" s="12" t="s">
        <v>8</v>
      </c>
      <c r="B11" s="27">
        <v>63</v>
      </c>
      <c r="C11" s="27">
        <v>974.41</v>
      </c>
      <c r="D11" s="13"/>
      <c r="E11" s="10">
        <v>44</v>
      </c>
      <c r="F11" s="10">
        <v>679.59999999999991</v>
      </c>
      <c r="G11" s="13"/>
      <c r="H11" s="10">
        <v>7</v>
      </c>
      <c r="I11" s="10">
        <v>102</v>
      </c>
      <c r="J11" s="13"/>
      <c r="K11" s="10" t="s">
        <v>23</v>
      </c>
      <c r="L11" s="10" t="s">
        <v>23</v>
      </c>
      <c r="M11" s="14"/>
      <c r="N11" s="10">
        <v>2</v>
      </c>
      <c r="O11" s="10">
        <v>29.1</v>
      </c>
      <c r="P11" s="10"/>
      <c r="Q11" s="10">
        <v>9</v>
      </c>
      <c r="R11" s="10">
        <v>141.71</v>
      </c>
      <c r="S11" s="10"/>
      <c r="T11" s="10">
        <v>1</v>
      </c>
      <c r="U11" s="10">
        <v>22</v>
      </c>
    </row>
    <row r="12" spans="1:90" s="3" customFormat="1" ht="12.9" customHeight="1" x14ac:dyDescent="0.25">
      <c r="A12" s="12" t="s">
        <v>10</v>
      </c>
      <c r="B12" s="27">
        <v>82</v>
      </c>
      <c r="C12" s="27">
        <v>4373.9400000000005</v>
      </c>
      <c r="D12" s="13"/>
      <c r="E12" s="10">
        <v>62</v>
      </c>
      <c r="F12" s="10">
        <v>3374.09</v>
      </c>
      <c r="G12" s="13"/>
      <c r="H12" s="10">
        <v>6</v>
      </c>
      <c r="I12" s="10">
        <v>319</v>
      </c>
      <c r="J12" s="13"/>
      <c r="K12" s="10" t="s">
        <v>23</v>
      </c>
      <c r="L12" s="10" t="s">
        <v>23</v>
      </c>
      <c r="M12" s="13"/>
      <c r="N12" s="10" t="s">
        <v>23</v>
      </c>
      <c r="O12" s="10" t="s">
        <v>23</v>
      </c>
      <c r="P12" s="10"/>
      <c r="Q12" s="10">
        <v>14</v>
      </c>
      <c r="R12" s="10">
        <v>680.84999999999991</v>
      </c>
      <c r="S12" s="10"/>
      <c r="T12" s="10" t="s">
        <v>23</v>
      </c>
      <c r="U12" s="10" t="s">
        <v>23</v>
      </c>
    </row>
    <row r="13" spans="1:90" s="3" customFormat="1" ht="12.9" customHeight="1" x14ac:dyDescent="0.25">
      <c r="A13" s="12" t="s">
        <v>11</v>
      </c>
      <c r="B13" s="27">
        <v>26</v>
      </c>
      <c r="C13" s="27">
        <v>2574.38</v>
      </c>
      <c r="D13" s="13"/>
      <c r="E13" s="10">
        <v>10</v>
      </c>
      <c r="F13" s="10">
        <v>983</v>
      </c>
      <c r="G13" s="13"/>
      <c r="H13" s="10">
        <v>6</v>
      </c>
      <c r="I13" s="10">
        <v>596</v>
      </c>
      <c r="J13" s="13"/>
      <c r="K13" s="10">
        <v>1</v>
      </c>
      <c r="L13" s="10">
        <v>97</v>
      </c>
      <c r="M13" s="14"/>
      <c r="N13" s="10" t="s">
        <v>23</v>
      </c>
      <c r="O13" s="10" t="s">
        <v>23</v>
      </c>
      <c r="P13" s="14"/>
      <c r="Q13" s="10">
        <v>9</v>
      </c>
      <c r="R13" s="10">
        <v>898.38</v>
      </c>
      <c r="S13" s="14"/>
      <c r="T13" s="10" t="s">
        <v>23</v>
      </c>
      <c r="U13" s="10" t="s">
        <v>23</v>
      </c>
    </row>
    <row r="14" spans="1:90" s="3" customFormat="1" ht="12.9" customHeight="1" x14ac:dyDescent="0.25">
      <c r="A14" s="12" t="s">
        <v>12</v>
      </c>
      <c r="B14" s="27">
        <v>38</v>
      </c>
      <c r="C14" s="27">
        <v>5928.44</v>
      </c>
      <c r="D14" s="13"/>
      <c r="E14" s="10">
        <v>16</v>
      </c>
      <c r="F14" s="10">
        <v>2491.6999999999998</v>
      </c>
      <c r="G14" s="13"/>
      <c r="H14" s="10">
        <v>14</v>
      </c>
      <c r="I14" s="10">
        <v>2181</v>
      </c>
      <c r="J14" s="13"/>
      <c r="K14" s="10">
        <v>2</v>
      </c>
      <c r="L14" s="10">
        <v>331</v>
      </c>
      <c r="M14" s="13"/>
      <c r="N14" s="10">
        <v>1</v>
      </c>
      <c r="O14" s="10">
        <v>126</v>
      </c>
      <c r="P14" s="10"/>
      <c r="Q14" s="10">
        <v>5</v>
      </c>
      <c r="R14" s="10">
        <v>798.74</v>
      </c>
      <c r="S14" s="10"/>
      <c r="T14" s="10" t="s">
        <v>23</v>
      </c>
      <c r="U14" s="10" t="s">
        <v>23</v>
      </c>
    </row>
    <row r="15" spans="1:90" s="3" customFormat="1" ht="12.9" customHeight="1" x14ac:dyDescent="0.25">
      <c r="A15" s="12" t="s">
        <v>13</v>
      </c>
      <c r="B15" s="27">
        <v>65</v>
      </c>
      <c r="C15" s="27">
        <v>20634.62</v>
      </c>
      <c r="D15" s="13"/>
      <c r="E15" s="10">
        <v>29</v>
      </c>
      <c r="F15" s="10">
        <v>9360.81</v>
      </c>
      <c r="G15" s="13"/>
      <c r="H15" s="10">
        <v>16</v>
      </c>
      <c r="I15" s="10">
        <v>4911.12</v>
      </c>
      <c r="J15" s="13"/>
      <c r="K15" s="10">
        <v>3</v>
      </c>
      <c r="L15" s="10">
        <v>930</v>
      </c>
      <c r="M15" s="13"/>
      <c r="N15" s="10">
        <v>2</v>
      </c>
      <c r="O15" s="10">
        <v>691</v>
      </c>
      <c r="P15" s="10"/>
      <c r="Q15" s="10">
        <v>15</v>
      </c>
      <c r="R15" s="10">
        <v>4741.6899999999996</v>
      </c>
      <c r="S15" s="10"/>
      <c r="T15" s="10" t="s">
        <v>23</v>
      </c>
      <c r="U15" s="10" t="s">
        <v>23</v>
      </c>
    </row>
    <row r="16" spans="1:90" s="3" customFormat="1" ht="12.9" customHeight="1" x14ac:dyDescent="0.25">
      <c r="A16" s="12" t="s">
        <v>14</v>
      </c>
      <c r="B16" s="27">
        <v>25</v>
      </c>
      <c r="C16" s="27">
        <v>18014</v>
      </c>
      <c r="D16" s="13"/>
      <c r="E16" s="10">
        <v>6</v>
      </c>
      <c r="F16" s="10">
        <v>4966</v>
      </c>
      <c r="G16" s="13"/>
      <c r="H16" s="10">
        <v>11</v>
      </c>
      <c r="I16" s="10">
        <v>7452</v>
      </c>
      <c r="J16" s="13"/>
      <c r="K16" s="10">
        <v>1</v>
      </c>
      <c r="L16" s="10">
        <v>860</v>
      </c>
      <c r="M16" s="13"/>
      <c r="N16" s="10" t="s">
        <v>23</v>
      </c>
      <c r="O16" s="10" t="s">
        <v>23</v>
      </c>
      <c r="P16" s="10"/>
      <c r="Q16" s="10">
        <v>7</v>
      </c>
      <c r="R16" s="10">
        <v>4736</v>
      </c>
      <c r="S16" s="10"/>
      <c r="T16" s="10" t="s">
        <v>23</v>
      </c>
      <c r="U16" s="10" t="s">
        <v>23</v>
      </c>
    </row>
    <row r="17" spans="1:21" s="3" customFormat="1" ht="12.9" customHeight="1" x14ac:dyDescent="0.25">
      <c r="A17" s="12" t="s">
        <v>15</v>
      </c>
      <c r="B17" s="27">
        <v>33</v>
      </c>
      <c r="C17" s="27">
        <v>50781.2</v>
      </c>
      <c r="D17" s="13"/>
      <c r="E17" s="10">
        <v>12</v>
      </c>
      <c r="F17" s="10">
        <v>18699.349999999999</v>
      </c>
      <c r="G17" s="13"/>
      <c r="H17" s="10">
        <v>3</v>
      </c>
      <c r="I17" s="10">
        <v>4936</v>
      </c>
      <c r="J17" s="13"/>
      <c r="K17" s="10">
        <v>1</v>
      </c>
      <c r="L17" s="10">
        <v>1511</v>
      </c>
      <c r="M17" s="13"/>
      <c r="N17" s="10" t="s">
        <v>23</v>
      </c>
      <c r="O17" s="10" t="s">
        <v>23</v>
      </c>
      <c r="P17" s="10"/>
      <c r="Q17" s="10">
        <v>17</v>
      </c>
      <c r="R17" s="10">
        <v>25634.85</v>
      </c>
      <c r="S17" s="10"/>
      <c r="T17" s="10" t="s">
        <v>23</v>
      </c>
      <c r="U17" s="10" t="s">
        <v>23</v>
      </c>
    </row>
    <row r="18" spans="1:21" s="3" customFormat="1" ht="12.9" customHeight="1" x14ac:dyDescent="0.25">
      <c r="A18" s="12" t="s">
        <v>6</v>
      </c>
      <c r="B18" s="27">
        <v>49</v>
      </c>
      <c r="C18" s="27">
        <v>250078.50999999995</v>
      </c>
      <c r="D18" s="13"/>
      <c r="E18" s="10">
        <v>8</v>
      </c>
      <c r="F18" s="10">
        <v>26809.98</v>
      </c>
      <c r="G18" s="13"/>
      <c r="H18" s="10">
        <v>8</v>
      </c>
      <c r="I18" s="10">
        <v>40451</v>
      </c>
      <c r="J18" s="13"/>
      <c r="K18" s="10">
        <v>2</v>
      </c>
      <c r="L18" s="10">
        <v>10691</v>
      </c>
      <c r="M18" s="13"/>
      <c r="N18" s="10" t="s">
        <v>23</v>
      </c>
      <c r="O18" s="10" t="s">
        <v>23</v>
      </c>
      <c r="P18" s="10"/>
      <c r="Q18" s="10">
        <v>31</v>
      </c>
      <c r="R18" s="10">
        <v>172126.52999999997</v>
      </c>
      <c r="S18" s="10"/>
      <c r="T18" s="10" t="s">
        <v>23</v>
      </c>
      <c r="U18" s="10" t="s">
        <v>23</v>
      </c>
    </row>
    <row r="19" spans="1:21" s="1" customFormat="1" ht="9.15" customHeight="1" x14ac:dyDescent="0.25">
      <c r="A19" s="15"/>
      <c r="B19" s="16"/>
      <c r="C19" s="16"/>
      <c r="D19" s="17"/>
      <c r="E19" s="10"/>
      <c r="F19" s="10"/>
      <c r="G19" s="13"/>
      <c r="H19" s="10"/>
      <c r="I19" s="10"/>
      <c r="J19" s="13"/>
      <c r="K19" s="10"/>
      <c r="L19" s="10"/>
      <c r="M19" s="13"/>
      <c r="N19" s="10"/>
      <c r="O19" s="10"/>
    </row>
    <row r="20" spans="1:21" s="18" customFormat="1" ht="12.9" customHeight="1" x14ac:dyDescent="0.25">
      <c r="A20" s="15" t="s">
        <v>9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spans="1:21" s="18" customFormat="1" ht="13.5" customHeight="1" x14ac:dyDescent="0.25">
      <c r="A21" s="15" t="s">
        <v>26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spans="1:21" s="18" customFormat="1" x14ac:dyDescent="0.25">
      <c r="A22" s="28" t="s">
        <v>30</v>
      </c>
      <c r="D22" s="19"/>
      <c r="G22" s="19"/>
      <c r="J22" s="19"/>
      <c r="M22" s="19"/>
    </row>
    <row r="23" spans="1:21" s="18" customFormat="1" ht="9.15" customHeight="1" x14ac:dyDescent="0.25">
      <c r="D23" s="19"/>
      <c r="G23" s="19"/>
      <c r="J23" s="19"/>
      <c r="M23" s="19"/>
    </row>
    <row r="24" spans="1:21" s="18" customFormat="1" x14ac:dyDescent="0.25">
      <c r="D24" s="19"/>
      <c r="G24" s="19"/>
      <c r="J24" s="19"/>
      <c r="M24" s="19"/>
    </row>
    <row r="25" spans="1:21" s="18" customFormat="1" x14ac:dyDescent="0.25">
      <c r="D25" s="19"/>
      <c r="G25" s="19"/>
      <c r="J25" s="19"/>
      <c r="M25" s="19"/>
    </row>
    <row r="26" spans="1:21" s="18" customFormat="1" x14ac:dyDescent="0.25">
      <c r="D26" s="19"/>
      <c r="G26" s="19"/>
      <c r="J26" s="19"/>
      <c r="M26" s="19"/>
    </row>
    <row r="27" spans="1:21" s="18" customFormat="1" x14ac:dyDescent="0.25">
      <c r="D27" s="19"/>
      <c r="G27" s="19"/>
      <c r="J27" s="19"/>
      <c r="M27" s="19"/>
    </row>
    <row r="28" spans="1:21" s="18" customFormat="1" x14ac:dyDescent="0.25">
      <c r="D28" s="19"/>
      <c r="G28" s="19"/>
      <c r="J28" s="19"/>
      <c r="M28" s="19"/>
    </row>
    <row r="29" spans="1:21" s="18" customFormat="1" x14ac:dyDescent="0.25">
      <c r="D29" s="19"/>
      <c r="G29" s="19"/>
      <c r="J29" s="19"/>
      <c r="M29" s="19"/>
    </row>
    <row r="30" spans="1:21" s="18" customFormat="1" x14ac:dyDescent="0.25">
      <c r="D30" s="19"/>
      <c r="G30" s="19"/>
      <c r="J30" s="19"/>
      <c r="M30" s="19"/>
    </row>
    <row r="31" spans="1:21" s="18" customFormat="1" x14ac:dyDescent="0.25">
      <c r="D31" s="19"/>
      <c r="G31" s="19"/>
      <c r="J31" s="19"/>
      <c r="M31" s="19"/>
    </row>
    <row r="32" spans="1:21" s="18" customFormat="1" x14ac:dyDescent="0.25">
      <c r="D32" s="19"/>
      <c r="G32" s="19"/>
      <c r="J32" s="19"/>
      <c r="M32" s="19"/>
    </row>
    <row r="33" spans="4:13" s="18" customFormat="1" x14ac:dyDescent="0.25">
      <c r="D33" s="19"/>
      <c r="G33" s="19"/>
      <c r="J33" s="19"/>
      <c r="M33" s="19"/>
    </row>
    <row r="34" spans="4:13" s="18" customFormat="1" x14ac:dyDescent="0.25">
      <c r="D34" s="19"/>
      <c r="G34" s="19"/>
      <c r="J34" s="19"/>
      <c r="M34" s="19"/>
    </row>
    <row r="35" spans="4:13" s="18" customFormat="1" x14ac:dyDescent="0.25">
      <c r="D35" s="19"/>
      <c r="G35" s="19"/>
      <c r="J35" s="19"/>
      <c r="M35" s="19"/>
    </row>
    <row r="36" spans="4:13" s="18" customFormat="1" x14ac:dyDescent="0.25">
      <c r="D36" s="19"/>
      <c r="G36" s="19"/>
      <c r="J36" s="19"/>
      <c r="M36" s="19"/>
    </row>
    <row r="37" spans="4:13" s="18" customFormat="1" x14ac:dyDescent="0.25">
      <c r="D37" s="19"/>
      <c r="G37" s="19"/>
      <c r="J37" s="19"/>
      <c r="M37" s="19"/>
    </row>
    <row r="38" spans="4:13" s="18" customFormat="1" x14ac:dyDescent="0.25">
      <c r="D38" s="19"/>
      <c r="G38" s="19"/>
      <c r="J38" s="19"/>
      <c r="M38" s="19"/>
    </row>
    <row r="39" spans="4:13" s="18" customFormat="1" x14ac:dyDescent="0.25">
      <c r="D39" s="19"/>
      <c r="G39" s="19"/>
      <c r="J39" s="19"/>
      <c r="M39" s="19"/>
    </row>
    <row r="40" spans="4:13" s="18" customFormat="1" x14ac:dyDescent="0.25">
      <c r="D40" s="19"/>
      <c r="G40" s="19"/>
      <c r="J40" s="19"/>
      <c r="M40" s="19"/>
    </row>
    <row r="41" spans="4:13" s="18" customFormat="1" x14ac:dyDescent="0.25">
      <c r="D41" s="19"/>
      <c r="G41" s="19"/>
      <c r="J41" s="19"/>
      <c r="M41" s="19"/>
    </row>
    <row r="42" spans="4:13" s="18" customFormat="1" x14ac:dyDescent="0.25">
      <c r="D42" s="19"/>
      <c r="G42" s="19"/>
      <c r="J42" s="19"/>
      <c r="M42" s="19"/>
    </row>
    <row r="43" spans="4:13" s="18" customFormat="1" x14ac:dyDescent="0.25">
      <c r="D43" s="19"/>
      <c r="G43" s="19"/>
      <c r="J43" s="19"/>
      <c r="M43" s="19"/>
    </row>
    <row r="44" spans="4:13" s="18" customFormat="1" x14ac:dyDescent="0.25">
      <c r="D44" s="19"/>
      <c r="G44" s="19"/>
      <c r="J44" s="19"/>
      <c r="M44" s="19"/>
    </row>
    <row r="45" spans="4:13" s="18" customFormat="1" x14ac:dyDescent="0.25">
      <c r="D45" s="19"/>
      <c r="G45" s="19"/>
      <c r="J45" s="19"/>
      <c r="M45" s="19"/>
    </row>
    <row r="46" spans="4:13" s="18" customFormat="1" x14ac:dyDescent="0.25">
      <c r="D46" s="19"/>
      <c r="G46" s="19"/>
      <c r="J46" s="19"/>
      <c r="M46" s="19"/>
    </row>
    <row r="47" spans="4:13" s="18" customFormat="1" x14ac:dyDescent="0.25">
      <c r="D47" s="19"/>
      <c r="G47" s="19"/>
      <c r="J47" s="19"/>
      <c r="M47" s="19"/>
    </row>
    <row r="48" spans="4:13" s="18" customFormat="1" x14ac:dyDescent="0.25">
      <c r="D48" s="19"/>
      <c r="G48" s="19"/>
      <c r="J48" s="19"/>
      <c r="M48" s="19"/>
    </row>
    <row r="49" spans="4:13" s="18" customFormat="1" x14ac:dyDescent="0.25">
      <c r="D49" s="19"/>
      <c r="G49" s="19"/>
      <c r="J49" s="19"/>
      <c r="M49" s="19"/>
    </row>
    <row r="50" spans="4:13" s="18" customFormat="1" x14ac:dyDescent="0.25">
      <c r="D50" s="19"/>
      <c r="G50" s="19"/>
      <c r="J50" s="19"/>
      <c r="M50" s="19"/>
    </row>
    <row r="51" spans="4:13" s="18" customFormat="1" x14ac:dyDescent="0.25">
      <c r="D51" s="19"/>
      <c r="G51" s="19"/>
      <c r="J51" s="19"/>
      <c r="M51" s="19"/>
    </row>
    <row r="52" spans="4:13" s="18" customFormat="1" x14ac:dyDescent="0.25">
      <c r="D52" s="19"/>
      <c r="G52" s="19"/>
      <c r="J52" s="19"/>
      <c r="M52" s="19"/>
    </row>
    <row r="53" spans="4:13" s="18" customFormat="1" x14ac:dyDescent="0.25">
      <c r="D53" s="19"/>
      <c r="G53" s="19"/>
      <c r="J53" s="19"/>
      <c r="M53" s="19"/>
    </row>
    <row r="54" spans="4:13" s="18" customFormat="1" x14ac:dyDescent="0.25">
      <c r="D54" s="19"/>
      <c r="G54" s="19"/>
      <c r="J54" s="19"/>
      <c r="M54" s="19"/>
    </row>
    <row r="55" spans="4:13" s="18" customFormat="1" x14ac:dyDescent="0.25">
      <c r="D55" s="19"/>
      <c r="G55" s="19"/>
      <c r="J55" s="19"/>
      <c r="M55" s="19"/>
    </row>
    <row r="56" spans="4:13" s="18" customFormat="1" x14ac:dyDescent="0.25">
      <c r="D56" s="19"/>
      <c r="G56" s="19"/>
      <c r="J56" s="19"/>
      <c r="M56" s="19"/>
    </row>
    <row r="57" spans="4:13" s="18" customFormat="1" x14ac:dyDescent="0.25">
      <c r="D57" s="19"/>
      <c r="G57" s="19"/>
      <c r="J57" s="19"/>
      <c r="M57" s="19"/>
    </row>
    <row r="58" spans="4:13" s="18" customFormat="1" x14ac:dyDescent="0.25">
      <c r="D58" s="19"/>
      <c r="G58" s="19"/>
      <c r="J58" s="19"/>
      <c r="M58" s="19"/>
    </row>
    <row r="59" spans="4:13" s="18" customFormat="1" x14ac:dyDescent="0.25">
      <c r="D59" s="19"/>
      <c r="G59" s="19"/>
      <c r="J59" s="19"/>
      <c r="M59" s="19"/>
    </row>
    <row r="60" spans="4:13" s="18" customFormat="1" x14ac:dyDescent="0.25">
      <c r="D60" s="19"/>
      <c r="G60" s="19"/>
      <c r="J60" s="19"/>
      <c r="M60" s="19"/>
    </row>
    <row r="61" spans="4:13" s="18" customFormat="1" x14ac:dyDescent="0.25">
      <c r="D61" s="19"/>
      <c r="G61" s="19"/>
      <c r="J61" s="19"/>
      <c r="M61" s="19"/>
    </row>
    <row r="62" spans="4:13" s="18" customFormat="1" x14ac:dyDescent="0.25">
      <c r="D62" s="19"/>
      <c r="G62" s="19"/>
      <c r="J62" s="19"/>
      <c r="M62" s="19"/>
    </row>
    <row r="63" spans="4:13" s="18" customFormat="1" x14ac:dyDescent="0.25">
      <c r="D63" s="19"/>
      <c r="G63" s="19"/>
      <c r="J63" s="19"/>
      <c r="M63" s="19"/>
    </row>
    <row r="64" spans="4:13" s="18" customFormat="1" x14ac:dyDescent="0.25">
      <c r="D64" s="19"/>
      <c r="G64" s="19"/>
      <c r="J64" s="19"/>
      <c r="M64" s="19"/>
    </row>
    <row r="65" spans="4:13" s="18" customFormat="1" x14ac:dyDescent="0.25">
      <c r="D65" s="19"/>
      <c r="G65" s="19"/>
      <c r="J65" s="19"/>
      <c r="M65" s="19"/>
    </row>
    <row r="66" spans="4:13" s="18" customFormat="1" x14ac:dyDescent="0.25">
      <c r="D66" s="19"/>
      <c r="G66" s="19"/>
      <c r="J66" s="19"/>
      <c r="M66" s="19"/>
    </row>
    <row r="67" spans="4:13" s="18" customFormat="1" x14ac:dyDescent="0.25">
      <c r="D67" s="19"/>
      <c r="G67" s="19"/>
      <c r="J67" s="19"/>
      <c r="M67" s="19"/>
    </row>
    <row r="68" spans="4:13" s="18" customFormat="1" x14ac:dyDescent="0.25">
      <c r="D68" s="19"/>
      <c r="G68" s="19"/>
      <c r="J68" s="19"/>
      <c r="M68" s="19"/>
    </row>
    <row r="69" spans="4:13" s="18" customFormat="1" x14ac:dyDescent="0.25">
      <c r="D69" s="19"/>
      <c r="G69" s="19"/>
      <c r="J69" s="19"/>
      <c r="M69" s="19"/>
    </row>
    <row r="70" spans="4:13" s="18" customFormat="1" x14ac:dyDescent="0.25">
      <c r="D70" s="19"/>
      <c r="G70" s="19"/>
      <c r="J70" s="19"/>
      <c r="M70" s="19"/>
    </row>
    <row r="71" spans="4:13" s="18" customFormat="1" x14ac:dyDescent="0.25">
      <c r="D71" s="19"/>
      <c r="G71" s="19"/>
      <c r="J71" s="19"/>
      <c r="M71" s="19"/>
    </row>
    <row r="72" spans="4:13" s="18" customFormat="1" x14ac:dyDescent="0.25">
      <c r="D72" s="19"/>
      <c r="G72" s="19"/>
      <c r="J72" s="19"/>
      <c r="M72" s="19"/>
    </row>
    <row r="73" spans="4:13" s="18" customFormat="1" x14ac:dyDescent="0.25">
      <c r="D73" s="19"/>
      <c r="G73" s="19"/>
      <c r="J73" s="19"/>
      <c r="M73" s="19"/>
    </row>
    <row r="74" spans="4:13" s="18" customFormat="1" x14ac:dyDescent="0.25">
      <c r="D74" s="19"/>
      <c r="G74" s="19"/>
      <c r="J74" s="19"/>
      <c r="M74" s="19"/>
    </row>
    <row r="75" spans="4:13" s="18" customFormat="1" x14ac:dyDescent="0.25">
      <c r="D75" s="19"/>
      <c r="G75" s="19"/>
      <c r="J75" s="19"/>
      <c r="M75" s="19"/>
    </row>
    <row r="76" spans="4:13" s="18" customFormat="1" x14ac:dyDescent="0.25">
      <c r="D76" s="19"/>
      <c r="G76" s="19"/>
      <c r="J76" s="19"/>
      <c r="M76" s="19"/>
    </row>
    <row r="77" spans="4:13" s="18" customFormat="1" x14ac:dyDescent="0.25">
      <c r="D77" s="19"/>
      <c r="G77" s="19"/>
      <c r="J77" s="19"/>
      <c r="M77" s="19"/>
    </row>
    <row r="78" spans="4:13" s="18" customFormat="1" x14ac:dyDescent="0.25">
      <c r="D78" s="19"/>
      <c r="G78" s="19"/>
      <c r="J78" s="19"/>
      <c r="M78" s="19"/>
    </row>
    <row r="79" spans="4:13" s="18" customFormat="1" x14ac:dyDescent="0.25">
      <c r="D79" s="19"/>
      <c r="G79" s="19"/>
      <c r="J79" s="19"/>
      <c r="M79" s="19"/>
    </row>
    <row r="80" spans="4:13" s="18" customFormat="1" x14ac:dyDescent="0.25">
      <c r="D80" s="19"/>
      <c r="G80" s="19"/>
      <c r="J80" s="19"/>
      <c r="M80" s="19"/>
    </row>
    <row r="81" spans="4:13" s="18" customFormat="1" x14ac:dyDescent="0.25">
      <c r="D81" s="19"/>
      <c r="G81" s="19"/>
      <c r="J81" s="19"/>
      <c r="M81" s="19"/>
    </row>
    <row r="82" spans="4:13" s="18" customFormat="1" x14ac:dyDescent="0.25">
      <c r="D82" s="19"/>
      <c r="G82" s="19"/>
      <c r="J82" s="19"/>
      <c r="M82" s="19"/>
    </row>
    <row r="83" spans="4:13" s="18" customFormat="1" x14ac:dyDescent="0.25">
      <c r="D83" s="19"/>
      <c r="G83" s="19"/>
      <c r="J83" s="19"/>
      <c r="M83" s="19"/>
    </row>
    <row r="84" spans="4:13" s="18" customFormat="1" x14ac:dyDescent="0.25">
      <c r="D84" s="19"/>
      <c r="G84" s="19"/>
      <c r="J84" s="19"/>
      <c r="M84" s="19"/>
    </row>
    <row r="85" spans="4:13" s="18" customFormat="1" x14ac:dyDescent="0.25">
      <c r="D85" s="19"/>
      <c r="G85" s="19"/>
      <c r="J85" s="19"/>
      <c r="M85" s="19"/>
    </row>
    <row r="86" spans="4:13" s="18" customFormat="1" x14ac:dyDescent="0.25">
      <c r="D86" s="19"/>
      <c r="G86" s="19"/>
      <c r="J86" s="19"/>
      <c r="M86" s="19"/>
    </row>
    <row r="87" spans="4:13" s="18" customFormat="1" x14ac:dyDescent="0.25">
      <c r="D87" s="19"/>
      <c r="G87" s="19"/>
      <c r="J87" s="19"/>
      <c r="M87" s="19"/>
    </row>
    <row r="88" spans="4:13" s="18" customFormat="1" x14ac:dyDescent="0.25">
      <c r="D88" s="19"/>
      <c r="G88" s="19"/>
      <c r="J88" s="19"/>
      <c r="M88" s="19"/>
    </row>
    <row r="89" spans="4:13" s="18" customFormat="1" x14ac:dyDescent="0.25">
      <c r="D89" s="19"/>
      <c r="G89" s="19"/>
      <c r="J89" s="19"/>
      <c r="M89" s="19"/>
    </row>
    <row r="90" spans="4:13" s="18" customFormat="1" x14ac:dyDescent="0.25">
      <c r="D90" s="19"/>
      <c r="G90" s="19"/>
      <c r="J90" s="19"/>
      <c r="M90" s="19"/>
    </row>
    <row r="91" spans="4:13" s="18" customFormat="1" x14ac:dyDescent="0.25">
      <c r="D91" s="19"/>
      <c r="G91" s="19"/>
      <c r="J91" s="19"/>
      <c r="M91" s="19"/>
    </row>
    <row r="92" spans="4:13" s="18" customFormat="1" x14ac:dyDescent="0.25">
      <c r="D92" s="19"/>
      <c r="G92" s="19"/>
      <c r="J92" s="19"/>
      <c r="M92" s="19"/>
    </row>
    <row r="93" spans="4:13" s="18" customFormat="1" x14ac:dyDescent="0.25">
      <c r="D93" s="19"/>
      <c r="G93" s="19"/>
      <c r="J93" s="19"/>
      <c r="M93" s="19"/>
    </row>
    <row r="94" spans="4:13" s="18" customFormat="1" x14ac:dyDescent="0.25">
      <c r="D94" s="19"/>
      <c r="G94" s="19"/>
      <c r="J94" s="19"/>
      <c r="M94" s="19"/>
    </row>
    <row r="95" spans="4:13" s="18" customFormat="1" x14ac:dyDescent="0.25">
      <c r="D95" s="19"/>
      <c r="G95" s="19"/>
      <c r="J95" s="19"/>
      <c r="M95" s="19"/>
    </row>
    <row r="96" spans="4:13" s="18" customFormat="1" x14ac:dyDescent="0.25">
      <c r="D96" s="19"/>
      <c r="G96" s="19"/>
      <c r="J96" s="19"/>
      <c r="M96" s="19"/>
    </row>
    <row r="97" spans="4:13" s="18" customFormat="1" x14ac:dyDescent="0.25">
      <c r="D97" s="19"/>
      <c r="G97" s="19"/>
      <c r="J97" s="19"/>
      <c r="M97" s="19"/>
    </row>
    <row r="98" spans="4:13" s="18" customFormat="1" x14ac:dyDescent="0.25">
      <c r="D98" s="19"/>
      <c r="G98" s="19"/>
      <c r="J98" s="19"/>
      <c r="M98" s="19"/>
    </row>
    <row r="99" spans="4:13" s="18" customFormat="1" x14ac:dyDescent="0.25">
      <c r="D99" s="19"/>
      <c r="G99" s="19"/>
      <c r="J99" s="19"/>
      <c r="M99" s="19"/>
    </row>
    <row r="100" spans="4:13" s="18" customFormat="1" x14ac:dyDescent="0.25">
      <c r="D100" s="19"/>
      <c r="G100" s="19"/>
      <c r="J100" s="19"/>
      <c r="M100" s="19"/>
    </row>
    <row r="101" spans="4:13" s="18" customFormat="1" x14ac:dyDescent="0.25">
      <c r="D101" s="19"/>
      <c r="G101" s="19"/>
      <c r="J101" s="19"/>
      <c r="M101" s="19"/>
    </row>
    <row r="102" spans="4:13" s="18" customFormat="1" x14ac:dyDescent="0.25">
      <c r="D102" s="19"/>
      <c r="G102" s="19"/>
      <c r="J102" s="19"/>
      <c r="M102" s="19"/>
    </row>
    <row r="103" spans="4:13" s="18" customFormat="1" x14ac:dyDescent="0.25">
      <c r="D103" s="19"/>
      <c r="G103" s="19"/>
      <c r="J103" s="19"/>
      <c r="M103" s="19"/>
    </row>
    <row r="104" spans="4:13" s="18" customFormat="1" x14ac:dyDescent="0.25">
      <c r="D104" s="19"/>
      <c r="G104" s="19"/>
      <c r="J104" s="19"/>
      <c r="M104" s="19"/>
    </row>
    <row r="105" spans="4:13" s="18" customFormat="1" x14ac:dyDescent="0.25">
      <c r="D105" s="19"/>
      <c r="G105" s="19"/>
      <c r="J105" s="19"/>
      <c r="M105" s="19"/>
    </row>
    <row r="106" spans="4:13" s="18" customFormat="1" x14ac:dyDescent="0.25">
      <c r="D106" s="19"/>
      <c r="G106" s="19"/>
      <c r="J106" s="19"/>
      <c r="M106" s="19"/>
    </row>
    <row r="107" spans="4:13" s="18" customFormat="1" x14ac:dyDescent="0.25">
      <c r="D107" s="19"/>
      <c r="G107" s="19"/>
      <c r="J107" s="19"/>
      <c r="M107" s="19"/>
    </row>
    <row r="108" spans="4:13" s="18" customFormat="1" x14ac:dyDescent="0.25">
      <c r="D108" s="19"/>
      <c r="G108" s="19"/>
      <c r="J108" s="19"/>
      <c r="M108" s="19"/>
    </row>
    <row r="109" spans="4:13" s="18" customFormat="1" x14ac:dyDescent="0.25">
      <c r="D109" s="19"/>
      <c r="G109" s="19"/>
      <c r="J109" s="19"/>
      <c r="M109" s="19"/>
    </row>
    <row r="110" spans="4:13" s="18" customFormat="1" x14ac:dyDescent="0.25">
      <c r="D110" s="19"/>
      <c r="G110" s="19"/>
      <c r="J110" s="19"/>
      <c r="M110" s="19"/>
    </row>
    <row r="111" spans="4:13" s="18" customFormat="1" x14ac:dyDescent="0.25">
      <c r="D111" s="19"/>
      <c r="G111" s="19"/>
      <c r="J111" s="19"/>
      <c r="M111" s="19"/>
    </row>
    <row r="112" spans="4:13" s="18" customFormat="1" x14ac:dyDescent="0.25">
      <c r="D112" s="19"/>
      <c r="G112" s="19"/>
      <c r="J112" s="19"/>
      <c r="M112" s="19"/>
    </row>
    <row r="113" spans="4:13" s="18" customFormat="1" x14ac:dyDescent="0.25">
      <c r="D113" s="19"/>
      <c r="G113" s="19"/>
      <c r="J113" s="19"/>
      <c r="M113" s="19"/>
    </row>
    <row r="114" spans="4:13" s="18" customFormat="1" x14ac:dyDescent="0.25">
      <c r="D114" s="19"/>
      <c r="G114" s="19"/>
      <c r="J114" s="19"/>
      <c r="M114" s="19"/>
    </row>
    <row r="115" spans="4:13" s="18" customFormat="1" x14ac:dyDescent="0.25">
      <c r="D115" s="19"/>
      <c r="G115" s="19"/>
      <c r="J115" s="19"/>
      <c r="M115" s="19"/>
    </row>
    <row r="116" spans="4:13" s="18" customFormat="1" x14ac:dyDescent="0.25">
      <c r="D116" s="19"/>
      <c r="G116" s="19"/>
      <c r="J116" s="19"/>
      <c r="M116" s="19"/>
    </row>
    <row r="117" spans="4:13" s="18" customFormat="1" x14ac:dyDescent="0.25">
      <c r="D117" s="19"/>
      <c r="G117" s="19"/>
      <c r="J117" s="19"/>
      <c r="M117" s="19"/>
    </row>
    <row r="118" spans="4:13" s="18" customFormat="1" x14ac:dyDescent="0.25">
      <c r="D118" s="19"/>
      <c r="G118" s="19"/>
      <c r="J118" s="19"/>
      <c r="M118" s="19"/>
    </row>
    <row r="119" spans="4:13" s="18" customFormat="1" x14ac:dyDescent="0.25">
      <c r="D119" s="19"/>
      <c r="G119" s="19"/>
      <c r="J119" s="19"/>
      <c r="M119" s="19"/>
    </row>
    <row r="120" spans="4:13" s="18" customFormat="1" x14ac:dyDescent="0.25">
      <c r="D120" s="19"/>
      <c r="G120" s="19"/>
      <c r="J120" s="19"/>
      <c r="M120" s="19"/>
    </row>
    <row r="121" spans="4:13" s="18" customFormat="1" x14ac:dyDescent="0.25">
      <c r="D121" s="19"/>
      <c r="G121" s="19"/>
      <c r="J121" s="19"/>
      <c r="M121" s="19"/>
    </row>
    <row r="122" spans="4:13" s="18" customFormat="1" x14ac:dyDescent="0.25">
      <c r="D122" s="19"/>
      <c r="G122" s="19"/>
      <c r="J122" s="19"/>
      <c r="M122" s="19"/>
    </row>
    <row r="123" spans="4:13" s="18" customFormat="1" x14ac:dyDescent="0.25">
      <c r="D123" s="19"/>
      <c r="G123" s="19"/>
      <c r="J123" s="19"/>
      <c r="M123" s="19"/>
    </row>
    <row r="124" spans="4:13" s="18" customFormat="1" x14ac:dyDescent="0.25">
      <c r="D124" s="19"/>
      <c r="G124" s="19"/>
      <c r="J124" s="19"/>
      <c r="M124" s="19"/>
    </row>
    <row r="125" spans="4:13" s="18" customFormat="1" x14ac:dyDescent="0.25">
      <c r="D125" s="19"/>
      <c r="G125" s="19"/>
      <c r="J125" s="19"/>
      <c r="M125" s="19"/>
    </row>
    <row r="126" spans="4:13" s="18" customFormat="1" x14ac:dyDescent="0.25">
      <c r="D126" s="19"/>
      <c r="G126" s="19"/>
      <c r="J126" s="19"/>
      <c r="M126" s="19"/>
    </row>
    <row r="127" spans="4:13" s="18" customFormat="1" x14ac:dyDescent="0.25">
      <c r="D127" s="19"/>
      <c r="G127" s="19"/>
      <c r="J127" s="19"/>
      <c r="M127" s="19"/>
    </row>
    <row r="128" spans="4:13" s="18" customFormat="1" x14ac:dyDescent="0.25">
      <c r="D128" s="19"/>
      <c r="G128" s="19"/>
      <c r="J128" s="19"/>
      <c r="M128" s="19"/>
    </row>
    <row r="129" spans="4:13" s="18" customFormat="1" x14ac:dyDescent="0.25">
      <c r="D129" s="19"/>
      <c r="G129" s="19"/>
      <c r="J129" s="19"/>
      <c r="M129" s="19"/>
    </row>
    <row r="130" spans="4:13" s="18" customFormat="1" x14ac:dyDescent="0.25">
      <c r="D130" s="19"/>
      <c r="G130" s="19"/>
      <c r="J130" s="19"/>
      <c r="M130" s="19"/>
    </row>
    <row r="131" spans="4:13" s="18" customFormat="1" x14ac:dyDescent="0.25">
      <c r="D131" s="19"/>
      <c r="G131" s="19"/>
      <c r="J131" s="19"/>
      <c r="M131" s="19"/>
    </row>
    <row r="132" spans="4:13" s="18" customFormat="1" x14ac:dyDescent="0.25">
      <c r="D132" s="19"/>
      <c r="G132" s="19"/>
      <c r="J132" s="19"/>
      <c r="M132" s="19"/>
    </row>
    <row r="133" spans="4:13" s="18" customFormat="1" x14ac:dyDescent="0.25">
      <c r="D133" s="19"/>
      <c r="G133" s="19"/>
      <c r="J133" s="19"/>
      <c r="M133" s="19"/>
    </row>
    <row r="134" spans="4:13" s="18" customFormat="1" x14ac:dyDescent="0.25">
      <c r="D134" s="19"/>
      <c r="G134" s="19"/>
      <c r="J134" s="19"/>
      <c r="M134" s="19"/>
    </row>
    <row r="135" spans="4:13" s="18" customFormat="1" x14ac:dyDescent="0.25">
      <c r="D135" s="19"/>
      <c r="G135" s="19"/>
      <c r="J135" s="19"/>
      <c r="M135" s="19"/>
    </row>
    <row r="136" spans="4:13" s="18" customFormat="1" x14ac:dyDescent="0.25">
      <c r="D136" s="19"/>
      <c r="G136" s="19"/>
      <c r="J136" s="19"/>
      <c r="M136" s="19"/>
    </row>
    <row r="137" spans="4:13" s="18" customFormat="1" x14ac:dyDescent="0.25">
      <c r="D137" s="19"/>
      <c r="G137" s="19"/>
      <c r="J137" s="19"/>
      <c r="M137" s="19"/>
    </row>
    <row r="138" spans="4:13" s="18" customFormat="1" x14ac:dyDescent="0.25">
      <c r="D138" s="19"/>
      <c r="G138" s="19"/>
      <c r="J138" s="19"/>
      <c r="M138" s="19"/>
    </row>
    <row r="139" spans="4:13" s="18" customFormat="1" x14ac:dyDescent="0.25">
      <c r="D139" s="19"/>
      <c r="G139" s="19"/>
      <c r="J139" s="19"/>
      <c r="M139" s="19"/>
    </row>
    <row r="140" spans="4:13" s="18" customFormat="1" x14ac:dyDescent="0.25">
      <c r="D140" s="19"/>
      <c r="G140" s="19"/>
      <c r="J140" s="19"/>
      <c r="M140" s="19"/>
    </row>
    <row r="141" spans="4:13" s="18" customFormat="1" x14ac:dyDescent="0.25">
      <c r="D141" s="19"/>
      <c r="G141" s="19"/>
      <c r="J141" s="19"/>
      <c r="M141" s="19"/>
    </row>
    <row r="142" spans="4:13" s="18" customFormat="1" x14ac:dyDescent="0.25">
      <c r="D142" s="19"/>
      <c r="G142" s="19"/>
      <c r="J142" s="19"/>
      <c r="M142" s="19"/>
    </row>
    <row r="143" spans="4:13" s="18" customFormat="1" x14ac:dyDescent="0.25">
      <c r="D143" s="19"/>
      <c r="G143" s="19"/>
      <c r="J143" s="19"/>
      <c r="M143" s="19"/>
    </row>
    <row r="144" spans="4:13" s="18" customFormat="1" x14ac:dyDescent="0.25">
      <c r="D144" s="19"/>
      <c r="G144" s="19"/>
      <c r="J144" s="19"/>
      <c r="M144" s="19"/>
    </row>
    <row r="145" spans="4:13" s="18" customFormat="1" x14ac:dyDescent="0.25">
      <c r="D145" s="19"/>
      <c r="G145" s="19"/>
      <c r="J145" s="19"/>
      <c r="M145" s="19"/>
    </row>
    <row r="146" spans="4:13" s="18" customFormat="1" x14ac:dyDescent="0.25">
      <c r="D146" s="19"/>
      <c r="G146" s="19"/>
      <c r="J146" s="19"/>
      <c r="M146" s="19"/>
    </row>
    <row r="147" spans="4:13" s="18" customFormat="1" x14ac:dyDescent="0.25">
      <c r="D147" s="19"/>
      <c r="G147" s="19"/>
      <c r="J147" s="19"/>
      <c r="M147" s="19"/>
    </row>
    <row r="148" spans="4:13" s="18" customFormat="1" x14ac:dyDescent="0.25">
      <c r="D148" s="19"/>
      <c r="G148" s="19"/>
      <c r="J148" s="19"/>
      <c r="M148" s="19"/>
    </row>
    <row r="149" spans="4:13" s="18" customFormat="1" x14ac:dyDescent="0.25">
      <c r="D149" s="19"/>
      <c r="G149" s="19"/>
      <c r="J149" s="19"/>
      <c r="M149" s="19"/>
    </row>
    <row r="150" spans="4:13" s="18" customFormat="1" x14ac:dyDescent="0.25">
      <c r="D150" s="19"/>
      <c r="G150" s="19"/>
      <c r="J150" s="19"/>
      <c r="M150" s="19"/>
    </row>
    <row r="151" spans="4:13" s="18" customFormat="1" x14ac:dyDescent="0.25">
      <c r="D151" s="19"/>
      <c r="G151" s="19"/>
      <c r="J151" s="19"/>
      <c r="M151" s="19"/>
    </row>
    <row r="152" spans="4:13" s="18" customFormat="1" x14ac:dyDescent="0.25">
      <c r="D152" s="19"/>
      <c r="G152" s="19"/>
      <c r="J152" s="19"/>
      <c r="M152" s="19"/>
    </row>
    <row r="153" spans="4:13" s="18" customFormat="1" x14ac:dyDescent="0.25">
      <c r="D153" s="19"/>
      <c r="G153" s="19"/>
      <c r="J153" s="19"/>
      <c r="M153" s="19"/>
    </row>
    <row r="154" spans="4:13" s="18" customFormat="1" x14ac:dyDescent="0.25">
      <c r="D154" s="19"/>
      <c r="G154" s="19"/>
      <c r="J154" s="19"/>
      <c r="M154" s="19"/>
    </row>
    <row r="155" spans="4:13" s="18" customFormat="1" x14ac:dyDescent="0.25">
      <c r="D155" s="19"/>
      <c r="G155" s="19"/>
      <c r="J155" s="19"/>
      <c r="M155" s="19"/>
    </row>
    <row r="156" spans="4:13" s="18" customFormat="1" x14ac:dyDescent="0.25">
      <c r="D156" s="19"/>
      <c r="G156" s="19"/>
      <c r="J156" s="19"/>
      <c r="M156" s="19"/>
    </row>
    <row r="157" spans="4:13" s="18" customFormat="1" x14ac:dyDescent="0.25">
      <c r="D157" s="19"/>
      <c r="G157" s="19"/>
      <c r="J157" s="19"/>
      <c r="M157" s="19"/>
    </row>
    <row r="158" spans="4:13" s="18" customFormat="1" x14ac:dyDescent="0.25">
      <c r="D158" s="19"/>
      <c r="G158" s="19"/>
      <c r="J158" s="19"/>
      <c r="M158" s="19"/>
    </row>
    <row r="159" spans="4:13" s="18" customFormat="1" x14ac:dyDescent="0.25">
      <c r="D159" s="19"/>
      <c r="G159" s="19"/>
      <c r="J159" s="19"/>
      <c r="M159" s="19"/>
    </row>
    <row r="160" spans="4:13" s="18" customFormat="1" x14ac:dyDescent="0.25">
      <c r="D160" s="19"/>
      <c r="G160" s="19"/>
      <c r="J160" s="19"/>
      <c r="M160" s="19"/>
    </row>
    <row r="161" spans="4:13" s="18" customFormat="1" x14ac:dyDescent="0.25">
      <c r="D161" s="19"/>
      <c r="G161" s="19"/>
      <c r="J161" s="19"/>
      <c r="M161" s="19"/>
    </row>
    <row r="162" spans="4:13" s="18" customFormat="1" x14ac:dyDescent="0.25">
      <c r="D162" s="19"/>
      <c r="G162" s="19"/>
      <c r="J162" s="19"/>
      <c r="M162" s="19"/>
    </row>
    <row r="163" spans="4:13" s="18" customFormat="1" x14ac:dyDescent="0.25">
      <c r="D163" s="19"/>
      <c r="G163" s="19"/>
      <c r="J163" s="19"/>
      <c r="M163" s="19"/>
    </row>
    <row r="164" spans="4:13" s="18" customFormat="1" x14ac:dyDescent="0.25">
      <c r="D164" s="19"/>
      <c r="G164" s="19"/>
      <c r="J164" s="19"/>
      <c r="M164" s="19"/>
    </row>
    <row r="165" spans="4:13" s="18" customFormat="1" x14ac:dyDescent="0.25">
      <c r="D165" s="19"/>
      <c r="G165" s="19"/>
      <c r="J165" s="19"/>
      <c r="M165" s="19"/>
    </row>
    <row r="166" spans="4:13" s="18" customFormat="1" x14ac:dyDescent="0.25">
      <c r="D166" s="19"/>
      <c r="G166" s="19"/>
      <c r="J166" s="19"/>
      <c r="M166" s="19"/>
    </row>
    <row r="167" spans="4:13" s="18" customFormat="1" x14ac:dyDescent="0.25">
      <c r="D167" s="19"/>
      <c r="G167" s="19"/>
      <c r="J167" s="19"/>
      <c r="M167" s="19"/>
    </row>
    <row r="168" spans="4:13" s="18" customFormat="1" x14ac:dyDescent="0.25">
      <c r="D168" s="19"/>
      <c r="G168" s="19"/>
      <c r="J168" s="19"/>
      <c r="M168" s="19"/>
    </row>
    <row r="169" spans="4:13" s="18" customFormat="1" x14ac:dyDescent="0.25">
      <c r="D169" s="19"/>
      <c r="G169" s="19"/>
      <c r="J169" s="19"/>
      <c r="M169" s="19"/>
    </row>
    <row r="170" spans="4:13" s="18" customFormat="1" x14ac:dyDescent="0.25">
      <c r="D170" s="19"/>
      <c r="G170" s="19"/>
      <c r="J170" s="19"/>
      <c r="M170" s="19"/>
    </row>
    <row r="171" spans="4:13" s="18" customFormat="1" x14ac:dyDescent="0.25">
      <c r="D171" s="19"/>
      <c r="G171" s="19"/>
      <c r="J171" s="19"/>
      <c r="M171" s="19"/>
    </row>
    <row r="172" spans="4:13" s="18" customFormat="1" x14ac:dyDescent="0.25">
      <c r="D172" s="19"/>
      <c r="G172" s="19"/>
      <c r="J172" s="19"/>
      <c r="M172" s="19"/>
    </row>
    <row r="173" spans="4:13" s="18" customFormat="1" x14ac:dyDescent="0.25">
      <c r="D173" s="19"/>
      <c r="G173" s="19"/>
      <c r="J173" s="19"/>
      <c r="M173" s="19"/>
    </row>
    <row r="174" spans="4:13" s="18" customFormat="1" x14ac:dyDescent="0.25">
      <c r="D174" s="19"/>
      <c r="G174" s="19"/>
      <c r="J174" s="19"/>
      <c r="M174" s="19"/>
    </row>
    <row r="175" spans="4:13" s="18" customFormat="1" x14ac:dyDescent="0.25">
      <c r="D175" s="19"/>
      <c r="G175" s="19"/>
      <c r="J175" s="19"/>
      <c r="M175" s="19"/>
    </row>
    <row r="176" spans="4:13" s="18" customFormat="1" x14ac:dyDescent="0.25">
      <c r="D176" s="19"/>
      <c r="G176" s="19"/>
      <c r="J176" s="19"/>
      <c r="M176" s="19"/>
    </row>
    <row r="177" spans="4:13" s="18" customFormat="1" x14ac:dyDescent="0.25">
      <c r="D177" s="19"/>
      <c r="G177" s="19"/>
      <c r="J177" s="19"/>
      <c r="M177" s="19"/>
    </row>
    <row r="178" spans="4:13" s="18" customFormat="1" x14ac:dyDescent="0.25">
      <c r="D178" s="19"/>
      <c r="G178" s="19"/>
      <c r="J178" s="19"/>
      <c r="M178" s="19"/>
    </row>
    <row r="179" spans="4:13" s="18" customFormat="1" x14ac:dyDescent="0.25">
      <c r="D179" s="19"/>
      <c r="G179" s="19"/>
      <c r="J179" s="19"/>
      <c r="M179" s="19"/>
    </row>
    <row r="180" spans="4:13" s="18" customFormat="1" x14ac:dyDescent="0.25">
      <c r="D180" s="19"/>
      <c r="G180" s="19"/>
      <c r="J180" s="19"/>
      <c r="M180" s="19"/>
    </row>
    <row r="181" spans="4:13" s="18" customFormat="1" x14ac:dyDescent="0.25">
      <c r="D181" s="19"/>
      <c r="G181" s="19"/>
      <c r="J181" s="19"/>
      <c r="M181" s="19"/>
    </row>
    <row r="182" spans="4:13" s="18" customFormat="1" x14ac:dyDescent="0.25">
      <c r="D182" s="19"/>
      <c r="G182" s="19"/>
      <c r="J182" s="19"/>
      <c r="M182" s="19"/>
    </row>
    <row r="183" spans="4:13" s="18" customFormat="1" x14ac:dyDescent="0.25">
      <c r="D183" s="19"/>
      <c r="G183" s="19"/>
      <c r="J183" s="19"/>
      <c r="M183" s="19"/>
    </row>
    <row r="184" spans="4:13" s="18" customFormat="1" x14ac:dyDescent="0.25">
      <c r="D184" s="19"/>
      <c r="G184" s="19"/>
      <c r="J184" s="19"/>
      <c r="M184" s="19"/>
    </row>
    <row r="185" spans="4:13" s="18" customFormat="1" x14ac:dyDescent="0.25">
      <c r="D185" s="19"/>
      <c r="G185" s="19"/>
      <c r="J185" s="19"/>
      <c r="M185" s="19"/>
    </row>
    <row r="186" spans="4:13" s="18" customFormat="1" x14ac:dyDescent="0.25">
      <c r="D186" s="19"/>
      <c r="G186" s="19"/>
      <c r="J186" s="19"/>
      <c r="M186" s="19"/>
    </row>
    <row r="187" spans="4:13" s="18" customFormat="1" x14ac:dyDescent="0.25">
      <c r="D187" s="19"/>
      <c r="G187" s="19"/>
      <c r="J187" s="19"/>
      <c r="M187" s="19"/>
    </row>
    <row r="188" spans="4:13" s="18" customFormat="1" x14ac:dyDescent="0.25">
      <c r="D188" s="19"/>
      <c r="G188" s="19"/>
      <c r="J188" s="19"/>
      <c r="M188" s="19"/>
    </row>
    <row r="189" spans="4:13" s="18" customFormat="1" x14ac:dyDescent="0.25">
      <c r="D189" s="19"/>
      <c r="G189" s="19"/>
      <c r="J189" s="19"/>
      <c r="M189" s="19"/>
    </row>
    <row r="190" spans="4:13" s="18" customFormat="1" x14ac:dyDescent="0.25">
      <c r="D190" s="19"/>
      <c r="G190" s="19"/>
      <c r="J190" s="19"/>
      <c r="M190" s="19"/>
    </row>
    <row r="191" spans="4:13" s="18" customFormat="1" x14ac:dyDescent="0.25">
      <c r="D191" s="19"/>
      <c r="G191" s="19"/>
      <c r="J191" s="19"/>
      <c r="M191" s="19"/>
    </row>
    <row r="192" spans="4:13" s="18" customFormat="1" x14ac:dyDescent="0.25">
      <c r="D192" s="19"/>
      <c r="G192" s="19"/>
      <c r="J192" s="19"/>
      <c r="M192" s="19"/>
    </row>
    <row r="193" spans="4:13" s="18" customFormat="1" x14ac:dyDescent="0.25">
      <c r="D193" s="19"/>
      <c r="G193" s="19"/>
      <c r="J193" s="19"/>
      <c r="M193" s="19"/>
    </row>
    <row r="194" spans="4:13" s="18" customFormat="1" x14ac:dyDescent="0.25">
      <c r="D194" s="19"/>
      <c r="G194" s="19"/>
      <c r="J194" s="19"/>
      <c r="M194" s="19"/>
    </row>
    <row r="195" spans="4:13" s="18" customFormat="1" x14ac:dyDescent="0.25">
      <c r="D195" s="19"/>
      <c r="G195" s="19"/>
      <c r="J195" s="19"/>
      <c r="M195" s="19"/>
    </row>
    <row r="196" spans="4:13" s="18" customFormat="1" x14ac:dyDescent="0.25">
      <c r="D196" s="19"/>
      <c r="G196" s="19"/>
      <c r="J196" s="19"/>
      <c r="M196" s="19"/>
    </row>
    <row r="197" spans="4:13" s="18" customFormat="1" x14ac:dyDescent="0.25">
      <c r="D197" s="19"/>
      <c r="G197" s="19"/>
      <c r="J197" s="19"/>
      <c r="M197" s="19"/>
    </row>
    <row r="198" spans="4:13" s="18" customFormat="1" x14ac:dyDescent="0.25">
      <c r="D198" s="19"/>
      <c r="G198" s="19"/>
      <c r="J198" s="19"/>
      <c r="M198" s="19"/>
    </row>
    <row r="199" spans="4:13" s="18" customFormat="1" x14ac:dyDescent="0.25">
      <c r="D199" s="19"/>
      <c r="G199" s="19"/>
      <c r="J199" s="19"/>
      <c r="M199" s="19"/>
    </row>
    <row r="200" spans="4:13" s="18" customFormat="1" x14ac:dyDescent="0.25">
      <c r="D200" s="19"/>
      <c r="G200" s="19"/>
      <c r="J200" s="19"/>
      <c r="M200" s="19"/>
    </row>
    <row r="201" spans="4:13" s="18" customFormat="1" x14ac:dyDescent="0.25">
      <c r="D201" s="19"/>
      <c r="G201" s="19"/>
      <c r="J201" s="19"/>
      <c r="M201" s="19"/>
    </row>
    <row r="202" spans="4:13" s="18" customFormat="1" x14ac:dyDescent="0.25">
      <c r="D202" s="19"/>
      <c r="G202" s="19"/>
      <c r="J202" s="19"/>
      <c r="M202" s="19"/>
    </row>
    <row r="203" spans="4:13" s="18" customFormat="1" x14ac:dyDescent="0.25">
      <c r="D203" s="19"/>
      <c r="G203" s="19"/>
      <c r="J203" s="19"/>
      <c r="M203" s="19"/>
    </row>
    <row r="204" spans="4:13" s="18" customFormat="1" x14ac:dyDescent="0.25">
      <c r="D204" s="19"/>
      <c r="G204" s="19"/>
      <c r="J204" s="19"/>
      <c r="M204" s="19"/>
    </row>
    <row r="205" spans="4:13" s="18" customFormat="1" x14ac:dyDescent="0.25">
      <c r="D205" s="19"/>
      <c r="G205" s="19"/>
      <c r="J205" s="19"/>
      <c r="M205" s="19"/>
    </row>
    <row r="206" spans="4:13" s="18" customFormat="1" x14ac:dyDescent="0.25">
      <c r="D206" s="19"/>
      <c r="G206" s="19"/>
      <c r="J206" s="19"/>
      <c r="M206" s="19"/>
    </row>
    <row r="207" spans="4:13" s="18" customFormat="1" x14ac:dyDescent="0.25">
      <c r="D207" s="19"/>
      <c r="G207" s="19"/>
      <c r="J207" s="19"/>
      <c r="M207" s="19"/>
    </row>
    <row r="208" spans="4:13" s="18" customFormat="1" x14ac:dyDescent="0.25">
      <c r="D208" s="19"/>
      <c r="G208" s="19"/>
      <c r="J208" s="19"/>
      <c r="M208" s="19"/>
    </row>
    <row r="209" spans="4:13" s="18" customFormat="1" x14ac:dyDescent="0.25">
      <c r="D209" s="19"/>
      <c r="G209" s="19"/>
      <c r="J209" s="19"/>
      <c r="M209" s="19"/>
    </row>
    <row r="210" spans="4:13" s="18" customFormat="1" x14ac:dyDescent="0.25">
      <c r="D210" s="19"/>
      <c r="G210" s="19"/>
      <c r="J210" s="19"/>
      <c r="M210" s="19"/>
    </row>
    <row r="211" spans="4:13" s="18" customFormat="1" x14ac:dyDescent="0.25">
      <c r="D211" s="19"/>
      <c r="G211" s="19"/>
      <c r="J211" s="19"/>
      <c r="M211" s="19"/>
    </row>
    <row r="212" spans="4:13" s="18" customFormat="1" x14ac:dyDescent="0.25">
      <c r="D212" s="19"/>
      <c r="G212" s="19"/>
      <c r="J212" s="19"/>
      <c r="M212" s="19"/>
    </row>
    <row r="213" spans="4:13" s="18" customFormat="1" x14ac:dyDescent="0.25">
      <c r="D213" s="19"/>
      <c r="G213" s="19"/>
      <c r="J213" s="19"/>
      <c r="M213" s="19"/>
    </row>
    <row r="214" spans="4:13" s="18" customFormat="1" x14ac:dyDescent="0.25">
      <c r="D214" s="19"/>
      <c r="G214" s="19"/>
      <c r="J214" s="19"/>
      <c r="M214" s="19"/>
    </row>
    <row r="215" spans="4:13" s="18" customFormat="1" x14ac:dyDescent="0.25">
      <c r="D215" s="19"/>
      <c r="G215" s="19"/>
      <c r="J215" s="19"/>
      <c r="M215" s="19"/>
    </row>
    <row r="216" spans="4:13" s="18" customFormat="1" x14ac:dyDescent="0.25">
      <c r="D216" s="19"/>
      <c r="G216" s="19"/>
      <c r="J216" s="19"/>
      <c r="M216" s="19"/>
    </row>
    <row r="217" spans="4:13" s="18" customFormat="1" x14ac:dyDescent="0.25">
      <c r="D217" s="19"/>
      <c r="G217" s="19"/>
      <c r="J217" s="19"/>
      <c r="M217" s="19"/>
    </row>
    <row r="218" spans="4:13" s="18" customFormat="1" x14ac:dyDescent="0.25">
      <c r="D218" s="19"/>
      <c r="G218" s="19"/>
      <c r="J218" s="19"/>
      <c r="M218" s="19"/>
    </row>
    <row r="219" spans="4:13" s="18" customFormat="1" x14ac:dyDescent="0.25">
      <c r="D219" s="19"/>
      <c r="G219" s="19"/>
      <c r="J219" s="19"/>
      <c r="M219" s="19"/>
    </row>
    <row r="220" spans="4:13" s="18" customFormat="1" x14ac:dyDescent="0.25">
      <c r="D220" s="19"/>
      <c r="G220" s="19"/>
      <c r="J220" s="19"/>
      <c r="M220" s="19"/>
    </row>
    <row r="221" spans="4:13" s="18" customFormat="1" x14ac:dyDescent="0.25">
      <c r="D221" s="19"/>
      <c r="G221" s="19"/>
      <c r="J221" s="19"/>
      <c r="M221" s="19"/>
    </row>
    <row r="222" spans="4:13" s="18" customFormat="1" x14ac:dyDescent="0.25">
      <c r="D222" s="19"/>
      <c r="G222" s="19"/>
      <c r="J222" s="19"/>
      <c r="M222" s="19"/>
    </row>
    <row r="223" spans="4:13" s="18" customFormat="1" x14ac:dyDescent="0.25">
      <c r="D223" s="19"/>
      <c r="G223" s="19"/>
      <c r="J223" s="19"/>
      <c r="M223" s="19"/>
    </row>
    <row r="224" spans="4:13" s="18" customFormat="1" x14ac:dyDescent="0.25">
      <c r="D224" s="19"/>
      <c r="G224" s="19"/>
      <c r="J224" s="19"/>
      <c r="M224" s="19"/>
    </row>
    <row r="225" spans="4:13" s="18" customFormat="1" x14ac:dyDescent="0.25">
      <c r="D225" s="19"/>
      <c r="G225" s="19"/>
      <c r="J225" s="19"/>
      <c r="M225" s="19"/>
    </row>
    <row r="226" spans="4:13" s="18" customFormat="1" x14ac:dyDescent="0.25">
      <c r="D226" s="19"/>
      <c r="G226" s="19"/>
      <c r="J226" s="19"/>
      <c r="M226" s="19"/>
    </row>
    <row r="227" spans="4:13" s="18" customFormat="1" x14ac:dyDescent="0.25">
      <c r="D227" s="19"/>
      <c r="G227" s="19"/>
      <c r="J227" s="19"/>
      <c r="M227" s="19"/>
    </row>
    <row r="228" spans="4:13" s="18" customFormat="1" x14ac:dyDescent="0.25">
      <c r="D228" s="19"/>
      <c r="G228" s="19"/>
      <c r="J228" s="19"/>
      <c r="M228" s="19"/>
    </row>
    <row r="229" spans="4:13" s="18" customFormat="1" x14ac:dyDescent="0.25">
      <c r="D229" s="19"/>
      <c r="G229" s="19"/>
      <c r="J229" s="19"/>
      <c r="M229" s="19"/>
    </row>
    <row r="230" spans="4:13" s="18" customFormat="1" x14ac:dyDescent="0.25">
      <c r="D230" s="19"/>
      <c r="G230" s="19"/>
      <c r="J230" s="19"/>
      <c r="M230" s="19"/>
    </row>
    <row r="231" spans="4:13" s="18" customFormat="1" x14ac:dyDescent="0.25">
      <c r="D231" s="19"/>
      <c r="G231" s="19"/>
      <c r="J231" s="19"/>
      <c r="M231" s="19"/>
    </row>
    <row r="232" spans="4:13" s="18" customFormat="1" x14ac:dyDescent="0.25">
      <c r="D232" s="19"/>
      <c r="G232" s="19"/>
      <c r="J232" s="19"/>
      <c r="M232" s="19"/>
    </row>
    <row r="233" spans="4:13" s="18" customFormat="1" x14ac:dyDescent="0.25">
      <c r="D233" s="19"/>
      <c r="G233" s="19"/>
      <c r="J233" s="19"/>
      <c r="M233" s="19"/>
    </row>
    <row r="234" spans="4:13" s="18" customFormat="1" x14ac:dyDescent="0.25">
      <c r="D234" s="19"/>
      <c r="G234" s="19"/>
      <c r="J234" s="19"/>
      <c r="M234" s="19"/>
    </row>
    <row r="235" spans="4:13" s="18" customFormat="1" x14ac:dyDescent="0.25">
      <c r="D235" s="19"/>
      <c r="G235" s="19"/>
      <c r="J235" s="19"/>
      <c r="M235" s="19"/>
    </row>
    <row r="236" spans="4:13" s="18" customFormat="1" x14ac:dyDescent="0.25">
      <c r="D236" s="19"/>
      <c r="G236" s="19"/>
      <c r="J236" s="19"/>
      <c r="M236" s="19"/>
    </row>
    <row r="237" spans="4:13" s="18" customFormat="1" x14ac:dyDescent="0.25">
      <c r="D237" s="19"/>
      <c r="G237" s="19"/>
      <c r="J237" s="19"/>
      <c r="M237" s="19"/>
    </row>
    <row r="238" spans="4:13" s="18" customFormat="1" x14ac:dyDescent="0.25">
      <c r="D238" s="19"/>
      <c r="G238" s="19"/>
      <c r="J238" s="19"/>
      <c r="M238" s="19"/>
    </row>
    <row r="239" spans="4:13" s="18" customFormat="1" x14ac:dyDescent="0.25">
      <c r="D239" s="19"/>
      <c r="G239" s="19"/>
      <c r="J239" s="19"/>
      <c r="M239" s="19"/>
    </row>
    <row r="240" spans="4:13" s="18" customFormat="1" x14ac:dyDescent="0.25">
      <c r="D240" s="19"/>
      <c r="G240" s="19"/>
      <c r="J240" s="19"/>
      <c r="M240" s="19"/>
    </row>
    <row r="241" spans="4:13" s="18" customFormat="1" x14ac:dyDescent="0.25">
      <c r="D241" s="19"/>
      <c r="G241" s="19"/>
      <c r="J241" s="19"/>
      <c r="M241" s="19"/>
    </row>
    <row r="242" spans="4:13" s="18" customFormat="1" x14ac:dyDescent="0.25">
      <c r="D242" s="19"/>
      <c r="G242" s="19"/>
      <c r="J242" s="19"/>
      <c r="M242" s="19"/>
    </row>
    <row r="243" spans="4:13" s="18" customFormat="1" x14ac:dyDescent="0.25">
      <c r="D243" s="19"/>
      <c r="G243" s="19"/>
      <c r="J243" s="19"/>
      <c r="M243" s="19"/>
    </row>
    <row r="244" spans="4:13" s="18" customFormat="1" x14ac:dyDescent="0.25">
      <c r="D244" s="19"/>
      <c r="G244" s="19"/>
      <c r="J244" s="19"/>
      <c r="M244" s="19"/>
    </row>
    <row r="245" spans="4:13" s="18" customFormat="1" x14ac:dyDescent="0.25">
      <c r="D245" s="19"/>
      <c r="G245" s="19"/>
      <c r="J245" s="19"/>
      <c r="M245" s="19"/>
    </row>
    <row r="246" spans="4:13" s="18" customFormat="1" x14ac:dyDescent="0.25">
      <c r="D246" s="19"/>
      <c r="G246" s="19"/>
      <c r="J246" s="19"/>
      <c r="M246" s="19"/>
    </row>
    <row r="247" spans="4:13" s="18" customFormat="1" x14ac:dyDescent="0.25">
      <c r="D247" s="19"/>
      <c r="G247" s="19"/>
      <c r="J247" s="19"/>
      <c r="M247" s="19"/>
    </row>
    <row r="248" spans="4:13" s="18" customFormat="1" x14ac:dyDescent="0.25">
      <c r="D248" s="19"/>
      <c r="G248" s="19"/>
      <c r="J248" s="19"/>
      <c r="M248" s="19"/>
    </row>
    <row r="249" spans="4:13" s="18" customFormat="1" x14ac:dyDescent="0.25">
      <c r="D249" s="19"/>
      <c r="G249" s="19"/>
      <c r="J249" s="19"/>
      <c r="M249" s="19"/>
    </row>
    <row r="250" spans="4:13" s="18" customFormat="1" x14ac:dyDescent="0.25">
      <c r="D250" s="19"/>
      <c r="G250" s="19"/>
      <c r="J250" s="19"/>
      <c r="M250" s="19"/>
    </row>
    <row r="251" spans="4:13" s="18" customFormat="1" x14ac:dyDescent="0.25">
      <c r="D251" s="19"/>
      <c r="G251" s="19"/>
      <c r="J251" s="19"/>
      <c r="M251" s="19"/>
    </row>
    <row r="252" spans="4:13" s="18" customFormat="1" x14ac:dyDescent="0.25">
      <c r="D252" s="19"/>
      <c r="G252" s="19"/>
      <c r="J252" s="19"/>
      <c r="M252" s="19"/>
    </row>
    <row r="253" spans="4:13" s="18" customFormat="1" x14ac:dyDescent="0.25">
      <c r="D253" s="19"/>
      <c r="G253" s="19"/>
      <c r="J253" s="19"/>
      <c r="M253" s="19"/>
    </row>
    <row r="254" spans="4:13" s="18" customFormat="1" x14ac:dyDescent="0.25">
      <c r="D254" s="19"/>
      <c r="G254" s="19"/>
      <c r="J254" s="19"/>
      <c r="M254" s="19"/>
    </row>
    <row r="255" spans="4:13" s="18" customFormat="1" x14ac:dyDescent="0.25">
      <c r="D255" s="19"/>
      <c r="G255" s="19"/>
      <c r="J255" s="19"/>
      <c r="M255" s="19"/>
    </row>
    <row r="256" spans="4:13" s="18" customFormat="1" x14ac:dyDescent="0.25">
      <c r="D256" s="19"/>
      <c r="G256" s="19"/>
      <c r="J256" s="19"/>
      <c r="M256" s="19"/>
    </row>
    <row r="257" spans="4:13" s="18" customFormat="1" x14ac:dyDescent="0.25">
      <c r="D257" s="19"/>
      <c r="G257" s="19"/>
      <c r="J257" s="19"/>
      <c r="M257" s="19"/>
    </row>
    <row r="258" spans="4:13" s="18" customFormat="1" x14ac:dyDescent="0.25">
      <c r="D258" s="19"/>
      <c r="G258" s="19"/>
      <c r="J258" s="19"/>
      <c r="M258" s="19"/>
    </row>
    <row r="259" spans="4:13" s="18" customFormat="1" x14ac:dyDescent="0.25">
      <c r="D259" s="19"/>
      <c r="G259" s="19"/>
      <c r="J259" s="19"/>
      <c r="M259" s="19"/>
    </row>
    <row r="260" spans="4:13" s="18" customFormat="1" x14ac:dyDescent="0.25">
      <c r="D260" s="19"/>
      <c r="G260" s="19"/>
      <c r="J260" s="19"/>
      <c r="M260" s="19"/>
    </row>
    <row r="261" spans="4:13" s="18" customFormat="1" x14ac:dyDescent="0.25">
      <c r="D261" s="19"/>
      <c r="G261" s="19"/>
      <c r="J261" s="19"/>
      <c r="M261" s="19"/>
    </row>
    <row r="262" spans="4:13" s="18" customFormat="1" x14ac:dyDescent="0.25">
      <c r="D262" s="19"/>
      <c r="G262" s="19"/>
      <c r="J262" s="19"/>
      <c r="M262" s="19"/>
    </row>
    <row r="263" spans="4:13" s="18" customFormat="1" x14ac:dyDescent="0.25">
      <c r="D263" s="19"/>
      <c r="G263" s="19"/>
      <c r="J263" s="19"/>
      <c r="M263" s="19"/>
    </row>
    <row r="264" spans="4:13" s="18" customFormat="1" x14ac:dyDescent="0.25">
      <c r="D264" s="19"/>
      <c r="G264" s="19"/>
      <c r="J264" s="19"/>
      <c r="M264" s="19"/>
    </row>
    <row r="265" spans="4:13" s="18" customFormat="1" x14ac:dyDescent="0.25">
      <c r="D265" s="19"/>
      <c r="G265" s="19"/>
      <c r="J265" s="19"/>
      <c r="M265" s="19"/>
    </row>
    <row r="266" spans="4:13" s="18" customFormat="1" x14ac:dyDescent="0.25">
      <c r="D266" s="19"/>
      <c r="G266" s="19"/>
      <c r="J266" s="19"/>
      <c r="M266" s="19"/>
    </row>
    <row r="267" spans="4:13" s="18" customFormat="1" x14ac:dyDescent="0.25">
      <c r="D267" s="19"/>
      <c r="G267" s="19"/>
      <c r="J267" s="19"/>
      <c r="M267" s="19"/>
    </row>
    <row r="268" spans="4:13" s="18" customFormat="1" x14ac:dyDescent="0.25">
      <c r="D268" s="19"/>
      <c r="G268" s="19"/>
      <c r="J268" s="19"/>
      <c r="M268" s="19"/>
    </row>
    <row r="269" spans="4:13" s="18" customFormat="1" x14ac:dyDescent="0.25">
      <c r="D269" s="19"/>
      <c r="G269" s="19"/>
      <c r="J269" s="19"/>
      <c r="M269" s="19"/>
    </row>
    <row r="270" spans="4:13" s="18" customFormat="1" x14ac:dyDescent="0.25">
      <c r="D270" s="19"/>
      <c r="G270" s="19"/>
      <c r="J270" s="19"/>
      <c r="M270" s="19"/>
    </row>
    <row r="271" spans="4:13" s="18" customFormat="1" x14ac:dyDescent="0.25">
      <c r="D271" s="19"/>
      <c r="G271" s="19"/>
      <c r="J271" s="19"/>
      <c r="M271" s="19"/>
    </row>
    <row r="272" spans="4:13" s="18" customFormat="1" x14ac:dyDescent="0.25">
      <c r="D272" s="19"/>
      <c r="G272" s="19"/>
      <c r="J272" s="19"/>
      <c r="M272" s="19"/>
    </row>
    <row r="273" spans="4:13" s="18" customFormat="1" x14ac:dyDescent="0.25">
      <c r="D273" s="19"/>
      <c r="G273" s="19"/>
      <c r="J273" s="19"/>
      <c r="M273" s="19"/>
    </row>
    <row r="274" spans="4:13" s="18" customFormat="1" x14ac:dyDescent="0.25">
      <c r="D274" s="19"/>
      <c r="G274" s="19"/>
      <c r="J274" s="19"/>
      <c r="M274" s="19"/>
    </row>
    <row r="275" spans="4:13" s="18" customFormat="1" x14ac:dyDescent="0.25">
      <c r="D275" s="19"/>
      <c r="G275" s="19"/>
      <c r="J275" s="19"/>
      <c r="M275" s="19"/>
    </row>
    <row r="276" spans="4:13" s="18" customFormat="1" x14ac:dyDescent="0.25">
      <c r="D276" s="19"/>
      <c r="G276" s="19"/>
      <c r="J276" s="19"/>
      <c r="M276" s="19"/>
    </row>
    <row r="277" spans="4:13" s="18" customFormat="1" x14ac:dyDescent="0.25">
      <c r="D277" s="19"/>
      <c r="G277" s="19"/>
      <c r="J277" s="19"/>
      <c r="M277" s="19"/>
    </row>
    <row r="278" spans="4:13" s="18" customFormat="1" x14ac:dyDescent="0.25">
      <c r="D278" s="19"/>
      <c r="G278" s="19"/>
      <c r="J278" s="19"/>
      <c r="M278" s="19"/>
    </row>
    <row r="279" spans="4:13" s="18" customFormat="1" x14ac:dyDescent="0.25">
      <c r="D279" s="19"/>
      <c r="G279" s="19"/>
      <c r="J279" s="19"/>
      <c r="M279" s="19"/>
    </row>
    <row r="280" spans="4:13" s="18" customFormat="1" x14ac:dyDescent="0.25">
      <c r="D280" s="19"/>
      <c r="G280" s="19"/>
      <c r="J280" s="19"/>
      <c r="M280" s="19"/>
    </row>
    <row r="281" spans="4:13" s="18" customFormat="1" x14ac:dyDescent="0.25">
      <c r="D281" s="19"/>
      <c r="G281" s="19"/>
      <c r="J281" s="19"/>
      <c r="M281" s="19"/>
    </row>
    <row r="282" spans="4:13" s="18" customFormat="1" x14ac:dyDescent="0.25">
      <c r="D282" s="19"/>
      <c r="G282" s="19"/>
      <c r="J282" s="19"/>
      <c r="M282" s="19"/>
    </row>
    <row r="283" spans="4:13" s="18" customFormat="1" x14ac:dyDescent="0.25">
      <c r="D283" s="19"/>
      <c r="G283" s="19"/>
      <c r="J283" s="19"/>
      <c r="M283" s="19"/>
    </row>
    <row r="284" spans="4:13" s="18" customFormat="1" x14ac:dyDescent="0.25">
      <c r="D284" s="19"/>
      <c r="G284" s="19"/>
      <c r="J284" s="19"/>
      <c r="M284" s="19"/>
    </row>
    <row r="285" spans="4:13" s="18" customFormat="1" x14ac:dyDescent="0.25">
      <c r="D285" s="19"/>
      <c r="G285" s="19"/>
      <c r="J285" s="19"/>
      <c r="M285" s="19"/>
    </row>
    <row r="286" spans="4:13" s="18" customFormat="1" x14ac:dyDescent="0.25">
      <c r="D286" s="19"/>
      <c r="G286" s="19"/>
      <c r="J286" s="19"/>
      <c r="M286" s="19"/>
    </row>
    <row r="287" spans="4:13" s="18" customFormat="1" x14ac:dyDescent="0.25">
      <c r="D287" s="19"/>
      <c r="G287" s="19"/>
      <c r="J287" s="19"/>
      <c r="M287" s="19"/>
    </row>
    <row r="288" spans="4:13" s="18" customFormat="1" x14ac:dyDescent="0.25">
      <c r="D288" s="19"/>
      <c r="G288" s="19"/>
      <c r="J288" s="19"/>
      <c r="M288" s="19"/>
    </row>
    <row r="289" spans="4:13" s="18" customFormat="1" x14ac:dyDescent="0.25">
      <c r="D289" s="19"/>
      <c r="G289" s="19"/>
      <c r="J289" s="19"/>
      <c r="M289" s="19"/>
    </row>
    <row r="290" spans="4:13" s="18" customFormat="1" x14ac:dyDescent="0.25">
      <c r="D290" s="19"/>
      <c r="G290" s="19"/>
      <c r="J290" s="19"/>
      <c r="M290" s="19"/>
    </row>
    <row r="291" spans="4:13" s="18" customFormat="1" x14ac:dyDescent="0.25">
      <c r="D291" s="19"/>
      <c r="G291" s="19"/>
      <c r="J291" s="19"/>
      <c r="M291" s="19"/>
    </row>
    <row r="292" spans="4:13" s="18" customFormat="1" x14ac:dyDescent="0.25">
      <c r="D292" s="19"/>
      <c r="G292" s="19"/>
      <c r="J292" s="19"/>
      <c r="M292" s="19"/>
    </row>
    <row r="293" spans="4:13" s="18" customFormat="1" x14ac:dyDescent="0.25">
      <c r="D293" s="19"/>
      <c r="G293" s="19"/>
      <c r="J293" s="19"/>
      <c r="M293" s="19"/>
    </row>
    <row r="294" spans="4:13" s="18" customFormat="1" x14ac:dyDescent="0.25">
      <c r="D294" s="19"/>
      <c r="G294" s="19"/>
      <c r="J294" s="19"/>
      <c r="M294" s="19"/>
    </row>
    <row r="295" spans="4:13" s="18" customFormat="1" x14ac:dyDescent="0.25">
      <c r="D295" s="19"/>
      <c r="G295" s="19"/>
      <c r="J295" s="19"/>
      <c r="M295" s="19"/>
    </row>
    <row r="296" spans="4:13" s="18" customFormat="1" x14ac:dyDescent="0.25">
      <c r="D296" s="19"/>
      <c r="G296" s="19"/>
      <c r="J296" s="19"/>
      <c r="M296" s="19"/>
    </row>
    <row r="297" spans="4:13" s="18" customFormat="1" x14ac:dyDescent="0.25">
      <c r="D297" s="19"/>
      <c r="G297" s="19"/>
      <c r="J297" s="19"/>
      <c r="M297" s="19"/>
    </row>
    <row r="298" spans="4:13" s="18" customFormat="1" x14ac:dyDescent="0.25">
      <c r="D298" s="19"/>
      <c r="G298" s="19"/>
      <c r="J298" s="19"/>
      <c r="M298" s="19"/>
    </row>
    <row r="299" spans="4:13" s="18" customFormat="1" x14ac:dyDescent="0.25">
      <c r="D299" s="19"/>
      <c r="G299" s="19"/>
      <c r="J299" s="19"/>
      <c r="M299" s="19"/>
    </row>
    <row r="300" spans="4:13" s="18" customFormat="1" x14ac:dyDescent="0.25">
      <c r="D300" s="19"/>
      <c r="G300" s="19"/>
      <c r="J300" s="19"/>
      <c r="M300" s="19"/>
    </row>
    <row r="301" spans="4:13" s="18" customFormat="1" x14ac:dyDescent="0.25">
      <c r="D301" s="19"/>
      <c r="G301" s="19"/>
      <c r="J301" s="19"/>
      <c r="M301" s="19"/>
    </row>
    <row r="302" spans="4:13" s="18" customFormat="1" x14ac:dyDescent="0.25">
      <c r="D302" s="19"/>
      <c r="G302" s="19"/>
      <c r="J302" s="19"/>
      <c r="M302" s="19"/>
    </row>
    <row r="303" spans="4:13" s="18" customFormat="1" x14ac:dyDescent="0.25">
      <c r="D303" s="19"/>
      <c r="G303" s="19"/>
      <c r="J303" s="19"/>
      <c r="M303" s="19"/>
    </row>
    <row r="304" spans="4:13" s="18" customFormat="1" x14ac:dyDescent="0.25">
      <c r="D304" s="19"/>
      <c r="G304" s="19"/>
      <c r="J304" s="19"/>
      <c r="M304" s="19"/>
    </row>
    <row r="305" spans="4:13" s="18" customFormat="1" x14ac:dyDescent="0.25">
      <c r="D305" s="19"/>
      <c r="G305" s="19"/>
      <c r="J305" s="19"/>
      <c r="M305" s="19"/>
    </row>
    <row r="306" spans="4:13" s="18" customFormat="1" x14ac:dyDescent="0.25">
      <c r="D306" s="19"/>
      <c r="G306" s="19"/>
      <c r="J306" s="19"/>
      <c r="M306" s="19"/>
    </row>
    <row r="307" spans="4:13" s="18" customFormat="1" x14ac:dyDescent="0.25">
      <c r="D307" s="19"/>
      <c r="G307" s="19"/>
      <c r="J307" s="19"/>
      <c r="M307" s="19"/>
    </row>
    <row r="308" spans="4:13" s="18" customFormat="1" x14ac:dyDescent="0.25">
      <c r="D308" s="19"/>
      <c r="G308" s="19"/>
      <c r="J308" s="19"/>
      <c r="M308" s="19"/>
    </row>
    <row r="309" spans="4:13" s="18" customFormat="1" x14ac:dyDescent="0.25">
      <c r="D309" s="19"/>
      <c r="G309" s="19"/>
      <c r="J309" s="19"/>
      <c r="M309" s="19"/>
    </row>
    <row r="310" spans="4:13" s="18" customFormat="1" x14ac:dyDescent="0.25">
      <c r="D310" s="19"/>
      <c r="G310" s="19"/>
      <c r="J310" s="19"/>
      <c r="M310" s="19"/>
    </row>
    <row r="311" spans="4:13" s="18" customFormat="1" x14ac:dyDescent="0.25">
      <c r="D311" s="19"/>
      <c r="G311" s="19"/>
      <c r="J311" s="19"/>
      <c r="M311" s="19"/>
    </row>
    <row r="312" spans="4:13" s="18" customFormat="1" x14ac:dyDescent="0.25">
      <c r="D312" s="19"/>
      <c r="G312" s="19"/>
      <c r="J312" s="19"/>
      <c r="M312" s="19"/>
    </row>
    <row r="313" spans="4:13" s="18" customFormat="1" x14ac:dyDescent="0.25">
      <c r="D313" s="19"/>
      <c r="G313" s="19"/>
      <c r="J313" s="19"/>
      <c r="M313" s="19"/>
    </row>
    <row r="314" spans="4:13" s="18" customFormat="1" x14ac:dyDescent="0.25">
      <c r="D314" s="19"/>
      <c r="G314" s="19"/>
      <c r="J314" s="19"/>
      <c r="M314" s="19"/>
    </row>
    <row r="315" spans="4:13" s="18" customFormat="1" x14ac:dyDescent="0.25">
      <c r="D315" s="19"/>
      <c r="G315" s="19"/>
      <c r="J315" s="19"/>
      <c r="M315" s="19"/>
    </row>
    <row r="316" spans="4:13" s="18" customFormat="1" x14ac:dyDescent="0.25">
      <c r="D316" s="19"/>
      <c r="G316" s="19"/>
      <c r="J316" s="19"/>
      <c r="M316" s="19"/>
    </row>
    <row r="317" spans="4:13" s="18" customFormat="1" x14ac:dyDescent="0.25">
      <c r="D317" s="19"/>
      <c r="G317" s="19"/>
      <c r="J317" s="19"/>
      <c r="M317" s="19"/>
    </row>
    <row r="318" spans="4:13" s="18" customFormat="1" x14ac:dyDescent="0.25">
      <c r="D318" s="19"/>
      <c r="G318" s="19"/>
      <c r="J318" s="19"/>
      <c r="M318" s="19"/>
    </row>
    <row r="319" spans="4:13" s="18" customFormat="1" x14ac:dyDescent="0.25">
      <c r="D319" s="19"/>
      <c r="G319" s="19"/>
      <c r="J319" s="19"/>
      <c r="M319" s="19"/>
    </row>
    <row r="320" spans="4:13" s="18" customFormat="1" x14ac:dyDescent="0.25">
      <c r="D320" s="19"/>
      <c r="G320" s="19"/>
      <c r="J320" s="19"/>
      <c r="M320" s="19"/>
    </row>
    <row r="321" spans="4:13" s="18" customFormat="1" x14ac:dyDescent="0.25">
      <c r="D321" s="19"/>
      <c r="G321" s="19"/>
      <c r="J321" s="19"/>
      <c r="M321" s="19"/>
    </row>
    <row r="322" spans="4:13" s="18" customFormat="1" x14ac:dyDescent="0.25">
      <c r="D322" s="19"/>
      <c r="G322" s="19"/>
      <c r="J322" s="19"/>
      <c r="M322" s="19"/>
    </row>
    <row r="323" spans="4:13" s="18" customFormat="1" x14ac:dyDescent="0.25">
      <c r="D323" s="19"/>
      <c r="G323" s="19"/>
      <c r="J323" s="19"/>
      <c r="M323" s="19"/>
    </row>
    <row r="324" spans="4:13" s="18" customFormat="1" x14ac:dyDescent="0.25">
      <c r="D324" s="19"/>
      <c r="G324" s="19"/>
      <c r="J324" s="19"/>
      <c r="M324" s="19"/>
    </row>
    <row r="325" spans="4:13" s="18" customFormat="1" x14ac:dyDescent="0.25">
      <c r="D325" s="19"/>
      <c r="G325" s="19"/>
      <c r="J325" s="19"/>
      <c r="M325" s="19"/>
    </row>
    <row r="326" spans="4:13" s="18" customFormat="1" x14ac:dyDescent="0.25">
      <c r="D326" s="19"/>
      <c r="G326" s="19"/>
      <c r="J326" s="19"/>
      <c r="M326" s="19"/>
    </row>
    <row r="327" spans="4:13" s="18" customFormat="1" x14ac:dyDescent="0.25">
      <c r="D327" s="19"/>
      <c r="G327" s="19"/>
      <c r="J327" s="19"/>
      <c r="M327" s="19"/>
    </row>
    <row r="328" spans="4:13" s="18" customFormat="1" x14ac:dyDescent="0.25">
      <c r="D328" s="19"/>
      <c r="G328" s="19"/>
      <c r="J328" s="19"/>
      <c r="M328" s="19"/>
    </row>
    <row r="329" spans="4:13" s="18" customFormat="1" x14ac:dyDescent="0.25">
      <c r="D329" s="19"/>
      <c r="G329" s="19"/>
      <c r="J329" s="19"/>
      <c r="M329" s="19"/>
    </row>
    <row r="330" spans="4:13" s="18" customFormat="1" x14ac:dyDescent="0.25">
      <c r="D330" s="19"/>
      <c r="G330" s="19"/>
      <c r="J330" s="19"/>
      <c r="M330" s="19"/>
    </row>
    <row r="331" spans="4:13" s="18" customFormat="1" x14ac:dyDescent="0.25">
      <c r="D331" s="19"/>
      <c r="G331" s="19"/>
      <c r="J331" s="19"/>
      <c r="M331" s="19"/>
    </row>
    <row r="332" spans="4:13" s="18" customFormat="1" x14ac:dyDescent="0.25">
      <c r="D332" s="19"/>
      <c r="G332" s="19"/>
      <c r="J332" s="19"/>
      <c r="M332" s="19"/>
    </row>
    <row r="333" spans="4:13" s="18" customFormat="1" x14ac:dyDescent="0.25">
      <c r="D333" s="19"/>
      <c r="G333" s="19"/>
      <c r="J333" s="19"/>
      <c r="M333" s="19"/>
    </row>
    <row r="334" spans="4:13" s="18" customFormat="1" x14ac:dyDescent="0.25">
      <c r="D334" s="19"/>
      <c r="G334" s="19"/>
      <c r="J334" s="19"/>
      <c r="M334" s="19"/>
    </row>
  </sheetData>
  <mergeCells count="15">
    <mergeCell ref="B4:C4"/>
    <mergeCell ref="E4:U4"/>
    <mergeCell ref="C5:C6"/>
    <mergeCell ref="E5:F5"/>
    <mergeCell ref="H5:I5"/>
    <mergeCell ref="K5:L5"/>
    <mergeCell ref="N5:O5"/>
    <mergeCell ref="Q5:R5"/>
    <mergeCell ref="T5:U5"/>
    <mergeCell ref="F6:F7"/>
    <mergeCell ref="I6:I7"/>
    <mergeCell ref="L6:L7"/>
    <mergeCell ref="O6:O7"/>
    <mergeCell ref="R6:R7"/>
    <mergeCell ref="U6:U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</vt:i4>
      </vt:variant>
    </vt:vector>
  </HeadingPairs>
  <TitlesOfParts>
    <vt:vector size="10" baseType="lpstr">
      <vt:lpstr>4.4.11_2024 </vt:lpstr>
      <vt:lpstr>4.4.11_2023</vt:lpstr>
      <vt:lpstr>4.4.11_2022</vt:lpstr>
      <vt:lpstr>4.4.11_2021</vt:lpstr>
      <vt:lpstr>4.4.11_2020</vt:lpstr>
      <vt:lpstr>4.4.11_2019</vt:lpstr>
      <vt:lpstr>4.4.11_2018</vt:lpstr>
      <vt:lpstr>4.4.11_2017</vt:lpstr>
      <vt:lpstr>4.4.11_2016</vt:lpstr>
      <vt:lpstr>'4.4.11_2021'!Área_de_impresión</vt:lpstr>
    </vt:vector>
  </TitlesOfParts>
  <Company>I.N.E.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DellGL1</dc:creator>
  <cp:lastModifiedBy>Stella Landeira</cp:lastModifiedBy>
  <cp:lastPrinted>2022-05-18T16:33:13Z</cp:lastPrinted>
  <dcterms:created xsi:type="dcterms:W3CDTF">1999-03-15T18:19:15Z</dcterms:created>
  <dcterms:modified xsi:type="dcterms:W3CDTF">2025-11-11T18:10:46Z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880f34b5-1a65-4c3a-a5f5-a0cd4183a63d</vt:lpwstr>
  </property>
</Properties>
</file>