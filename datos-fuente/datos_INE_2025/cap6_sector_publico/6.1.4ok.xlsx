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640" windowHeight="9636"/>
  </bookViews>
  <sheets>
    <sheet name="6.1.4" sheetId="5" r:id="rId1"/>
    <sheet name="Serie histórica" sheetId="6" r:id="rId2"/>
  </sheets>
  <definedNames>
    <definedName name="_Regression_Int" localSheetId="0" hidden="1">1</definedName>
    <definedName name="_xlnm.Print_Area" localSheetId="0">'6.1.4'!$A$1:$D$43</definedName>
    <definedName name="Imprimir_área_IM" localSheetId="0">'6.1.4'!$A$1:$C$42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6" l="1"/>
  <c r="K26" i="6"/>
  <c r="K20" i="6"/>
  <c r="K14" i="6"/>
  <c r="K9" i="6"/>
  <c r="K8" i="6" s="1"/>
  <c r="K6" i="6" s="1"/>
  <c r="D34" i="5" l="1"/>
  <c r="C34" i="5"/>
  <c r="B34" i="5"/>
  <c r="B27" i="5" l="1"/>
  <c r="B26" i="5" s="1"/>
  <c r="C26" i="5"/>
  <c r="C20" i="5"/>
  <c r="B20" i="5"/>
  <c r="C14" i="5"/>
  <c r="B14" i="5"/>
  <c r="C9" i="5"/>
  <c r="B9" i="5"/>
  <c r="B8" i="5" l="1"/>
  <c r="B6" i="5" s="1"/>
  <c r="C8" i="5"/>
  <c r="C6" i="5" s="1"/>
  <c r="J26" i="6"/>
  <c r="J20" i="6"/>
  <c r="J14" i="6"/>
  <c r="J9" i="6"/>
  <c r="J8" i="6"/>
  <c r="D20" i="5"/>
  <c r="D26" i="5"/>
  <c r="D14" i="5"/>
  <c r="D9" i="5"/>
  <c r="D8" i="5" s="1"/>
  <c r="D6" i="5" l="1"/>
  <c r="B267" i="5"/>
  <c r="B266" i="5"/>
  <c r="B265" i="5"/>
  <c r="B264" i="5" s="1"/>
  <c r="C267" i="6" l="1"/>
  <c r="C266" i="6"/>
  <c r="F265" i="6"/>
  <c r="C265" i="6"/>
  <c r="C264" i="6" s="1"/>
  <c r="F267" i="6"/>
  <c r="D267" i="6"/>
  <c r="F266" i="6"/>
  <c r="D266" i="6"/>
  <c r="D265" i="6"/>
  <c r="D264" i="6" l="1"/>
  <c r="F264" i="6"/>
</calcChain>
</file>

<file path=xl/sharedStrings.xml><?xml version="1.0" encoding="utf-8"?>
<sst xmlns="http://schemas.openxmlformats.org/spreadsheetml/2006/main" count="113" uniqueCount="44">
  <si>
    <t>Clasificación  económica</t>
  </si>
  <si>
    <t xml:space="preserve">Ingreso total </t>
  </si>
  <si>
    <t>Ingresos tributarios</t>
  </si>
  <si>
    <t xml:space="preserve">    Impuestos directos</t>
  </si>
  <si>
    <t xml:space="preserve">        Impuesto sobre la renta y utilidades </t>
  </si>
  <si>
    <t xml:space="preserve">        Impuesto sobre la propiedad </t>
  </si>
  <si>
    <t xml:space="preserve">        Impuesto s/ nómina y fuerza de trabajo</t>
  </si>
  <si>
    <t xml:space="preserve">       Otros impuestos directos</t>
  </si>
  <si>
    <t xml:space="preserve">    Impuestos indirectos</t>
  </si>
  <si>
    <t xml:space="preserve">        Impuesto sobre bienes y servicios </t>
  </si>
  <si>
    <t xml:space="preserve">        Impuestos sobre espectáculos y juegos de azar</t>
  </si>
  <si>
    <t xml:space="preserve">        Impuestos sobre el comercio exterior</t>
  </si>
  <si>
    <t xml:space="preserve">       Otros impuestos indirectos</t>
  </si>
  <si>
    <t xml:space="preserve">    Tasas</t>
  </si>
  <si>
    <t>Ingresos no tributarios</t>
  </si>
  <si>
    <t xml:space="preserve">        Ingresos no tributarios por venta de bienes y servicios</t>
  </si>
  <si>
    <t xml:space="preserve">        Rentas de la propiedad</t>
  </si>
  <si>
    <t xml:space="preserve">        Concesiones</t>
  </si>
  <si>
    <t xml:space="preserve">        Multas, sanciones y recargos</t>
  </si>
  <si>
    <t xml:space="preserve">        Otros ingresos no tributarios </t>
  </si>
  <si>
    <t xml:space="preserve">Transferencias corrientes </t>
  </si>
  <si>
    <t xml:space="preserve">        Transferencias corrientes del sector público</t>
  </si>
  <si>
    <t xml:space="preserve">            De Entes Autónomos y Servicios Descentralizados financieros</t>
  </si>
  <si>
    <t xml:space="preserve">            De Entes Autónomos y Servicios Descentralizados no financieros</t>
  </si>
  <si>
    <t xml:space="preserve">            De Gobiernos Departamentales </t>
  </si>
  <si>
    <t xml:space="preserve">        Transferencias corrientes del Sector Público no estatal</t>
  </si>
  <si>
    <t>-</t>
  </si>
  <si>
    <t>Ingresos por disminución de activos reales</t>
  </si>
  <si>
    <t xml:space="preserve">        Disminución de edificios, instalaciones, tierras y terrenos</t>
  </si>
  <si>
    <t xml:space="preserve">        Disminución de vehículos</t>
  </si>
  <si>
    <t xml:space="preserve">        Disminución de otros activos</t>
  </si>
  <si>
    <t>Incremento del patrimonio</t>
  </si>
  <si>
    <t>Contribuciones figurativas dentro del Presupuesto Nacional</t>
  </si>
  <si>
    <t>Fuente: Contaduría General de la Nación (CGN) "Rendición de Cuentas y Balance de Ejecución Presupuestal, Tomo IV Cuadro II".</t>
  </si>
  <si>
    <t>Nota: Los valores expresados siguen el criterio de lo percibido.</t>
  </si>
  <si>
    <t>2009</t>
  </si>
  <si>
    <t>2010</t>
  </si>
  <si>
    <t>2011</t>
  </si>
  <si>
    <t>6.1.4 - Estado de recaudación del Gobierno Central, por año, según clasificación económica (millones de pesos</t>
  </si>
  <si>
    <t>a valores corrientes)</t>
  </si>
  <si>
    <t>6.1.4 - Estado de recaudación del Gobierno Central, por año, según clasificación económica (millones de pesos a valores corrientes)</t>
  </si>
  <si>
    <t xml:space="preserve">            Del Sector Publico</t>
  </si>
  <si>
    <t>Persona Pública no Estatal</t>
  </si>
  <si>
    <t xml:space="preserve">         Persona Pública no Estatal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</si>
</sst>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8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E5269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11" fillId="0" borderId="0" applyFont="0" applyFill="0" applyBorder="0" applyAlignment="0" applyProtection="0"/>
  </cellStyleXfs>
  <cellXfs count="35">
    <xf numFmtId="0" fontId="0" fillId="0" borderId="0" xfId="0"/>
    <xf numFmtId="3" fontId="3" fillId="2" borderId="0" xfId="5" applyNumberFormat="1" applyFont="1" applyFill="1" applyBorder="1"/>
    <xf numFmtId="3" fontId="3" fillId="2" borderId="0" xfId="5" applyNumberFormat="1" applyFont="1" applyFill="1" applyBorder="1" applyAlignment="1">
      <alignment horizontal="right"/>
    </xf>
    <xf numFmtId="0" fontId="2" fillId="2" borderId="0" xfId="4" applyFont="1" applyFill="1" applyBorder="1" applyAlignment="1" applyProtection="1"/>
    <xf numFmtId="0" fontId="2" fillId="2" borderId="0" xfId="4" applyFont="1" applyFill="1" applyBorder="1" applyAlignment="1">
      <alignment horizontal="left"/>
    </xf>
    <xf numFmtId="0" fontId="3" fillId="2" borderId="0" xfId="4" applyFont="1" applyFill="1" applyBorder="1"/>
    <xf numFmtId="0" fontId="2" fillId="2" borderId="0" xfId="4" quotePrefix="1" applyNumberFormat="1" applyFont="1" applyFill="1" applyBorder="1" applyAlignment="1" applyProtection="1">
      <alignment horizontal="right"/>
    </xf>
    <xf numFmtId="0" fontId="2" fillId="2" borderId="0" xfId="4" applyFont="1" applyFill="1" applyBorder="1"/>
    <xf numFmtId="0" fontId="2" fillId="2" borderId="0" xfId="4" applyFont="1" applyFill="1" applyBorder="1" applyAlignment="1" applyProtection="1">
      <alignment horizontal="left"/>
    </xf>
    <xf numFmtId="3" fontId="2" fillId="2" borderId="0" xfId="2" applyNumberFormat="1" applyFont="1" applyFill="1" applyBorder="1" applyProtection="1"/>
    <xf numFmtId="0" fontId="2" fillId="2" borderId="0" xfId="4" applyFont="1" applyFill="1" applyBorder="1" applyAlignment="1"/>
    <xf numFmtId="49" fontId="2" fillId="2" borderId="0" xfId="4" applyNumberFormat="1" applyFont="1" applyFill="1" applyBorder="1" applyAlignment="1" applyProtection="1"/>
    <xf numFmtId="3" fontId="8" fillId="2" borderId="0" xfId="4" applyNumberFormat="1" applyFont="1" applyFill="1" applyBorder="1" applyAlignment="1" applyProtection="1">
      <alignment horizontal="left"/>
      <protection locked="0"/>
    </xf>
    <xf numFmtId="0" fontId="5" fillId="2" borderId="0" xfId="4" applyFont="1" applyFill="1" applyBorder="1"/>
    <xf numFmtId="0" fontId="3" fillId="2" borderId="0" xfId="4" applyFont="1" applyFill="1" applyBorder="1" applyAlignment="1">
      <alignment horizontal="left"/>
    </xf>
    <xf numFmtId="0" fontId="4" fillId="2" borderId="0" xfId="4" applyFont="1" applyFill="1" applyBorder="1"/>
    <xf numFmtId="0" fontId="9" fillId="2" borderId="0" xfId="4" applyFont="1" applyFill="1" applyBorder="1"/>
    <xf numFmtId="0" fontId="4" fillId="2" borderId="0" xfId="4" applyFont="1" applyFill="1" applyBorder="1" applyAlignment="1">
      <alignment horizontal="left"/>
    </xf>
    <xf numFmtId="37" fontId="2" fillId="2" borderId="0" xfId="4" quotePrefix="1" applyNumberFormat="1" applyFont="1" applyFill="1" applyBorder="1" applyAlignment="1" applyProtection="1">
      <alignment horizontal="right"/>
    </xf>
    <xf numFmtId="165" fontId="3" fillId="2" borderId="0" xfId="4" applyNumberFormat="1" applyFont="1" applyFill="1" applyBorder="1"/>
    <xf numFmtId="0" fontId="10" fillId="3" borderId="0" xfId="4" applyFont="1" applyFill="1" applyBorder="1" applyAlignment="1">
      <alignment horizontal="left"/>
    </xf>
    <xf numFmtId="3" fontId="3" fillId="2" borderId="0" xfId="2" applyNumberFormat="1" applyFont="1" applyFill="1" applyBorder="1" applyProtection="1"/>
    <xf numFmtId="3" fontId="2" fillId="2" borderId="0" xfId="2" applyNumberFormat="1" applyFont="1" applyFill="1" applyBorder="1" applyAlignment="1" applyProtection="1">
      <alignment horizontal="right"/>
    </xf>
    <xf numFmtId="0" fontId="3" fillId="2" borderId="0" xfId="4" applyFont="1" applyFill="1" applyBorder="1" applyAlignment="1">
      <alignment horizontal="right"/>
    </xf>
    <xf numFmtId="3" fontId="3" fillId="2" borderId="0" xfId="4" applyNumberFormat="1" applyFont="1" applyFill="1" applyBorder="1"/>
    <xf numFmtId="3" fontId="3" fillId="2" borderId="0" xfId="4" applyNumberFormat="1" applyFont="1" applyFill="1" applyBorder="1" applyAlignment="1">
      <alignment horizontal="right"/>
    </xf>
    <xf numFmtId="3" fontId="2" fillId="2" borderId="0" xfId="4" applyNumberFormat="1" applyFont="1" applyFill="1" applyBorder="1"/>
    <xf numFmtId="1" fontId="3" fillId="2" borderId="0" xfId="4" applyNumberFormat="1" applyFont="1" applyFill="1" applyBorder="1"/>
    <xf numFmtId="0" fontId="2" fillId="2" borderId="0" xfId="4" applyFont="1" applyFill="1" applyBorder="1" applyAlignment="1" applyProtection="1">
      <alignment horizontal="left" indent="4"/>
    </xf>
    <xf numFmtId="1" fontId="3" fillId="2" borderId="0" xfId="4" applyNumberFormat="1" applyFont="1" applyFill="1" applyBorder="1" applyAlignment="1">
      <alignment horizontal="right"/>
    </xf>
    <xf numFmtId="166" fontId="3" fillId="2" borderId="0" xfId="9" applyNumberFormat="1" applyFont="1" applyFill="1" applyBorder="1"/>
    <xf numFmtId="0" fontId="10" fillId="3" borderId="0" xfId="4" applyFont="1" applyFill="1" applyBorder="1" applyAlignment="1">
      <alignment horizontal="left" wrapText="1"/>
    </xf>
    <xf numFmtId="0" fontId="2" fillId="2" borderId="0" xfId="4" applyFont="1" applyFill="1" applyBorder="1" applyAlignment="1">
      <alignment horizontal="left" wrapText="1"/>
    </xf>
    <xf numFmtId="0" fontId="2" fillId="2" borderId="0" xfId="4" applyFont="1" applyFill="1" applyBorder="1" applyAlignment="1" applyProtection="1">
      <alignment horizontal="left" wrapText="1"/>
    </xf>
    <xf numFmtId="3" fontId="3" fillId="2" borderId="0" xfId="2" applyNumberFormat="1" applyFont="1" applyFill="1" applyBorder="1" applyAlignment="1" applyProtection="1">
      <alignment horizontal="right"/>
    </xf>
  </cellXfs>
  <cellStyles count="10">
    <cellStyle name="Millares" xfId="9" builtinId="3"/>
    <cellStyle name="Millares 2" xfId="2"/>
    <cellStyle name="Millares 2 2" xfId="5"/>
    <cellStyle name="Millares 3" xfId="3"/>
    <cellStyle name="Normal" xfId="0" builtinId="0"/>
    <cellStyle name="Normal 2" xfId="1"/>
    <cellStyle name="Normal 2 2" xfId="4"/>
    <cellStyle name="Normal 3" xfId="8"/>
    <cellStyle name="Porcentual 2" xfId="6"/>
    <cellStyle name="Porcentual 3" xfId="7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F268"/>
  <sheetViews>
    <sheetView tabSelected="1" zoomScaleNormal="100" workbookViewId="0">
      <selection sqref="A1:D2"/>
    </sheetView>
  </sheetViews>
  <sheetFormatPr baseColWidth="10" defaultColWidth="11" defaultRowHeight="13.2" x14ac:dyDescent="0.25"/>
  <cols>
    <col min="1" max="1" width="64" style="15" customWidth="1"/>
    <col min="2" max="3" width="13.109375" style="17" customWidth="1"/>
    <col min="4" max="4" width="13" style="17" customWidth="1"/>
    <col min="5" max="207" width="11" style="15"/>
    <col min="208" max="208" width="65.33203125" style="15" customWidth="1"/>
    <col min="209" max="209" width="15" style="15" customWidth="1"/>
    <col min="210" max="211" width="15.88671875" style="15" customWidth="1"/>
    <col min="212" max="212" width="8.5546875" style="15" customWidth="1"/>
    <col min="213" max="213" width="17.44140625" style="15" customWidth="1"/>
    <col min="214" max="214" width="20.5546875" style="15" customWidth="1"/>
    <col min="215" max="215" width="11" style="15" customWidth="1"/>
    <col min="216" max="216" width="17.5546875" style="15" customWidth="1"/>
    <col min="217" max="217" width="18.88671875" style="15" customWidth="1"/>
    <col min="218" max="220" width="11" style="15" customWidth="1"/>
    <col min="221" max="463" width="11" style="15"/>
    <col min="464" max="464" width="65.33203125" style="15" customWidth="1"/>
    <col min="465" max="465" width="15" style="15" customWidth="1"/>
    <col min="466" max="467" width="15.88671875" style="15" customWidth="1"/>
    <col min="468" max="468" width="8.5546875" style="15" customWidth="1"/>
    <col min="469" max="469" width="17.44140625" style="15" customWidth="1"/>
    <col min="470" max="470" width="20.5546875" style="15" customWidth="1"/>
    <col min="471" max="471" width="11" style="15" customWidth="1"/>
    <col min="472" max="472" width="17.5546875" style="15" customWidth="1"/>
    <col min="473" max="473" width="18.88671875" style="15" customWidth="1"/>
    <col min="474" max="476" width="11" style="15" customWidth="1"/>
    <col min="477" max="719" width="11" style="15"/>
    <col min="720" max="720" width="65.33203125" style="15" customWidth="1"/>
    <col min="721" max="721" width="15" style="15" customWidth="1"/>
    <col min="722" max="723" width="15.88671875" style="15" customWidth="1"/>
    <col min="724" max="724" width="8.5546875" style="15" customWidth="1"/>
    <col min="725" max="725" width="17.44140625" style="15" customWidth="1"/>
    <col min="726" max="726" width="20.5546875" style="15" customWidth="1"/>
    <col min="727" max="727" width="11" style="15" customWidth="1"/>
    <col min="728" max="728" width="17.5546875" style="15" customWidth="1"/>
    <col min="729" max="729" width="18.88671875" style="15" customWidth="1"/>
    <col min="730" max="732" width="11" style="15" customWidth="1"/>
    <col min="733" max="975" width="11" style="15"/>
    <col min="976" max="976" width="65.33203125" style="15" customWidth="1"/>
    <col min="977" max="977" width="15" style="15" customWidth="1"/>
    <col min="978" max="979" width="15.88671875" style="15" customWidth="1"/>
    <col min="980" max="980" width="8.5546875" style="15" customWidth="1"/>
    <col min="981" max="981" width="17.44140625" style="15" customWidth="1"/>
    <col min="982" max="982" width="20.5546875" style="15" customWidth="1"/>
    <col min="983" max="983" width="11" style="15" customWidth="1"/>
    <col min="984" max="984" width="17.5546875" style="15" customWidth="1"/>
    <col min="985" max="985" width="18.88671875" style="15" customWidth="1"/>
    <col min="986" max="988" width="11" style="15" customWidth="1"/>
    <col min="989" max="1231" width="11" style="15"/>
    <col min="1232" max="1232" width="65.33203125" style="15" customWidth="1"/>
    <col min="1233" max="1233" width="15" style="15" customWidth="1"/>
    <col min="1234" max="1235" width="15.88671875" style="15" customWidth="1"/>
    <col min="1236" max="1236" width="8.5546875" style="15" customWidth="1"/>
    <col min="1237" max="1237" width="17.44140625" style="15" customWidth="1"/>
    <col min="1238" max="1238" width="20.5546875" style="15" customWidth="1"/>
    <col min="1239" max="1239" width="11" style="15" customWidth="1"/>
    <col min="1240" max="1240" width="17.5546875" style="15" customWidth="1"/>
    <col min="1241" max="1241" width="18.88671875" style="15" customWidth="1"/>
    <col min="1242" max="1244" width="11" style="15" customWidth="1"/>
    <col min="1245" max="1487" width="11" style="15"/>
    <col min="1488" max="1488" width="65.33203125" style="15" customWidth="1"/>
    <col min="1489" max="1489" width="15" style="15" customWidth="1"/>
    <col min="1490" max="1491" width="15.88671875" style="15" customWidth="1"/>
    <col min="1492" max="1492" width="8.5546875" style="15" customWidth="1"/>
    <col min="1493" max="1493" width="17.44140625" style="15" customWidth="1"/>
    <col min="1494" max="1494" width="20.5546875" style="15" customWidth="1"/>
    <col min="1495" max="1495" width="11" style="15" customWidth="1"/>
    <col min="1496" max="1496" width="17.5546875" style="15" customWidth="1"/>
    <col min="1497" max="1497" width="18.88671875" style="15" customWidth="1"/>
    <col min="1498" max="1500" width="11" style="15" customWidth="1"/>
    <col min="1501" max="1743" width="11" style="15"/>
    <col min="1744" max="1744" width="65.33203125" style="15" customWidth="1"/>
    <col min="1745" max="1745" width="15" style="15" customWidth="1"/>
    <col min="1746" max="1747" width="15.88671875" style="15" customWidth="1"/>
    <col min="1748" max="1748" width="8.5546875" style="15" customWidth="1"/>
    <col min="1749" max="1749" width="17.44140625" style="15" customWidth="1"/>
    <col min="1750" max="1750" width="20.5546875" style="15" customWidth="1"/>
    <col min="1751" max="1751" width="11" style="15" customWidth="1"/>
    <col min="1752" max="1752" width="17.5546875" style="15" customWidth="1"/>
    <col min="1753" max="1753" width="18.88671875" style="15" customWidth="1"/>
    <col min="1754" max="1756" width="11" style="15" customWidth="1"/>
    <col min="1757" max="1999" width="11" style="15"/>
    <col min="2000" max="2000" width="65.33203125" style="15" customWidth="1"/>
    <col min="2001" max="2001" width="15" style="15" customWidth="1"/>
    <col min="2002" max="2003" width="15.88671875" style="15" customWidth="1"/>
    <col min="2004" max="2004" width="8.5546875" style="15" customWidth="1"/>
    <col min="2005" max="2005" width="17.44140625" style="15" customWidth="1"/>
    <col min="2006" max="2006" width="20.5546875" style="15" customWidth="1"/>
    <col min="2007" max="2007" width="11" style="15" customWidth="1"/>
    <col min="2008" max="2008" width="17.5546875" style="15" customWidth="1"/>
    <col min="2009" max="2009" width="18.88671875" style="15" customWidth="1"/>
    <col min="2010" max="2012" width="11" style="15" customWidth="1"/>
    <col min="2013" max="2255" width="11" style="15"/>
    <col min="2256" max="2256" width="65.33203125" style="15" customWidth="1"/>
    <col min="2257" max="2257" width="15" style="15" customWidth="1"/>
    <col min="2258" max="2259" width="15.88671875" style="15" customWidth="1"/>
    <col min="2260" max="2260" width="8.5546875" style="15" customWidth="1"/>
    <col min="2261" max="2261" width="17.44140625" style="15" customWidth="1"/>
    <col min="2262" max="2262" width="20.5546875" style="15" customWidth="1"/>
    <col min="2263" max="2263" width="11" style="15" customWidth="1"/>
    <col min="2264" max="2264" width="17.5546875" style="15" customWidth="1"/>
    <col min="2265" max="2265" width="18.88671875" style="15" customWidth="1"/>
    <col min="2266" max="2268" width="11" style="15" customWidth="1"/>
    <col min="2269" max="2511" width="11" style="15"/>
    <col min="2512" max="2512" width="65.33203125" style="15" customWidth="1"/>
    <col min="2513" max="2513" width="15" style="15" customWidth="1"/>
    <col min="2514" max="2515" width="15.88671875" style="15" customWidth="1"/>
    <col min="2516" max="2516" width="8.5546875" style="15" customWidth="1"/>
    <col min="2517" max="2517" width="17.44140625" style="15" customWidth="1"/>
    <col min="2518" max="2518" width="20.5546875" style="15" customWidth="1"/>
    <col min="2519" max="2519" width="11" style="15" customWidth="1"/>
    <col min="2520" max="2520" width="17.5546875" style="15" customWidth="1"/>
    <col min="2521" max="2521" width="18.88671875" style="15" customWidth="1"/>
    <col min="2522" max="2524" width="11" style="15" customWidth="1"/>
    <col min="2525" max="2767" width="11" style="15"/>
    <col min="2768" max="2768" width="65.33203125" style="15" customWidth="1"/>
    <col min="2769" max="2769" width="15" style="15" customWidth="1"/>
    <col min="2770" max="2771" width="15.88671875" style="15" customWidth="1"/>
    <col min="2772" max="2772" width="8.5546875" style="15" customWidth="1"/>
    <col min="2773" max="2773" width="17.44140625" style="15" customWidth="1"/>
    <col min="2774" max="2774" width="20.5546875" style="15" customWidth="1"/>
    <col min="2775" max="2775" width="11" style="15" customWidth="1"/>
    <col min="2776" max="2776" width="17.5546875" style="15" customWidth="1"/>
    <col min="2777" max="2777" width="18.88671875" style="15" customWidth="1"/>
    <col min="2778" max="2780" width="11" style="15" customWidth="1"/>
    <col min="2781" max="3023" width="11" style="15"/>
    <col min="3024" max="3024" width="65.33203125" style="15" customWidth="1"/>
    <col min="3025" max="3025" width="15" style="15" customWidth="1"/>
    <col min="3026" max="3027" width="15.88671875" style="15" customWidth="1"/>
    <col min="3028" max="3028" width="8.5546875" style="15" customWidth="1"/>
    <col min="3029" max="3029" width="17.44140625" style="15" customWidth="1"/>
    <col min="3030" max="3030" width="20.5546875" style="15" customWidth="1"/>
    <col min="3031" max="3031" width="11" style="15" customWidth="1"/>
    <col min="3032" max="3032" width="17.5546875" style="15" customWidth="1"/>
    <col min="3033" max="3033" width="18.88671875" style="15" customWidth="1"/>
    <col min="3034" max="3036" width="11" style="15" customWidth="1"/>
    <col min="3037" max="3279" width="11" style="15"/>
    <col min="3280" max="3280" width="65.33203125" style="15" customWidth="1"/>
    <col min="3281" max="3281" width="15" style="15" customWidth="1"/>
    <col min="3282" max="3283" width="15.88671875" style="15" customWidth="1"/>
    <col min="3284" max="3284" width="8.5546875" style="15" customWidth="1"/>
    <col min="3285" max="3285" width="17.44140625" style="15" customWidth="1"/>
    <col min="3286" max="3286" width="20.5546875" style="15" customWidth="1"/>
    <col min="3287" max="3287" width="11" style="15" customWidth="1"/>
    <col min="3288" max="3288" width="17.5546875" style="15" customWidth="1"/>
    <col min="3289" max="3289" width="18.88671875" style="15" customWidth="1"/>
    <col min="3290" max="3292" width="11" style="15" customWidth="1"/>
    <col min="3293" max="3535" width="11" style="15"/>
    <col min="3536" max="3536" width="65.33203125" style="15" customWidth="1"/>
    <col min="3537" max="3537" width="15" style="15" customWidth="1"/>
    <col min="3538" max="3539" width="15.88671875" style="15" customWidth="1"/>
    <col min="3540" max="3540" width="8.5546875" style="15" customWidth="1"/>
    <col min="3541" max="3541" width="17.44140625" style="15" customWidth="1"/>
    <col min="3542" max="3542" width="20.5546875" style="15" customWidth="1"/>
    <col min="3543" max="3543" width="11" style="15" customWidth="1"/>
    <col min="3544" max="3544" width="17.5546875" style="15" customWidth="1"/>
    <col min="3545" max="3545" width="18.88671875" style="15" customWidth="1"/>
    <col min="3546" max="3548" width="11" style="15" customWidth="1"/>
    <col min="3549" max="3791" width="11" style="15"/>
    <col min="3792" max="3792" width="65.33203125" style="15" customWidth="1"/>
    <col min="3793" max="3793" width="15" style="15" customWidth="1"/>
    <col min="3794" max="3795" width="15.88671875" style="15" customWidth="1"/>
    <col min="3796" max="3796" width="8.5546875" style="15" customWidth="1"/>
    <col min="3797" max="3797" width="17.44140625" style="15" customWidth="1"/>
    <col min="3798" max="3798" width="20.5546875" style="15" customWidth="1"/>
    <col min="3799" max="3799" width="11" style="15" customWidth="1"/>
    <col min="3800" max="3800" width="17.5546875" style="15" customWidth="1"/>
    <col min="3801" max="3801" width="18.88671875" style="15" customWidth="1"/>
    <col min="3802" max="3804" width="11" style="15" customWidth="1"/>
    <col min="3805" max="4047" width="11" style="15"/>
    <col min="4048" max="4048" width="65.33203125" style="15" customWidth="1"/>
    <col min="4049" max="4049" width="15" style="15" customWidth="1"/>
    <col min="4050" max="4051" width="15.88671875" style="15" customWidth="1"/>
    <col min="4052" max="4052" width="8.5546875" style="15" customWidth="1"/>
    <col min="4053" max="4053" width="17.44140625" style="15" customWidth="1"/>
    <col min="4054" max="4054" width="20.5546875" style="15" customWidth="1"/>
    <col min="4055" max="4055" width="11" style="15" customWidth="1"/>
    <col min="4056" max="4056" width="17.5546875" style="15" customWidth="1"/>
    <col min="4057" max="4057" width="18.88671875" style="15" customWidth="1"/>
    <col min="4058" max="4060" width="11" style="15" customWidth="1"/>
    <col min="4061" max="4303" width="11" style="15"/>
    <col min="4304" max="4304" width="65.33203125" style="15" customWidth="1"/>
    <col min="4305" max="4305" width="15" style="15" customWidth="1"/>
    <col min="4306" max="4307" width="15.88671875" style="15" customWidth="1"/>
    <col min="4308" max="4308" width="8.5546875" style="15" customWidth="1"/>
    <col min="4309" max="4309" width="17.44140625" style="15" customWidth="1"/>
    <col min="4310" max="4310" width="20.5546875" style="15" customWidth="1"/>
    <col min="4311" max="4311" width="11" style="15" customWidth="1"/>
    <col min="4312" max="4312" width="17.5546875" style="15" customWidth="1"/>
    <col min="4313" max="4313" width="18.88671875" style="15" customWidth="1"/>
    <col min="4314" max="4316" width="11" style="15" customWidth="1"/>
    <col min="4317" max="4559" width="11" style="15"/>
    <col min="4560" max="4560" width="65.33203125" style="15" customWidth="1"/>
    <col min="4561" max="4561" width="15" style="15" customWidth="1"/>
    <col min="4562" max="4563" width="15.88671875" style="15" customWidth="1"/>
    <col min="4564" max="4564" width="8.5546875" style="15" customWidth="1"/>
    <col min="4565" max="4565" width="17.44140625" style="15" customWidth="1"/>
    <col min="4566" max="4566" width="20.5546875" style="15" customWidth="1"/>
    <col min="4567" max="4567" width="11" style="15" customWidth="1"/>
    <col min="4568" max="4568" width="17.5546875" style="15" customWidth="1"/>
    <col min="4569" max="4569" width="18.88671875" style="15" customWidth="1"/>
    <col min="4570" max="4572" width="11" style="15" customWidth="1"/>
    <col min="4573" max="4815" width="11" style="15"/>
    <col min="4816" max="4816" width="65.33203125" style="15" customWidth="1"/>
    <col min="4817" max="4817" width="15" style="15" customWidth="1"/>
    <col min="4818" max="4819" width="15.88671875" style="15" customWidth="1"/>
    <col min="4820" max="4820" width="8.5546875" style="15" customWidth="1"/>
    <col min="4821" max="4821" width="17.44140625" style="15" customWidth="1"/>
    <col min="4822" max="4822" width="20.5546875" style="15" customWidth="1"/>
    <col min="4823" max="4823" width="11" style="15" customWidth="1"/>
    <col min="4824" max="4824" width="17.5546875" style="15" customWidth="1"/>
    <col min="4825" max="4825" width="18.88671875" style="15" customWidth="1"/>
    <col min="4826" max="4828" width="11" style="15" customWidth="1"/>
    <col min="4829" max="5071" width="11" style="15"/>
    <col min="5072" max="5072" width="65.33203125" style="15" customWidth="1"/>
    <col min="5073" max="5073" width="15" style="15" customWidth="1"/>
    <col min="5074" max="5075" width="15.88671875" style="15" customWidth="1"/>
    <col min="5076" max="5076" width="8.5546875" style="15" customWidth="1"/>
    <col min="5077" max="5077" width="17.44140625" style="15" customWidth="1"/>
    <col min="5078" max="5078" width="20.5546875" style="15" customWidth="1"/>
    <col min="5079" max="5079" width="11" style="15" customWidth="1"/>
    <col min="5080" max="5080" width="17.5546875" style="15" customWidth="1"/>
    <col min="5081" max="5081" width="18.88671875" style="15" customWidth="1"/>
    <col min="5082" max="5084" width="11" style="15" customWidth="1"/>
    <col min="5085" max="5327" width="11" style="15"/>
    <col min="5328" max="5328" width="65.33203125" style="15" customWidth="1"/>
    <col min="5329" max="5329" width="15" style="15" customWidth="1"/>
    <col min="5330" max="5331" width="15.88671875" style="15" customWidth="1"/>
    <col min="5332" max="5332" width="8.5546875" style="15" customWidth="1"/>
    <col min="5333" max="5333" width="17.44140625" style="15" customWidth="1"/>
    <col min="5334" max="5334" width="20.5546875" style="15" customWidth="1"/>
    <col min="5335" max="5335" width="11" style="15" customWidth="1"/>
    <col min="5336" max="5336" width="17.5546875" style="15" customWidth="1"/>
    <col min="5337" max="5337" width="18.88671875" style="15" customWidth="1"/>
    <col min="5338" max="5340" width="11" style="15" customWidth="1"/>
    <col min="5341" max="5583" width="11" style="15"/>
    <col min="5584" max="5584" width="65.33203125" style="15" customWidth="1"/>
    <col min="5585" max="5585" width="15" style="15" customWidth="1"/>
    <col min="5586" max="5587" width="15.88671875" style="15" customWidth="1"/>
    <col min="5588" max="5588" width="8.5546875" style="15" customWidth="1"/>
    <col min="5589" max="5589" width="17.44140625" style="15" customWidth="1"/>
    <col min="5590" max="5590" width="20.5546875" style="15" customWidth="1"/>
    <col min="5591" max="5591" width="11" style="15" customWidth="1"/>
    <col min="5592" max="5592" width="17.5546875" style="15" customWidth="1"/>
    <col min="5593" max="5593" width="18.88671875" style="15" customWidth="1"/>
    <col min="5594" max="5596" width="11" style="15" customWidth="1"/>
    <col min="5597" max="5839" width="11" style="15"/>
    <col min="5840" max="5840" width="65.33203125" style="15" customWidth="1"/>
    <col min="5841" max="5841" width="15" style="15" customWidth="1"/>
    <col min="5842" max="5843" width="15.88671875" style="15" customWidth="1"/>
    <col min="5844" max="5844" width="8.5546875" style="15" customWidth="1"/>
    <col min="5845" max="5845" width="17.44140625" style="15" customWidth="1"/>
    <col min="5846" max="5846" width="20.5546875" style="15" customWidth="1"/>
    <col min="5847" max="5847" width="11" style="15" customWidth="1"/>
    <col min="5848" max="5848" width="17.5546875" style="15" customWidth="1"/>
    <col min="5849" max="5849" width="18.88671875" style="15" customWidth="1"/>
    <col min="5850" max="5852" width="11" style="15" customWidth="1"/>
    <col min="5853" max="6095" width="11" style="15"/>
    <col min="6096" max="6096" width="65.33203125" style="15" customWidth="1"/>
    <col min="6097" max="6097" width="15" style="15" customWidth="1"/>
    <col min="6098" max="6099" width="15.88671875" style="15" customWidth="1"/>
    <col min="6100" max="6100" width="8.5546875" style="15" customWidth="1"/>
    <col min="6101" max="6101" width="17.44140625" style="15" customWidth="1"/>
    <col min="6102" max="6102" width="20.5546875" style="15" customWidth="1"/>
    <col min="6103" max="6103" width="11" style="15" customWidth="1"/>
    <col min="6104" max="6104" width="17.5546875" style="15" customWidth="1"/>
    <col min="6105" max="6105" width="18.88671875" style="15" customWidth="1"/>
    <col min="6106" max="6108" width="11" style="15" customWidth="1"/>
    <col min="6109" max="6351" width="11" style="15"/>
    <col min="6352" max="6352" width="65.33203125" style="15" customWidth="1"/>
    <col min="6353" max="6353" width="15" style="15" customWidth="1"/>
    <col min="6354" max="6355" width="15.88671875" style="15" customWidth="1"/>
    <col min="6356" max="6356" width="8.5546875" style="15" customWidth="1"/>
    <col min="6357" max="6357" width="17.44140625" style="15" customWidth="1"/>
    <col min="6358" max="6358" width="20.5546875" style="15" customWidth="1"/>
    <col min="6359" max="6359" width="11" style="15" customWidth="1"/>
    <col min="6360" max="6360" width="17.5546875" style="15" customWidth="1"/>
    <col min="6361" max="6361" width="18.88671875" style="15" customWidth="1"/>
    <col min="6362" max="6364" width="11" style="15" customWidth="1"/>
    <col min="6365" max="6607" width="11" style="15"/>
    <col min="6608" max="6608" width="65.33203125" style="15" customWidth="1"/>
    <col min="6609" max="6609" width="15" style="15" customWidth="1"/>
    <col min="6610" max="6611" width="15.88671875" style="15" customWidth="1"/>
    <col min="6612" max="6612" width="8.5546875" style="15" customWidth="1"/>
    <col min="6613" max="6613" width="17.44140625" style="15" customWidth="1"/>
    <col min="6614" max="6614" width="20.5546875" style="15" customWidth="1"/>
    <col min="6615" max="6615" width="11" style="15" customWidth="1"/>
    <col min="6616" max="6616" width="17.5546875" style="15" customWidth="1"/>
    <col min="6617" max="6617" width="18.88671875" style="15" customWidth="1"/>
    <col min="6618" max="6620" width="11" style="15" customWidth="1"/>
    <col min="6621" max="6863" width="11" style="15"/>
    <col min="6864" max="6864" width="65.33203125" style="15" customWidth="1"/>
    <col min="6865" max="6865" width="15" style="15" customWidth="1"/>
    <col min="6866" max="6867" width="15.88671875" style="15" customWidth="1"/>
    <col min="6868" max="6868" width="8.5546875" style="15" customWidth="1"/>
    <col min="6869" max="6869" width="17.44140625" style="15" customWidth="1"/>
    <col min="6870" max="6870" width="20.5546875" style="15" customWidth="1"/>
    <col min="6871" max="6871" width="11" style="15" customWidth="1"/>
    <col min="6872" max="6872" width="17.5546875" style="15" customWidth="1"/>
    <col min="6873" max="6873" width="18.88671875" style="15" customWidth="1"/>
    <col min="6874" max="6876" width="11" style="15" customWidth="1"/>
    <col min="6877" max="7119" width="11" style="15"/>
    <col min="7120" max="7120" width="65.33203125" style="15" customWidth="1"/>
    <col min="7121" max="7121" width="15" style="15" customWidth="1"/>
    <col min="7122" max="7123" width="15.88671875" style="15" customWidth="1"/>
    <col min="7124" max="7124" width="8.5546875" style="15" customWidth="1"/>
    <col min="7125" max="7125" width="17.44140625" style="15" customWidth="1"/>
    <col min="7126" max="7126" width="20.5546875" style="15" customWidth="1"/>
    <col min="7127" max="7127" width="11" style="15" customWidth="1"/>
    <col min="7128" max="7128" width="17.5546875" style="15" customWidth="1"/>
    <col min="7129" max="7129" width="18.88671875" style="15" customWidth="1"/>
    <col min="7130" max="7132" width="11" style="15" customWidth="1"/>
    <col min="7133" max="7375" width="11" style="15"/>
    <col min="7376" max="7376" width="65.33203125" style="15" customWidth="1"/>
    <col min="7377" max="7377" width="15" style="15" customWidth="1"/>
    <col min="7378" max="7379" width="15.88671875" style="15" customWidth="1"/>
    <col min="7380" max="7380" width="8.5546875" style="15" customWidth="1"/>
    <col min="7381" max="7381" width="17.44140625" style="15" customWidth="1"/>
    <col min="7382" max="7382" width="20.5546875" style="15" customWidth="1"/>
    <col min="7383" max="7383" width="11" style="15" customWidth="1"/>
    <col min="7384" max="7384" width="17.5546875" style="15" customWidth="1"/>
    <col min="7385" max="7385" width="18.88671875" style="15" customWidth="1"/>
    <col min="7386" max="7388" width="11" style="15" customWidth="1"/>
    <col min="7389" max="7631" width="11" style="15"/>
    <col min="7632" max="7632" width="65.33203125" style="15" customWidth="1"/>
    <col min="7633" max="7633" width="15" style="15" customWidth="1"/>
    <col min="7634" max="7635" width="15.88671875" style="15" customWidth="1"/>
    <col min="7636" max="7636" width="8.5546875" style="15" customWidth="1"/>
    <col min="7637" max="7637" width="17.44140625" style="15" customWidth="1"/>
    <col min="7638" max="7638" width="20.5546875" style="15" customWidth="1"/>
    <col min="7639" max="7639" width="11" style="15" customWidth="1"/>
    <col min="7640" max="7640" width="17.5546875" style="15" customWidth="1"/>
    <col min="7641" max="7641" width="18.88671875" style="15" customWidth="1"/>
    <col min="7642" max="7644" width="11" style="15" customWidth="1"/>
    <col min="7645" max="7887" width="11" style="15"/>
    <col min="7888" max="7888" width="65.33203125" style="15" customWidth="1"/>
    <col min="7889" max="7889" width="15" style="15" customWidth="1"/>
    <col min="7890" max="7891" width="15.88671875" style="15" customWidth="1"/>
    <col min="7892" max="7892" width="8.5546875" style="15" customWidth="1"/>
    <col min="7893" max="7893" width="17.44140625" style="15" customWidth="1"/>
    <col min="7894" max="7894" width="20.5546875" style="15" customWidth="1"/>
    <col min="7895" max="7895" width="11" style="15" customWidth="1"/>
    <col min="7896" max="7896" width="17.5546875" style="15" customWidth="1"/>
    <col min="7897" max="7897" width="18.88671875" style="15" customWidth="1"/>
    <col min="7898" max="7900" width="11" style="15" customWidth="1"/>
    <col min="7901" max="8143" width="11" style="15"/>
    <col min="8144" max="8144" width="65.33203125" style="15" customWidth="1"/>
    <col min="8145" max="8145" width="15" style="15" customWidth="1"/>
    <col min="8146" max="8147" width="15.88671875" style="15" customWidth="1"/>
    <col min="8148" max="8148" width="8.5546875" style="15" customWidth="1"/>
    <col min="8149" max="8149" width="17.44140625" style="15" customWidth="1"/>
    <col min="8150" max="8150" width="20.5546875" style="15" customWidth="1"/>
    <col min="8151" max="8151" width="11" style="15" customWidth="1"/>
    <col min="8152" max="8152" width="17.5546875" style="15" customWidth="1"/>
    <col min="8153" max="8153" width="18.88671875" style="15" customWidth="1"/>
    <col min="8154" max="8156" width="11" style="15" customWidth="1"/>
    <col min="8157" max="8399" width="11" style="15"/>
    <col min="8400" max="8400" width="65.33203125" style="15" customWidth="1"/>
    <col min="8401" max="8401" width="15" style="15" customWidth="1"/>
    <col min="8402" max="8403" width="15.88671875" style="15" customWidth="1"/>
    <col min="8404" max="8404" width="8.5546875" style="15" customWidth="1"/>
    <col min="8405" max="8405" width="17.44140625" style="15" customWidth="1"/>
    <col min="8406" max="8406" width="20.5546875" style="15" customWidth="1"/>
    <col min="8407" max="8407" width="11" style="15" customWidth="1"/>
    <col min="8408" max="8408" width="17.5546875" style="15" customWidth="1"/>
    <col min="8409" max="8409" width="18.88671875" style="15" customWidth="1"/>
    <col min="8410" max="8412" width="11" style="15" customWidth="1"/>
    <col min="8413" max="8655" width="11" style="15"/>
    <col min="8656" max="8656" width="65.33203125" style="15" customWidth="1"/>
    <col min="8657" max="8657" width="15" style="15" customWidth="1"/>
    <col min="8658" max="8659" width="15.88671875" style="15" customWidth="1"/>
    <col min="8660" max="8660" width="8.5546875" style="15" customWidth="1"/>
    <col min="8661" max="8661" width="17.44140625" style="15" customWidth="1"/>
    <col min="8662" max="8662" width="20.5546875" style="15" customWidth="1"/>
    <col min="8663" max="8663" width="11" style="15" customWidth="1"/>
    <col min="8664" max="8664" width="17.5546875" style="15" customWidth="1"/>
    <col min="8665" max="8665" width="18.88671875" style="15" customWidth="1"/>
    <col min="8666" max="8668" width="11" style="15" customWidth="1"/>
    <col min="8669" max="8911" width="11" style="15"/>
    <col min="8912" max="8912" width="65.33203125" style="15" customWidth="1"/>
    <col min="8913" max="8913" width="15" style="15" customWidth="1"/>
    <col min="8914" max="8915" width="15.88671875" style="15" customWidth="1"/>
    <col min="8916" max="8916" width="8.5546875" style="15" customWidth="1"/>
    <col min="8917" max="8917" width="17.44140625" style="15" customWidth="1"/>
    <col min="8918" max="8918" width="20.5546875" style="15" customWidth="1"/>
    <col min="8919" max="8919" width="11" style="15" customWidth="1"/>
    <col min="8920" max="8920" width="17.5546875" style="15" customWidth="1"/>
    <col min="8921" max="8921" width="18.88671875" style="15" customWidth="1"/>
    <col min="8922" max="8924" width="11" style="15" customWidth="1"/>
    <col min="8925" max="9167" width="11" style="15"/>
    <col min="9168" max="9168" width="65.33203125" style="15" customWidth="1"/>
    <col min="9169" max="9169" width="15" style="15" customWidth="1"/>
    <col min="9170" max="9171" width="15.88671875" style="15" customWidth="1"/>
    <col min="9172" max="9172" width="8.5546875" style="15" customWidth="1"/>
    <col min="9173" max="9173" width="17.44140625" style="15" customWidth="1"/>
    <col min="9174" max="9174" width="20.5546875" style="15" customWidth="1"/>
    <col min="9175" max="9175" width="11" style="15" customWidth="1"/>
    <col min="9176" max="9176" width="17.5546875" style="15" customWidth="1"/>
    <col min="9177" max="9177" width="18.88671875" style="15" customWidth="1"/>
    <col min="9178" max="9180" width="11" style="15" customWidth="1"/>
    <col min="9181" max="9423" width="11" style="15"/>
    <col min="9424" max="9424" width="65.33203125" style="15" customWidth="1"/>
    <col min="9425" max="9425" width="15" style="15" customWidth="1"/>
    <col min="9426" max="9427" width="15.88671875" style="15" customWidth="1"/>
    <col min="9428" max="9428" width="8.5546875" style="15" customWidth="1"/>
    <col min="9429" max="9429" width="17.44140625" style="15" customWidth="1"/>
    <col min="9430" max="9430" width="20.5546875" style="15" customWidth="1"/>
    <col min="9431" max="9431" width="11" style="15" customWidth="1"/>
    <col min="9432" max="9432" width="17.5546875" style="15" customWidth="1"/>
    <col min="9433" max="9433" width="18.88671875" style="15" customWidth="1"/>
    <col min="9434" max="9436" width="11" style="15" customWidth="1"/>
    <col min="9437" max="9679" width="11" style="15"/>
    <col min="9680" max="9680" width="65.33203125" style="15" customWidth="1"/>
    <col min="9681" max="9681" width="15" style="15" customWidth="1"/>
    <col min="9682" max="9683" width="15.88671875" style="15" customWidth="1"/>
    <col min="9684" max="9684" width="8.5546875" style="15" customWidth="1"/>
    <col min="9685" max="9685" width="17.44140625" style="15" customWidth="1"/>
    <col min="9686" max="9686" width="20.5546875" style="15" customWidth="1"/>
    <col min="9687" max="9687" width="11" style="15" customWidth="1"/>
    <col min="9688" max="9688" width="17.5546875" style="15" customWidth="1"/>
    <col min="9689" max="9689" width="18.88671875" style="15" customWidth="1"/>
    <col min="9690" max="9692" width="11" style="15" customWidth="1"/>
    <col min="9693" max="9935" width="11" style="15"/>
    <col min="9936" max="9936" width="65.33203125" style="15" customWidth="1"/>
    <col min="9937" max="9937" width="15" style="15" customWidth="1"/>
    <col min="9938" max="9939" width="15.88671875" style="15" customWidth="1"/>
    <col min="9940" max="9940" width="8.5546875" style="15" customWidth="1"/>
    <col min="9941" max="9941" width="17.44140625" style="15" customWidth="1"/>
    <col min="9942" max="9942" width="20.5546875" style="15" customWidth="1"/>
    <col min="9943" max="9943" width="11" style="15" customWidth="1"/>
    <col min="9944" max="9944" width="17.5546875" style="15" customWidth="1"/>
    <col min="9945" max="9945" width="18.88671875" style="15" customWidth="1"/>
    <col min="9946" max="9948" width="11" style="15" customWidth="1"/>
    <col min="9949" max="10191" width="11" style="15"/>
    <col min="10192" max="10192" width="65.33203125" style="15" customWidth="1"/>
    <col min="10193" max="10193" width="15" style="15" customWidth="1"/>
    <col min="10194" max="10195" width="15.88671875" style="15" customWidth="1"/>
    <col min="10196" max="10196" width="8.5546875" style="15" customWidth="1"/>
    <col min="10197" max="10197" width="17.44140625" style="15" customWidth="1"/>
    <col min="10198" max="10198" width="20.5546875" style="15" customWidth="1"/>
    <col min="10199" max="10199" width="11" style="15" customWidth="1"/>
    <col min="10200" max="10200" width="17.5546875" style="15" customWidth="1"/>
    <col min="10201" max="10201" width="18.88671875" style="15" customWidth="1"/>
    <col min="10202" max="10204" width="11" style="15" customWidth="1"/>
    <col min="10205" max="10447" width="11" style="15"/>
    <col min="10448" max="10448" width="65.33203125" style="15" customWidth="1"/>
    <col min="10449" max="10449" width="15" style="15" customWidth="1"/>
    <col min="10450" max="10451" width="15.88671875" style="15" customWidth="1"/>
    <col min="10452" max="10452" width="8.5546875" style="15" customWidth="1"/>
    <col min="10453" max="10453" width="17.44140625" style="15" customWidth="1"/>
    <col min="10454" max="10454" width="20.5546875" style="15" customWidth="1"/>
    <col min="10455" max="10455" width="11" style="15" customWidth="1"/>
    <col min="10456" max="10456" width="17.5546875" style="15" customWidth="1"/>
    <col min="10457" max="10457" width="18.88671875" style="15" customWidth="1"/>
    <col min="10458" max="10460" width="11" style="15" customWidth="1"/>
    <col min="10461" max="10703" width="11" style="15"/>
    <col min="10704" max="10704" width="65.33203125" style="15" customWidth="1"/>
    <col min="10705" max="10705" width="15" style="15" customWidth="1"/>
    <col min="10706" max="10707" width="15.88671875" style="15" customWidth="1"/>
    <col min="10708" max="10708" width="8.5546875" style="15" customWidth="1"/>
    <col min="10709" max="10709" width="17.44140625" style="15" customWidth="1"/>
    <col min="10710" max="10710" width="20.5546875" style="15" customWidth="1"/>
    <col min="10711" max="10711" width="11" style="15" customWidth="1"/>
    <col min="10712" max="10712" width="17.5546875" style="15" customWidth="1"/>
    <col min="10713" max="10713" width="18.88671875" style="15" customWidth="1"/>
    <col min="10714" max="10716" width="11" style="15" customWidth="1"/>
    <col min="10717" max="10959" width="11" style="15"/>
    <col min="10960" max="10960" width="65.33203125" style="15" customWidth="1"/>
    <col min="10961" max="10961" width="15" style="15" customWidth="1"/>
    <col min="10962" max="10963" width="15.88671875" style="15" customWidth="1"/>
    <col min="10964" max="10964" width="8.5546875" style="15" customWidth="1"/>
    <col min="10965" max="10965" width="17.44140625" style="15" customWidth="1"/>
    <col min="10966" max="10966" width="20.5546875" style="15" customWidth="1"/>
    <col min="10967" max="10967" width="11" style="15" customWidth="1"/>
    <col min="10968" max="10968" width="17.5546875" style="15" customWidth="1"/>
    <col min="10969" max="10969" width="18.88671875" style="15" customWidth="1"/>
    <col min="10970" max="10972" width="11" style="15" customWidth="1"/>
    <col min="10973" max="11215" width="11" style="15"/>
    <col min="11216" max="11216" width="65.33203125" style="15" customWidth="1"/>
    <col min="11217" max="11217" width="15" style="15" customWidth="1"/>
    <col min="11218" max="11219" width="15.88671875" style="15" customWidth="1"/>
    <col min="11220" max="11220" width="8.5546875" style="15" customWidth="1"/>
    <col min="11221" max="11221" width="17.44140625" style="15" customWidth="1"/>
    <col min="11222" max="11222" width="20.5546875" style="15" customWidth="1"/>
    <col min="11223" max="11223" width="11" style="15" customWidth="1"/>
    <col min="11224" max="11224" width="17.5546875" style="15" customWidth="1"/>
    <col min="11225" max="11225" width="18.88671875" style="15" customWidth="1"/>
    <col min="11226" max="11228" width="11" style="15" customWidth="1"/>
    <col min="11229" max="11471" width="11" style="15"/>
    <col min="11472" max="11472" width="65.33203125" style="15" customWidth="1"/>
    <col min="11473" max="11473" width="15" style="15" customWidth="1"/>
    <col min="11474" max="11475" width="15.88671875" style="15" customWidth="1"/>
    <col min="11476" max="11476" width="8.5546875" style="15" customWidth="1"/>
    <col min="11477" max="11477" width="17.44140625" style="15" customWidth="1"/>
    <col min="11478" max="11478" width="20.5546875" style="15" customWidth="1"/>
    <col min="11479" max="11479" width="11" style="15" customWidth="1"/>
    <col min="11480" max="11480" width="17.5546875" style="15" customWidth="1"/>
    <col min="11481" max="11481" width="18.88671875" style="15" customWidth="1"/>
    <col min="11482" max="11484" width="11" style="15" customWidth="1"/>
    <col min="11485" max="11727" width="11" style="15"/>
    <col min="11728" max="11728" width="65.33203125" style="15" customWidth="1"/>
    <col min="11729" max="11729" width="15" style="15" customWidth="1"/>
    <col min="11730" max="11731" width="15.88671875" style="15" customWidth="1"/>
    <col min="11732" max="11732" width="8.5546875" style="15" customWidth="1"/>
    <col min="11733" max="11733" width="17.44140625" style="15" customWidth="1"/>
    <col min="11734" max="11734" width="20.5546875" style="15" customWidth="1"/>
    <col min="11735" max="11735" width="11" style="15" customWidth="1"/>
    <col min="11736" max="11736" width="17.5546875" style="15" customWidth="1"/>
    <col min="11737" max="11737" width="18.88671875" style="15" customWidth="1"/>
    <col min="11738" max="11740" width="11" style="15" customWidth="1"/>
    <col min="11741" max="11983" width="11" style="15"/>
    <col min="11984" max="11984" width="65.33203125" style="15" customWidth="1"/>
    <col min="11985" max="11985" width="15" style="15" customWidth="1"/>
    <col min="11986" max="11987" width="15.88671875" style="15" customWidth="1"/>
    <col min="11988" max="11988" width="8.5546875" style="15" customWidth="1"/>
    <col min="11989" max="11989" width="17.44140625" style="15" customWidth="1"/>
    <col min="11990" max="11990" width="20.5546875" style="15" customWidth="1"/>
    <col min="11991" max="11991" width="11" style="15" customWidth="1"/>
    <col min="11992" max="11992" width="17.5546875" style="15" customWidth="1"/>
    <col min="11993" max="11993" width="18.88671875" style="15" customWidth="1"/>
    <col min="11994" max="11996" width="11" style="15" customWidth="1"/>
    <col min="11997" max="12239" width="11" style="15"/>
    <col min="12240" max="12240" width="65.33203125" style="15" customWidth="1"/>
    <col min="12241" max="12241" width="15" style="15" customWidth="1"/>
    <col min="12242" max="12243" width="15.88671875" style="15" customWidth="1"/>
    <col min="12244" max="12244" width="8.5546875" style="15" customWidth="1"/>
    <col min="12245" max="12245" width="17.44140625" style="15" customWidth="1"/>
    <col min="12246" max="12246" width="20.5546875" style="15" customWidth="1"/>
    <col min="12247" max="12247" width="11" style="15" customWidth="1"/>
    <col min="12248" max="12248" width="17.5546875" style="15" customWidth="1"/>
    <col min="12249" max="12249" width="18.88671875" style="15" customWidth="1"/>
    <col min="12250" max="12252" width="11" style="15" customWidth="1"/>
    <col min="12253" max="12495" width="11" style="15"/>
    <col min="12496" max="12496" width="65.33203125" style="15" customWidth="1"/>
    <col min="12497" max="12497" width="15" style="15" customWidth="1"/>
    <col min="12498" max="12499" width="15.88671875" style="15" customWidth="1"/>
    <col min="12500" max="12500" width="8.5546875" style="15" customWidth="1"/>
    <col min="12501" max="12501" width="17.44140625" style="15" customWidth="1"/>
    <col min="12502" max="12502" width="20.5546875" style="15" customWidth="1"/>
    <col min="12503" max="12503" width="11" style="15" customWidth="1"/>
    <col min="12504" max="12504" width="17.5546875" style="15" customWidth="1"/>
    <col min="12505" max="12505" width="18.88671875" style="15" customWidth="1"/>
    <col min="12506" max="12508" width="11" style="15" customWidth="1"/>
    <col min="12509" max="12751" width="11" style="15"/>
    <col min="12752" max="12752" width="65.33203125" style="15" customWidth="1"/>
    <col min="12753" max="12753" width="15" style="15" customWidth="1"/>
    <col min="12754" max="12755" width="15.88671875" style="15" customWidth="1"/>
    <col min="12756" max="12756" width="8.5546875" style="15" customWidth="1"/>
    <col min="12757" max="12757" width="17.44140625" style="15" customWidth="1"/>
    <col min="12758" max="12758" width="20.5546875" style="15" customWidth="1"/>
    <col min="12759" max="12759" width="11" style="15" customWidth="1"/>
    <col min="12760" max="12760" width="17.5546875" style="15" customWidth="1"/>
    <col min="12761" max="12761" width="18.88671875" style="15" customWidth="1"/>
    <col min="12762" max="12764" width="11" style="15" customWidth="1"/>
    <col min="12765" max="13007" width="11" style="15"/>
    <col min="13008" max="13008" width="65.33203125" style="15" customWidth="1"/>
    <col min="13009" max="13009" width="15" style="15" customWidth="1"/>
    <col min="13010" max="13011" width="15.88671875" style="15" customWidth="1"/>
    <col min="13012" max="13012" width="8.5546875" style="15" customWidth="1"/>
    <col min="13013" max="13013" width="17.44140625" style="15" customWidth="1"/>
    <col min="13014" max="13014" width="20.5546875" style="15" customWidth="1"/>
    <col min="13015" max="13015" width="11" style="15" customWidth="1"/>
    <col min="13016" max="13016" width="17.5546875" style="15" customWidth="1"/>
    <col min="13017" max="13017" width="18.88671875" style="15" customWidth="1"/>
    <col min="13018" max="13020" width="11" style="15" customWidth="1"/>
    <col min="13021" max="13263" width="11" style="15"/>
    <col min="13264" max="13264" width="65.33203125" style="15" customWidth="1"/>
    <col min="13265" max="13265" width="15" style="15" customWidth="1"/>
    <col min="13266" max="13267" width="15.88671875" style="15" customWidth="1"/>
    <col min="13268" max="13268" width="8.5546875" style="15" customWidth="1"/>
    <col min="13269" max="13269" width="17.44140625" style="15" customWidth="1"/>
    <col min="13270" max="13270" width="20.5546875" style="15" customWidth="1"/>
    <col min="13271" max="13271" width="11" style="15" customWidth="1"/>
    <col min="13272" max="13272" width="17.5546875" style="15" customWidth="1"/>
    <col min="13273" max="13273" width="18.88671875" style="15" customWidth="1"/>
    <col min="13274" max="13276" width="11" style="15" customWidth="1"/>
    <col min="13277" max="13519" width="11" style="15"/>
    <col min="13520" max="13520" width="65.33203125" style="15" customWidth="1"/>
    <col min="13521" max="13521" width="15" style="15" customWidth="1"/>
    <col min="13522" max="13523" width="15.88671875" style="15" customWidth="1"/>
    <col min="13524" max="13524" width="8.5546875" style="15" customWidth="1"/>
    <col min="13525" max="13525" width="17.44140625" style="15" customWidth="1"/>
    <col min="13526" max="13526" width="20.5546875" style="15" customWidth="1"/>
    <col min="13527" max="13527" width="11" style="15" customWidth="1"/>
    <col min="13528" max="13528" width="17.5546875" style="15" customWidth="1"/>
    <col min="13529" max="13529" width="18.88671875" style="15" customWidth="1"/>
    <col min="13530" max="13532" width="11" style="15" customWidth="1"/>
    <col min="13533" max="13775" width="11" style="15"/>
    <col min="13776" max="13776" width="65.33203125" style="15" customWidth="1"/>
    <col min="13777" max="13777" width="15" style="15" customWidth="1"/>
    <col min="13778" max="13779" width="15.88671875" style="15" customWidth="1"/>
    <col min="13780" max="13780" width="8.5546875" style="15" customWidth="1"/>
    <col min="13781" max="13781" width="17.44140625" style="15" customWidth="1"/>
    <col min="13782" max="13782" width="20.5546875" style="15" customWidth="1"/>
    <col min="13783" max="13783" width="11" style="15" customWidth="1"/>
    <col min="13784" max="13784" width="17.5546875" style="15" customWidth="1"/>
    <col min="13785" max="13785" width="18.88671875" style="15" customWidth="1"/>
    <col min="13786" max="13788" width="11" style="15" customWidth="1"/>
    <col min="13789" max="14031" width="11" style="15"/>
    <col min="14032" max="14032" width="65.33203125" style="15" customWidth="1"/>
    <col min="14033" max="14033" width="15" style="15" customWidth="1"/>
    <col min="14034" max="14035" width="15.88671875" style="15" customWidth="1"/>
    <col min="14036" max="14036" width="8.5546875" style="15" customWidth="1"/>
    <col min="14037" max="14037" width="17.44140625" style="15" customWidth="1"/>
    <col min="14038" max="14038" width="20.5546875" style="15" customWidth="1"/>
    <col min="14039" max="14039" width="11" style="15" customWidth="1"/>
    <col min="14040" max="14040" width="17.5546875" style="15" customWidth="1"/>
    <col min="14041" max="14041" width="18.88671875" style="15" customWidth="1"/>
    <col min="14042" max="14044" width="11" style="15" customWidth="1"/>
    <col min="14045" max="14287" width="11" style="15"/>
    <col min="14288" max="14288" width="65.33203125" style="15" customWidth="1"/>
    <col min="14289" max="14289" width="15" style="15" customWidth="1"/>
    <col min="14290" max="14291" width="15.88671875" style="15" customWidth="1"/>
    <col min="14292" max="14292" width="8.5546875" style="15" customWidth="1"/>
    <col min="14293" max="14293" width="17.44140625" style="15" customWidth="1"/>
    <col min="14294" max="14294" width="20.5546875" style="15" customWidth="1"/>
    <col min="14295" max="14295" width="11" style="15" customWidth="1"/>
    <col min="14296" max="14296" width="17.5546875" style="15" customWidth="1"/>
    <col min="14297" max="14297" width="18.88671875" style="15" customWidth="1"/>
    <col min="14298" max="14300" width="11" style="15" customWidth="1"/>
    <col min="14301" max="14543" width="11" style="15"/>
    <col min="14544" max="14544" width="65.33203125" style="15" customWidth="1"/>
    <col min="14545" max="14545" width="15" style="15" customWidth="1"/>
    <col min="14546" max="14547" width="15.88671875" style="15" customWidth="1"/>
    <col min="14548" max="14548" width="8.5546875" style="15" customWidth="1"/>
    <col min="14549" max="14549" width="17.44140625" style="15" customWidth="1"/>
    <col min="14550" max="14550" width="20.5546875" style="15" customWidth="1"/>
    <col min="14551" max="14551" width="11" style="15" customWidth="1"/>
    <col min="14552" max="14552" width="17.5546875" style="15" customWidth="1"/>
    <col min="14553" max="14553" width="18.88671875" style="15" customWidth="1"/>
    <col min="14554" max="14556" width="11" style="15" customWidth="1"/>
    <col min="14557" max="14799" width="11" style="15"/>
    <col min="14800" max="14800" width="65.33203125" style="15" customWidth="1"/>
    <col min="14801" max="14801" width="15" style="15" customWidth="1"/>
    <col min="14802" max="14803" width="15.88671875" style="15" customWidth="1"/>
    <col min="14804" max="14804" width="8.5546875" style="15" customWidth="1"/>
    <col min="14805" max="14805" width="17.44140625" style="15" customWidth="1"/>
    <col min="14806" max="14806" width="20.5546875" style="15" customWidth="1"/>
    <col min="14807" max="14807" width="11" style="15" customWidth="1"/>
    <col min="14808" max="14808" width="17.5546875" style="15" customWidth="1"/>
    <col min="14809" max="14809" width="18.88671875" style="15" customWidth="1"/>
    <col min="14810" max="14812" width="11" style="15" customWidth="1"/>
    <col min="14813" max="15055" width="11" style="15"/>
    <col min="15056" max="15056" width="65.33203125" style="15" customWidth="1"/>
    <col min="15057" max="15057" width="15" style="15" customWidth="1"/>
    <col min="15058" max="15059" width="15.88671875" style="15" customWidth="1"/>
    <col min="15060" max="15060" width="8.5546875" style="15" customWidth="1"/>
    <col min="15061" max="15061" width="17.44140625" style="15" customWidth="1"/>
    <col min="15062" max="15062" width="20.5546875" style="15" customWidth="1"/>
    <col min="15063" max="15063" width="11" style="15" customWidth="1"/>
    <col min="15064" max="15064" width="17.5546875" style="15" customWidth="1"/>
    <col min="15065" max="15065" width="18.88671875" style="15" customWidth="1"/>
    <col min="15066" max="15068" width="11" style="15" customWidth="1"/>
    <col min="15069" max="15311" width="11" style="15"/>
    <col min="15312" max="15312" width="65.33203125" style="15" customWidth="1"/>
    <col min="15313" max="15313" width="15" style="15" customWidth="1"/>
    <col min="15314" max="15315" width="15.88671875" style="15" customWidth="1"/>
    <col min="15316" max="15316" width="8.5546875" style="15" customWidth="1"/>
    <col min="15317" max="15317" width="17.44140625" style="15" customWidth="1"/>
    <col min="15318" max="15318" width="20.5546875" style="15" customWidth="1"/>
    <col min="15319" max="15319" width="11" style="15" customWidth="1"/>
    <col min="15320" max="15320" width="17.5546875" style="15" customWidth="1"/>
    <col min="15321" max="15321" width="18.88671875" style="15" customWidth="1"/>
    <col min="15322" max="15324" width="11" style="15" customWidth="1"/>
    <col min="15325" max="15567" width="11" style="15"/>
    <col min="15568" max="15568" width="65.33203125" style="15" customWidth="1"/>
    <col min="15569" max="15569" width="15" style="15" customWidth="1"/>
    <col min="15570" max="15571" width="15.88671875" style="15" customWidth="1"/>
    <col min="15572" max="15572" width="8.5546875" style="15" customWidth="1"/>
    <col min="15573" max="15573" width="17.44140625" style="15" customWidth="1"/>
    <col min="15574" max="15574" width="20.5546875" style="15" customWidth="1"/>
    <col min="15575" max="15575" width="11" style="15" customWidth="1"/>
    <col min="15576" max="15576" width="17.5546875" style="15" customWidth="1"/>
    <col min="15577" max="15577" width="18.88671875" style="15" customWidth="1"/>
    <col min="15578" max="15580" width="11" style="15" customWidth="1"/>
    <col min="15581" max="15823" width="11" style="15"/>
    <col min="15824" max="15824" width="65.33203125" style="15" customWidth="1"/>
    <col min="15825" max="15825" width="15" style="15" customWidth="1"/>
    <col min="15826" max="15827" width="15.88671875" style="15" customWidth="1"/>
    <col min="15828" max="15828" width="8.5546875" style="15" customWidth="1"/>
    <col min="15829" max="15829" width="17.44140625" style="15" customWidth="1"/>
    <col min="15830" max="15830" width="20.5546875" style="15" customWidth="1"/>
    <col min="15831" max="15831" width="11" style="15" customWidth="1"/>
    <col min="15832" max="15832" width="17.5546875" style="15" customWidth="1"/>
    <col min="15833" max="15833" width="18.88671875" style="15" customWidth="1"/>
    <col min="15834" max="15836" width="11" style="15" customWidth="1"/>
    <col min="15837" max="16079" width="11" style="15"/>
    <col min="16080" max="16080" width="65.33203125" style="15" customWidth="1"/>
    <col min="16081" max="16081" width="15" style="15" customWidth="1"/>
    <col min="16082" max="16083" width="15.88671875" style="15" customWidth="1"/>
    <col min="16084" max="16084" width="8.5546875" style="15" customWidth="1"/>
    <col min="16085" max="16085" width="17.44140625" style="15" customWidth="1"/>
    <col min="16086" max="16086" width="20.5546875" style="15" customWidth="1"/>
    <col min="16087" max="16087" width="11" style="15" customWidth="1"/>
    <col min="16088" max="16088" width="17.5546875" style="15" customWidth="1"/>
    <col min="16089" max="16089" width="18.88671875" style="15" customWidth="1"/>
    <col min="16090" max="16092" width="11" style="15" customWidth="1"/>
    <col min="16093" max="16384" width="11" style="15"/>
  </cols>
  <sheetData>
    <row r="1" spans="1:6" s="5" customFormat="1" ht="15" customHeight="1" x14ac:dyDescent="0.2">
      <c r="A1" s="31" t="s">
        <v>40</v>
      </c>
      <c r="B1" s="31"/>
      <c r="C1" s="31"/>
      <c r="D1" s="31"/>
    </row>
    <row r="2" spans="1:6" s="5" customFormat="1" ht="15" customHeight="1" x14ac:dyDescent="0.2">
      <c r="A2" s="31"/>
      <c r="B2" s="31"/>
      <c r="C2" s="31"/>
      <c r="D2" s="31"/>
    </row>
    <row r="3" spans="1:6" s="5" customFormat="1" ht="9.3000000000000007" customHeight="1" x14ac:dyDescent="0.3">
      <c r="A3" s="20"/>
      <c r="B3" s="20"/>
      <c r="C3" s="20"/>
      <c r="D3" s="20"/>
    </row>
    <row r="4" spans="1:6" s="7" customFormat="1" ht="13.05" customHeight="1" x14ac:dyDescent="0.25">
      <c r="A4" s="3" t="s">
        <v>0</v>
      </c>
      <c r="B4" s="7">
        <v>2022</v>
      </c>
      <c r="C4" s="7">
        <v>2023</v>
      </c>
      <c r="D4" s="7">
        <v>2024</v>
      </c>
    </row>
    <row r="5" spans="1:6" s="7" customFormat="1" ht="9.3000000000000007" customHeight="1" x14ac:dyDescent="0.25"/>
    <row r="6" spans="1:6" s="5" customFormat="1" ht="13.05" customHeight="1" x14ac:dyDescent="0.25">
      <c r="A6" s="8" t="s">
        <v>1</v>
      </c>
      <c r="B6" s="9">
        <f>SUM(B8+B20+B26+B34+B38+B39)</f>
        <v>687070</v>
      </c>
      <c r="C6" s="9">
        <f>SUM(C8+C20+C26+C34+C38+C39)</f>
        <v>720687.191291</v>
      </c>
      <c r="D6" s="9">
        <f>SUM(D8+D20+D26+D34+D38+D39)</f>
        <v>796354.26277999999</v>
      </c>
      <c r="F6" s="9"/>
    </row>
    <row r="7" spans="1:6" s="5" customFormat="1" ht="9.3000000000000007" customHeight="1" x14ac:dyDescent="0.25">
      <c r="A7" s="8"/>
      <c r="F7" s="9"/>
    </row>
    <row r="8" spans="1:6" s="5" customFormat="1" ht="13.05" customHeight="1" x14ac:dyDescent="0.25">
      <c r="A8" s="8" t="s">
        <v>2</v>
      </c>
      <c r="B8" s="1">
        <f t="shared" ref="B8:C8" si="0">SUM(B9+B14+B19)</f>
        <v>620939</v>
      </c>
      <c r="C8" s="1">
        <f t="shared" si="0"/>
        <v>647021.27588299999</v>
      </c>
      <c r="D8" s="1">
        <f t="shared" ref="D8" si="1">SUM(D9+D14+D19)</f>
        <v>693937.293939</v>
      </c>
      <c r="F8" s="9"/>
    </row>
    <row r="9" spans="1:6" s="5" customFormat="1" ht="13.05" customHeight="1" x14ac:dyDescent="0.25">
      <c r="A9" s="10" t="s">
        <v>3</v>
      </c>
      <c r="B9" s="24">
        <f>SUM(B10:B13)</f>
        <v>248343</v>
      </c>
      <c r="C9" s="24">
        <f>SUM(C10:C13)</f>
        <v>262380.85885700001</v>
      </c>
      <c r="D9" s="24">
        <f>SUM(D10:D13)</f>
        <v>272599.98863400001</v>
      </c>
      <c r="F9" s="9"/>
    </row>
    <row r="10" spans="1:6" s="5" customFormat="1" ht="13.05" customHeight="1" x14ac:dyDescent="0.25">
      <c r="A10" s="3" t="s">
        <v>4</v>
      </c>
      <c r="B10" s="24">
        <v>194741</v>
      </c>
      <c r="C10" s="24">
        <v>204919.11754000001</v>
      </c>
      <c r="D10" s="21">
        <v>212789.74980399999</v>
      </c>
      <c r="F10" s="9"/>
    </row>
    <row r="11" spans="1:6" s="5" customFormat="1" ht="13.05" customHeight="1" x14ac:dyDescent="0.25">
      <c r="A11" s="3" t="s">
        <v>5</v>
      </c>
      <c r="B11" s="24">
        <v>35075</v>
      </c>
      <c r="C11" s="24">
        <v>38267.844865999999</v>
      </c>
      <c r="D11" s="21">
        <v>40551.153517999999</v>
      </c>
      <c r="F11" s="9"/>
    </row>
    <row r="12" spans="1:6" s="5" customFormat="1" ht="13.05" customHeight="1" x14ac:dyDescent="0.25">
      <c r="A12" s="3" t="s">
        <v>6</v>
      </c>
      <c r="B12" s="24">
        <v>2359</v>
      </c>
      <c r="C12" s="24">
        <v>2687.3104469999998</v>
      </c>
      <c r="D12" s="21">
        <v>2799.5123520000002</v>
      </c>
      <c r="F12" s="9"/>
    </row>
    <row r="13" spans="1:6" s="5" customFormat="1" ht="13.05" customHeight="1" x14ac:dyDescent="0.25">
      <c r="A13" s="3" t="s">
        <v>7</v>
      </c>
      <c r="B13" s="24">
        <v>16168</v>
      </c>
      <c r="C13" s="24">
        <v>16506.586004000001</v>
      </c>
      <c r="D13" s="21">
        <v>16459.572960000001</v>
      </c>
      <c r="F13" s="9"/>
    </row>
    <row r="14" spans="1:6" s="5" customFormat="1" ht="13.05" customHeight="1" x14ac:dyDescent="0.25">
      <c r="A14" s="10" t="s">
        <v>8</v>
      </c>
      <c r="B14" s="24">
        <f>SUM(B15:B18)</f>
        <v>358026</v>
      </c>
      <c r="C14" s="24">
        <f>SUM(C15:C18)</f>
        <v>370213.54213100002</v>
      </c>
      <c r="D14" s="24">
        <f>SUM(D15:D18)</f>
        <v>405110.78390499996</v>
      </c>
      <c r="F14" s="9"/>
    </row>
    <row r="15" spans="1:6" s="5" customFormat="1" ht="13.05" customHeight="1" x14ac:dyDescent="0.25">
      <c r="A15" s="3" t="s">
        <v>9</v>
      </c>
      <c r="B15" s="24">
        <v>337151</v>
      </c>
      <c r="C15" s="24">
        <v>351129.20117399999</v>
      </c>
      <c r="D15" s="21">
        <v>383283.766542</v>
      </c>
      <c r="F15" s="9"/>
    </row>
    <row r="16" spans="1:6" s="5" customFormat="1" ht="13.05" customHeight="1" x14ac:dyDescent="0.25">
      <c r="A16" s="10" t="s">
        <v>10</v>
      </c>
      <c r="B16" s="5">
        <v>377</v>
      </c>
      <c r="C16" s="27">
        <v>421.88064100000003</v>
      </c>
      <c r="D16" s="21">
        <v>574.26000299999998</v>
      </c>
      <c r="F16" s="9"/>
    </row>
    <row r="17" spans="1:6" s="5" customFormat="1" ht="13.05" customHeight="1" x14ac:dyDescent="0.25">
      <c r="A17" s="10" t="s">
        <v>11</v>
      </c>
      <c r="B17" s="24">
        <v>18821</v>
      </c>
      <c r="C17" s="24">
        <v>17218.346810999999</v>
      </c>
      <c r="D17" s="21">
        <v>19722.155178000001</v>
      </c>
      <c r="F17" s="9"/>
    </row>
    <row r="18" spans="1:6" s="5" customFormat="1" ht="13.05" customHeight="1" x14ac:dyDescent="0.25">
      <c r="A18" s="10" t="s">
        <v>12</v>
      </c>
      <c r="B18" s="24">
        <v>1677</v>
      </c>
      <c r="C18" s="24">
        <v>1444.113505</v>
      </c>
      <c r="D18" s="21">
        <v>1530.6021820000001</v>
      </c>
      <c r="F18" s="9"/>
    </row>
    <row r="19" spans="1:6" s="5" customFormat="1" ht="13.05" customHeight="1" x14ac:dyDescent="0.25">
      <c r="A19" s="10" t="s">
        <v>13</v>
      </c>
      <c r="B19" s="24">
        <v>14570</v>
      </c>
      <c r="C19" s="24">
        <v>14426.874895000001</v>
      </c>
      <c r="D19" s="21">
        <v>16226.5214</v>
      </c>
      <c r="F19" s="9"/>
    </row>
    <row r="20" spans="1:6" s="5" customFormat="1" ht="13.05" customHeight="1" x14ac:dyDescent="0.25">
      <c r="A20" s="4" t="s">
        <v>14</v>
      </c>
      <c r="B20" s="24">
        <f>SUM(B21:B25)</f>
        <v>45333</v>
      </c>
      <c r="C20" s="24">
        <f>SUM(C21:C25)</f>
        <v>52742.382915000002</v>
      </c>
      <c r="D20" s="24">
        <f>SUM(D21:D25)</f>
        <v>62493.697402999998</v>
      </c>
      <c r="F20" s="9"/>
    </row>
    <row r="21" spans="1:6" s="5" customFormat="1" ht="12" customHeight="1" x14ac:dyDescent="0.25">
      <c r="A21" s="3" t="s">
        <v>15</v>
      </c>
      <c r="B21" s="24">
        <v>36728</v>
      </c>
      <c r="C21" s="24">
        <v>41376.565760999998</v>
      </c>
      <c r="D21" s="21">
        <v>47089.571240999998</v>
      </c>
      <c r="F21" s="9"/>
    </row>
    <row r="22" spans="1:6" s="5" customFormat="1" ht="13.05" customHeight="1" x14ac:dyDescent="0.25">
      <c r="A22" s="3" t="s">
        <v>16</v>
      </c>
      <c r="B22" s="24">
        <v>1037</v>
      </c>
      <c r="C22" s="24">
        <v>1022.977025</v>
      </c>
      <c r="D22" s="21">
        <v>4784.473371</v>
      </c>
      <c r="F22" s="9"/>
    </row>
    <row r="23" spans="1:6" s="5" customFormat="1" ht="13.05" customHeight="1" x14ac:dyDescent="0.25">
      <c r="A23" s="3" t="s">
        <v>17</v>
      </c>
      <c r="B23" s="24">
        <v>1150</v>
      </c>
      <c r="C23" s="24">
        <v>1972.0217170000001</v>
      </c>
      <c r="D23" s="21">
        <v>1150.0461</v>
      </c>
      <c r="F23" s="9"/>
    </row>
    <row r="24" spans="1:6" s="5" customFormat="1" ht="13.05" customHeight="1" x14ac:dyDescent="0.25">
      <c r="A24" s="3" t="s">
        <v>18</v>
      </c>
      <c r="B24" s="24">
        <v>3262</v>
      </c>
      <c r="C24" s="24">
        <v>4361.9459660000002</v>
      </c>
      <c r="D24" s="21">
        <v>4883.3950329999998</v>
      </c>
      <c r="F24" s="9"/>
    </row>
    <row r="25" spans="1:6" s="5" customFormat="1" ht="13.05" customHeight="1" x14ac:dyDescent="0.25">
      <c r="A25" s="3" t="s">
        <v>19</v>
      </c>
      <c r="B25" s="24">
        <v>3156</v>
      </c>
      <c r="C25" s="24">
        <v>4008.8724459999999</v>
      </c>
      <c r="D25" s="21">
        <v>4586.2116580000002</v>
      </c>
      <c r="F25" s="9"/>
    </row>
    <row r="26" spans="1:6" s="5" customFormat="1" ht="13.05" customHeight="1" x14ac:dyDescent="0.25">
      <c r="A26" s="3" t="s">
        <v>20</v>
      </c>
      <c r="B26" s="1">
        <f t="shared" ref="B26:C26" si="2">SUM(B27+B32)</f>
        <v>19524</v>
      </c>
      <c r="C26" s="1">
        <f t="shared" si="2"/>
        <v>19714.776577000001</v>
      </c>
      <c r="D26" s="1">
        <f t="shared" ref="D26" si="3">SUM(D27+D32)</f>
        <v>38412.421812000001</v>
      </c>
      <c r="F26" s="9"/>
    </row>
    <row r="27" spans="1:6" s="5" customFormat="1" ht="13.05" customHeight="1" x14ac:dyDescent="0.25">
      <c r="A27" s="3" t="s">
        <v>21</v>
      </c>
      <c r="B27" s="1">
        <f>SUM(B28:B30)</f>
        <v>19524</v>
      </c>
      <c r="C27" s="1">
        <v>19654.776577000001</v>
      </c>
      <c r="D27" s="21">
        <v>38112.421812000001</v>
      </c>
      <c r="F27" s="9"/>
    </row>
    <row r="28" spans="1:6" s="5" customFormat="1" ht="13.05" customHeight="1" x14ac:dyDescent="0.25">
      <c r="A28" s="11" t="s">
        <v>22</v>
      </c>
      <c r="B28" s="24">
        <v>9226</v>
      </c>
      <c r="C28" s="24">
        <v>9176.1029319999998</v>
      </c>
      <c r="D28" s="21">
        <v>21729.462624</v>
      </c>
      <c r="F28" s="9"/>
    </row>
    <row r="29" spans="1:6" s="5" customFormat="1" ht="13.05" customHeight="1" x14ac:dyDescent="0.25">
      <c r="A29" s="11" t="s">
        <v>23</v>
      </c>
      <c r="B29" s="24">
        <v>10298</v>
      </c>
      <c r="C29" s="24">
        <v>10078.673645000001</v>
      </c>
      <c r="D29" s="21">
        <v>15994.959188000001</v>
      </c>
      <c r="F29" s="9"/>
    </row>
    <row r="30" spans="1:6" s="5" customFormat="1" ht="13.05" customHeight="1" x14ac:dyDescent="0.25">
      <c r="A30" s="11" t="s">
        <v>24</v>
      </c>
      <c r="B30" s="23" t="s">
        <v>26</v>
      </c>
      <c r="C30" s="23" t="s">
        <v>26</v>
      </c>
      <c r="D30" s="34" t="s">
        <v>26</v>
      </c>
      <c r="F30" s="9"/>
    </row>
    <row r="31" spans="1:6" s="5" customFormat="1" ht="13.05" customHeight="1" x14ac:dyDescent="0.25">
      <c r="A31" s="11" t="s">
        <v>41</v>
      </c>
      <c r="B31" s="23" t="s">
        <v>26</v>
      </c>
      <c r="C31" s="23">
        <v>400</v>
      </c>
      <c r="D31" s="21">
        <v>388</v>
      </c>
      <c r="F31" s="9"/>
    </row>
    <row r="32" spans="1:6" s="5" customFormat="1" ht="13.05" customHeight="1" x14ac:dyDescent="0.25">
      <c r="A32" s="3" t="s">
        <v>25</v>
      </c>
      <c r="B32" s="23" t="s">
        <v>26</v>
      </c>
      <c r="C32" s="23">
        <v>60</v>
      </c>
      <c r="D32" s="21">
        <v>300</v>
      </c>
      <c r="F32" s="9"/>
    </row>
    <row r="33" spans="1:6" s="5" customFormat="1" ht="13.05" customHeight="1" x14ac:dyDescent="0.25">
      <c r="A33" s="28" t="s">
        <v>42</v>
      </c>
      <c r="B33" s="23" t="s">
        <v>26</v>
      </c>
      <c r="C33" s="23">
        <v>60</v>
      </c>
      <c r="D33" s="21">
        <v>300</v>
      </c>
      <c r="F33" s="9"/>
    </row>
    <row r="34" spans="1:6" s="5" customFormat="1" ht="13.05" customHeight="1" x14ac:dyDescent="0.25">
      <c r="A34" s="8" t="s">
        <v>27</v>
      </c>
      <c r="B34" s="5">
        <f>SUM(B35:B37)</f>
        <v>302</v>
      </c>
      <c r="C34" s="27">
        <f>SUM(C35:C37)</f>
        <v>309.90267399999999</v>
      </c>
      <c r="D34" s="27">
        <f>SUM(D35:D37)</f>
        <v>403.82577800000001</v>
      </c>
      <c r="E34" s="24"/>
      <c r="F34" s="9"/>
    </row>
    <row r="35" spans="1:6" s="5" customFormat="1" ht="13.05" customHeight="1" x14ac:dyDescent="0.25">
      <c r="A35" s="3" t="s">
        <v>28</v>
      </c>
      <c r="B35" s="5">
        <v>27</v>
      </c>
      <c r="C35" s="27">
        <v>85.269476999999995</v>
      </c>
      <c r="D35" s="21">
        <v>31.685493000000001</v>
      </c>
      <c r="E35" s="24"/>
      <c r="F35" s="9"/>
    </row>
    <row r="36" spans="1:6" s="5" customFormat="1" ht="13.05" customHeight="1" x14ac:dyDescent="0.25">
      <c r="A36" s="3" t="s">
        <v>29</v>
      </c>
      <c r="B36" s="5">
        <v>274</v>
      </c>
      <c r="C36" s="27">
        <v>223.16453300000001</v>
      </c>
      <c r="D36" s="21">
        <v>349.64437099999998</v>
      </c>
      <c r="E36" s="24"/>
      <c r="F36" s="9"/>
    </row>
    <row r="37" spans="1:6" s="5" customFormat="1" ht="13.05" customHeight="1" x14ac:dyDescent="0.25">
      <c r="A37" s="3" t="s">
        <v>30</v>
      </c>
      <c r="B37" s="5">
        <v>1</v>
      </c>
      <c r="C37" s="27">
        <v>1.468664</v>
      </c>
      <c r="D37" s="21">
        <v>22.495913999999999</v>
      </c>
      <c r="E37" s="24"/>
      <c r="F37" s="9"/>
    </row>
    <row r="38" spans="1:6" s="5" customFormat="1" ht="13.05" customHeight="1" x14ac:dyDescent="0.25">
      <c r="A38" s="3" t="s">
        <v>31</v>
      </c>
      <c r="B38" s="5">
        <v>921</v>
      </c>
      <c r="C38" s="27">
        <v>848.06623200000001</v>
      </c>
      <c r="D38" s="21">
        <v>1056.236838</v>
      </c>
      <c r="E38" s="24"/>
      <c r="F38" s="9"/>
    </row>
    <row r="39" spans="1:6" s="5" customFormat="1" ht="13.05" customHeight="1" x14ac:dyDescent="0.25">
      <c r="A39" s="3" t="s">
        <v>32</v>
      </c>
      <c r="B39" s="5">
        <v>51</v>
      </c>
      <c r="C39" s="27">
        <v>50.787010000000002</v>
      </c>
      <c r="D39" s="21">
        <v>50.787010000000002</v>
      </c>
      <c r="E39" s="24"/>
      <c r="F39" s="9"/>
    </row>
    <row r="40" spans="1:6" s="13" customFormat="1" ht="9.3000000000000007" customHeight="1" x14ac:dyDescent="0.25">
      <c r="A40" s="3"/>
      <c r="B40" s="12"/>
      <c r="C40" s="12"/>
      <c r="D40" s="12"/>
      <c r="F40" s="9"/>
    </row>
    <row r="41" spans="1:6" s="13" customFormat="1" ht="13.05" customHeight="1" x14ac:dyDescent="0.25">
      <c r="A41" s="32" t="s">
        <v>33</v>
      </c>
      <c r="B41" s="32"/>
      <c r="C41" s="32"/>
      <c r="D41" s="32"/>
      <c r="F41" s="9"/>
    </row>
    <row r="42" spans="1:6" s="13" customFormat="1" ht="13.05" customHeight="1" x14ac:dyDescent="0.25">
      <c r="A42" s="33" t="s">
        <v>34</v>
      </c>
      <c r="B42" s="33"/>
      <c r="C42" s="33"/>
      <c r="D42" s="33"/>
      <c r="F42" s="9"/>
    </row>
    <row r="43" spans="1:6" s="13" customFormat="1" ht="9.3000000000000007" customHeight="1" x14ac:dyDescent="0.25">
      <c r="A43" s="8"/>
      <c r="B43" s="5"/>
      <c r="C43" s="5"/>
      <c r="D43" s="5"/>
      <c r="F43" s="9"/>
    </row>
    <row r="44" spans="1:6" x14ac:dyDescent="0.25">
      <c r="A44" s="7"/>
      <c r="B44" s="14"/>
      <c r="C44" s="14"/>
      <c r="D44" s="14"/>
      <c r="F44" s="9"/>
    </row>
    <row r="45" spans="1:6" ht="13.05" customHeight="1" x14ac:dyDescent="0.25">
      <c r="A45" s="7"/>
      <c r="B45" s="14"/>
      <c r="C45" s="14"/>
      <c r="D45" s="14"/>
      <c r="F45" s="9"/>
    </row>
    <row r="46" spans="1:6" ht="9.3000000000000007" customHeight="1" x14ac:dyDescent="0.25">
      <c r="A46" s="16"/>
      <c r="F46" s="9"/>
    </row>
    <row r="50" spans="2:4" ht="13.05" customHeight="1" x14ac:dyDescent="0.25"/>
    <row r="51" spans="2:4" ht="13.05" customHeight="1" x14ac:dyDescent="0.25">
      <c r="B51" s="15"/>
      <c r="C51" s="15"/>
      <c r="D51" s="15"/>
    </row>
    <row r="52" spans="2:4" ht="13.05" customHeight="1" x14ac:dyDescent="0.25">
      <c r="B52" s="15"/>
      <c r="C52" s="15"/>
      <c r="D52" s="15"/>
    </row>
    <row r="53" spans="2:4" ht="13.05" customHeight="1" x14ac:dyDescent="0.25">
      <c r="B53" s="15"/>
      <c r="C53" s="15"/>
      <c r="D53" s="15"/>
    </row>
    <row r="54" spans="2:4" ht="13.05" customHeight="1" x14ac:dyDescent="0.25">
      <c r="B54" s="15"/>
      <c r="C54" s="15"/>
      <c r="D54" s="15"/>
    </row>
    <row r="55" spans="2:4" ht="13.05" customHeight="1" x14ac:dyDescent="0.25">
      <c r="B55" s="15"/>
      <c r="C55" s="15"/>
      <c r="D55" s="15"/>
    </row>
    <row r="56" spans="2:4" ht="13.05" customHeight="1" x14ac:dyDescent="0.25">
      <c r="B56" s="15"/>
      <c r="C56" s="15"/>
      <c r="D56" s="15"/>
    </row>
    <row r="57" spans="2:4" ht="13.05" customHeight="1" x14ac:dyDescent="0.25">
      <c r="B57" s="15"/>
      <c r="C57" s="15"/>
      <c r="D57" s="15"/>
    </row>
    <row r="58" spans="2:4" ht="13.05" customHeight="1" x14ac:dyDescent="0.25">
      <c r="B58" s="15"/>
      <c r="C58" s="15"/>
      <c r="D58" s="15"/>
    </row>
    <row r="59" spans="2:4" ht="13.05" customHeight="1" x14ac:dyDescent="0.25">
      <c r="B59" s="15"/>
      <c r="C59" s="15"/>
      <c r="D59" s="15"/>
    </row>
    <row r="60" spans="2:4" ht="13.05" customHeight="1" x14ac:dyDescent="0.25">
      <c r="B60" s="15"/>
      <c r="C60" s="15"/>
      <c r="D60" s="15"/>
    </row>
    <row r="61" spans="2:4" ht="13.05" customHeight="1" x14ac:dyDescent="0.25">
      <c r="B61" s="15"/>
      <c r="C61" s="15"/>
      <c r="D61" s="15"/>
    </row>
    <row r="62" spans="2:4" ht="13.05" customHeight="1" x14ac:dyDescent="0.25">
      <c r="B62" s="15"/>
      <c r="C62" s="15"/>
      <c r="D62" s="15"/>
    </row>
    <row r="63" spans="2:4" ht="13.05" customHeight="1" x14ac:dyDescent="0.25">
      <c r="B63" s="15"/>
      <c r="C63" s="15"/>
      <c r="D63" s="15"/>
    </row>
    <row r="64" spans="2:4" ht="13.05" customHeight="1" x14ac:dyDescent="0.25">
      <c r="B64" s="15"/>
      <c r="C64" s="15"/>
      <c r="D64" s="15"/>
    </row>
    <row r="65" spans="2:4" ht="13.05" customHeight="1" x14ac:dyDescent="0.25">
      <c r="B65" s="15"/>
      <c r="C65" s="15"/>
      <c r="D65" s="15"/>
    </row>
    <row r="66" spans="2:4" ht="13.05" customHeight="1" x14ac:dyDescent="0.25">
      <c r="B66" s="15"/>
      <c r="C66" s="15"/>
      <c r="D66" s="15"/>
    </row>
    <row r="67" spans="2:4" ht="13.05" customHeight="1" x14ac:dyDescent="0.25">
      <c r="B67" s="15"/>
      <c r="C67" s="15"/>
      <c r="D67" s="15"/>
    </row>
    <row r="68" spans="2:4" ht="13.05" customHeight="1" x14ac:dyDescent="0.25">
      <c r="B68" s="15"/>
      <c r="C68" s="15"/>
      <c r="D68" s="15"/>
    </row>
    <row r="69" spans="2:4" ht="13.05" customHeight="1" x14ac:dyDescent="0.25">
      <c r="B69" s="15"/>
      <c r="C69" s="15"/>
      <c r="D69" s="15"/>
    </row>
    <row r="70" spans="2:4" ht="13.05" customHeight="1" x14ac:dyDescent="0.25">
      <c r="B70" s="15"/>
      <c r="C70" s="15"/>
      <c r="D70" s="15"/>
    </row>
    <row r="71" spans="2:4" ht="13.05" customHeight="1" x14ac:dyDescent="0.25">
      <c r="B71" s="15"/>
      <c r="C71" s="15"/>
      <c r="D71" s="15"/>
    </row>
    <row r="72" spans="2:4" ht="13.05" customHeight="1" x14ac:dyDescent="0.25">
      <c r="B72" s="15"/>
      <c r="C72" s="15"/>
      <c r="D72" s="15"/>
    </row>
    <row r="73" spans="2:4" ht="13.05" customHeight="1" x14ac:dyDescent="0.25">
      <c r="B73" s="15"/>
      <c r="C73" s="15"/>
      <c r="D73" s="15"/>
    </row>
    <row r="74" spans="2:4" ht="13.05" customHeight="1" x14ac:dyDescent="0.25">
      <c r="B74" s="15"/>
      <c r="C74" s="15"/>
      <c r="D74" s="15"/>
    </row>
    <row r="75" spans="2:4" ht="13.05" customHeight="1" x14ac:dyDescent="0.25">
      <c r="B75" s="15"/>
      <c r="C75" s="15"/>
      <c r="D75" s="15"/>
    </row>
    <row r="76" spans="2:4" ht="13.05" customHeight="1" x14ac:dyDescent="0.25">
      <c r="B76" s="15"/>
      <c r="C76" s="15"/>
      <c r="D76" s="15"/>
    </row>
    <row r="77" spans="2:4" ht="13.05" customHeight="1" x14ac:dyDescent="0.25">
      <c r="B77" s="15"/>
      <c r="C77" s="15"/>
      <c r="D77" s="15"/>
    </row>
    <row r="78" spans="2:4" ht="13.05" customHeight="1" x14ac:dyDescent="0.25">
      <c r="B78" s="15"/>
      <c r="C78" s="15"/>
      <c r="D78" s="15"/>
    </row>
    <row r="79" spans="2:4" ht="13.05" customHeight="1" x14ac:dyDescent="0.25">
      <c r="B79" s="15"/>
      <c r="C79" s="15"/>
      <c r="D79" s="15"/>
    </row>
    <row r="80" spans="2:4" ht="13.05" customHeight="1" x14ac:dyDescent="0.25">
      <c r="B80" s="15"/>
      <c r="C80" s="15"/>
      <c r="D80" s="15"/>
    </row>
    <row r="81" spans="2:4" ht="13.05" customHeight="1" x14ac:dyDescent="0.25">
      <c r="B81" s="15"/>
      <c r="C81" s="15"/>
      <c r="D81" s="15"/>
    </row>
    <row r="82" spans="2:4" ht="13.05" customHeight="1" x14ac:dyDescent="0.25">
      <c r="B82" s="15"/>
      <c r="C82" s="15"/>
      <c r="D82" s="15"/>
    </row>
    <row r="83" spans="2:4" ht="13.05" customHeight="1" x14ac:dyDescent="0.25">
      <c r="B83" s="15"/>
      <c r="C83" s="15"/>
      <c r="D83" s="15"/>
    </row>
    <row r="84" spans="2:4" ht="13.05" customHeight="1" x14ac:dyDescent="0.25">
      <c r="B84" s="15"/>
      <c r="C84" s="15"/>
      <c r="D84" s="15"/>
    </row>
    <row r="85" spans="2:4" ht="13.05" customHeight="1" x14ac:dyDescent="0.25">
      <c r="B85" s="15"/>
      <c r="C85" s="15"/>
      <c r="D85" s="15"/>
    </row>
    <row r="86" spans="2:4" ht="13.05" customHeight="1" x14ac:dyDescent="0.25">
      <c r="B86" s="15"/>
      <c r="C86" s="15"/>
      <c r="D86" s="15"/>
    </row>
    <row r="87" spans="2:4" ht="13.05" customHeight="1" x14ac:dyDescent="0.25">
      <c r="B87" s="15"/>
      <c r="C87" s="15"/>
      <c r="D87" s="15"/>
    </row>
    <row r="88" spans="2:4" ht="13.05" customHeight="1" x14ac:dyDescent="0.25">
      <c r="B88" s="15"/>
      <c r="C88" s="15"/>
      <c r="D88" s="15"/>
    </row>
    <row r="89" spans="2:4" ht="13.05" customHeight="1" x14ac:dyDescent="0.25">
      <c r="B89" s="15"/>
      <c r="C89" s="15"/>
      <c r="D89" s="15"/>
    </row>
    <row r="90" spans="2:4" ht="13.05" customHeight="1" x14ac:dyDescent="0.25">
      <c r="B90" s="15"/>
      <c r="C90" s="15"/>
      <c r="D90" s="15"/>
    </row>
    <row r="91" spans="2:4" ht="13.05" customHeight="1" x14ac:dyDescent="0.25">
      <c r="B91" s="15"/>
      <c r="C91" s="15"/>
      <c r="D91" s="15"/>
    </row>
    <row r="92" spans="2:4" ht="13.05" customHeight="1" x14ac:dyDescent="0.25">
      <c r="B92" s="15"/>
      <c r="C92" s="15"/>
      <c r="D92" s="15"/>
    </row>
    <row r="93" spans="2:4" ht="13.05" customHeight="1" x14ac:dyDescent="0.25">
      <c r="B93" s="15"/>
      <c r="C93" s="15"/>
      <c r="D93" s="15"/>
    </row>
    <row r="94" spans="2:4" ht="13.05" customHeight="1" x14ac:dyDescent="0.25">
      <c r="B94" s="15"/>
      <c r="C94" s="15"/>
      <c r="D94" s="15"/>
    </row>
    <row r="95" spans="2:4" ht="13.05" customHeight="1" x14ac:dyDescent="0.25">
      <c r="B95" s="15"/>
      <c r="C95" s="15"/>
      <c r="D95" s="15"/>
    </row>
    <row r="96" spans="2:4" ht="13.05" customHeight="1" x14ac:dyDescent="0.25">
      <c r="B96" s="15"/>
      <c r="C96" s="15"/>
      <c r="D96" s="15"/>
    </row>
    <row r="97" spans="2:4" ht="13.05" customHeight="1" x14ac:dyDescent="0.25">
      <c r="B97" s="15"/>
      <c r="C97" s="15"/>
      <c r="D97" s="15"/>
    </row>
    <row r="98" spans="2:4" ht="13.05" customHeight="1" x14ac:dyDescent="0.25">
      <c r="B98" s="15"/>
      <c r="C98" s="15"/>
      <c r="D98" s="15"/>
    </row>
    <row r="99" spans="2:4" ht="13.05" customHeight="1" x14ac:dyDescent="0.25">
      <c r="B99" s="15"/>
      <c r="C99" s="15"/>
      <c r="D99" s="15"/>
    </row>
    <row r="100" spans="2:4" ht="13.05" customHeight="1" x14ac:dyDescent="0.25">
      <c r="B100" s="15"/>
      <c r="C100" s="15"/>
      <c r="D100" s="15"/>
    </row>
    <row r="101" spans="2:4" ht="13.05" customHeight="1" x14ac:dyDescent="0.25">
      <c r="B101" s="15"/>
      <c r="C101" s="15"/>
      <c r="D101" s="15"/>
    </row>
    <row r="102" spans="2:4" ht="13.05" customHeight="1" x14ac:dyDescent="0.25">
      <c r="B102" s="15"/>
      <c r="C102" s="15"/>
      <c r="D102" s="15"/>
    </row>
    <row r="103" spans="2:4" ht="13.05" customHeight="1" x14ac:dyDescent="0.25">
      <c r="B103" s="15"/>
      <c r="C103" s="15"/>
      <c r="D103" s="15"/>
    </row>
    <row r="104" spans="2:4" ht="13.05" customHeight="1" x14ac:dyDescent="0.25">
      <c r="B104" s="15"/>
      <c r="C104" s="15"/>
      <c r="D104" s="15"/>
    </row>
    <row r="105" spans="2:4" ht="13.05" customHeight="1" x14ac:dyDescent="0.25">
      <c r="B105" s="15"/>
      <c r="C105" s="15"/>
      <c r="D105" s="15"/>
    </row>
    <row r="106" spans="2:4" ht="13.05" customHeight="1" x14ac:dyDescent="0.25">
      <c r="B106" s="15"/>
      <c r="C106" s="15"/>
      <c r="D106" s="15"/>
    </row>
    <row r="107" spans="2:4" ht="13.05" customHeight="1" x14ac:dyDescent="0.25">
      <c r="B107" s="15"/>
      <c r="C107" s="15"/>
      <c r="D107" s="15"/>
    </row>
    <row r="108" spans="2:4" ht="13.05" customHeight="1" x14ac:dyDescent="0.25">
      <c r="B108" s="15"/>
      <c r="C108" s="15"/>
      <c r="D108" s="15"/>
    </row>
    <row r="109" spans="2:4" ht="13.05" customHeight="1" x14ac:dyDescent="0.25">
      <c r="B109" s="15"/>
      <c r="C109" s="15"/>
      <c r="D109" s="15"/>
    </row>
    <row r="110" spans="2:4" ht="13.05" customHeight="1" x14ac:dyDescent="0.25">
      <c r="B110" s="15"/>
      <c r="C110" s="15"/>
      <c r="D110" s="15"/>
    </row>
    <row r="111" spans="2:4" ht="13.05" customHeight="1" x14ac:dyDescent="0.25">
      <c r="B111" s="15"/>
      <c r="C111" s="15"/>
      <c r="D111" s="15"/>
    </row>
    <row r="112" spans="2:4" ht="13.05" customHeight="1" x14ac:dyDescent="0.25">
      <c r="B112" s="15"/>
      <c r="C112" s="15"/>
      <c r="D112" s="15"/>
    </row>
    <row r="113" spans="2:4" ht="13.05" customHeight="1" x14ac:dyDescent="0.25">
      <c r="B113" s="15"/>
      <c r="C113" s="15"/>
      <c r="D113" s="15"/>
    </row>
    <row r="114" spans="2:4" ht="13.05" customHeight="1" x14ac:dyDescent="0.25">
      <c r="B114" s="15"/>
      <c r="C114" s="15"/>
      <c r="D114" s="15"/>
    </row>
    <row r="115" spans="2:4" ht="13.05" customHeight="1" x14ac:dyDescent="0.25">
      <c r="B115" s="15"/>
      <c r="C115" s="15"/>
      <c r="D115" s="15"/>
    </row>
    <row r="116" spans="2:4" ht="13.05" customHeight="1" x14ac:dyDescent="0.25">
      <c r="B116" s="15"/>
      <c r="C116" s="15"/>
      <c r="D116" s="15"/>
    </row>
    <row r="117" spans="2:4" ht="13.05" customHeight="1" x14ac:dyDescent="0.25">
      <c r="B117" s="15"/>
      <c r="C117" s="15"/>
      <c r="D117" s="15"/>
    </row>
    <row r="118" spans="2:4" ht="13.05" customHeight="1" x14ac:dyDescent="0.25">
      <c r="B118" s="15"/>
      <c r="C118" s="15"/>
      <c r="D118" s="15"/>
    </row>
    <row r="119" spans="2:4" ht="13.05" customHeight="1" x14ac:dyDescent="0.25">
      <c r="B119" s="15"/>
      <c r="C119" s="15"/>
      <c r="D119" s="15"/>
    </row>
    <row r="120" spans="2:4" ht="13.05" customHeight="1" x14ac:dyDescent="0.25">
      <c r="B120" s="15"/>
      <c r="C120" s="15"/>
      <c r="D120" s="15"/>
    </row>
    <row r="121" spans="2:4" ht="13.05" customHeight="1" x14ac:dyDescent="0.25">
      <c r="B121" s="15"/>
      <c r="C121" s="15"/>
      <c r="D121" s="15"/>
    </row>
    <row r="122" spans="2:4" ht="13.05" customHeight="1" x14ac:dyDescent="0.25">
      <c r="B122" s="15"/>
      <c r="C122" s="15"/>
      <c r="D122" s="15"/>
    </row>
    <row r="123" spans="2:4" ht="13.05" customHeight="1" x14ac:dyDescent="0.25">
      <c r="B123" s="15"/>
      <c r="C123" s="15"/>
      <c r="D123" s="15"/>
    </row>
    <row r="124" spans="2:4" ht="13.05" customHeight="1" x14ac:dyDescent="0.25">
      <c r="B124" s="15"/>
      <c r="C124" s="15"/>
      <c r="D124" s="15"/>
    </row>
    <row r="125" spans="2:4" ht="13.05" customHeight="1" x14ac:dyDescent="0.25">
      <c r="B125" s="15"/>
      <c r="C125" s="15"/>
      <c r="D125" s="15"/>
    </row>
    <row r="126" spans="2:4" ht="13.05" customHeight="1" x14ac:dyDescent="0.25">
      <c r="B126" s="15"/>
      <c r="C126" s="15"/>
      <c r="D126" s="15"/>
    </row>
    <row r="127" spans="2:4" ht="13.05" customHeight="1" x14ac:dyDescent="0.25">
      <c r="B127" s="15"/>
      <c r="C127" s="15"/>
      <c r="D127" s="15"/>
    </row>
    <row r="128" spans="2:4" ht="13.05" customHeight="1" x14ac:dyDescent="0.25">
      <c r="B128" s="15"/>
      <c r="C128" s="15"/>
      <c r="D128" s="15"/>
    </row>
    <row r="129" spans="2:4" ht="13.05" customHeight="1" x14ac:dyDescent="0.25">
      <c r="B129" s="15"/>
      <c r="C129" s="15"/>
      <c r="D129" s="15"/>
    </row>
    <row r="130" spans="2:4" ht="13.05" customHeight="1" x14ac:dyDescent="0.25">
      <c r="B130" s="15"/>
      <c r="C130" s="15"/>
      <c r="D130" s="15"/>
    </row>
    <row r="131" spans="2:4" ht="13.05" customHeight="1" x14ac:dyDescent="0.25">
      <c r="B131" s="15"/>
      <c r="C131" s="15"/>
      <c r="D131" s="15"/>
    </row>
    <row r="132" spans="2:4" ht="13.05" customHeight="1" x14ac:dyDescent="0.25">
      <c r="B132" s="15"/>
      <c r="C132" s="15"/>
      <c r="D132" s="15"/>
    </row>
    <row r="133" spans="2:4" ht="13.05" customHeight="1" x14ac:dyDescent="0.25">
      <c r="B133" s="15"/>
      <c r="C133" s="15"/>
      <c r="D133" s="15"/>
    </row>
    <row r="134" spans="2:4" ht="13.05" customHeight="1" x14ac:dyDescent="0.25">
      <c r="B134" s="15"/>
      <c r="C134" s="15"/>
      <c r="D134" s="15"/>
    </row>
    <row r="135" spans="2:4" ht="13.05" customHeight="1" x14ac:dyDescent="0.25">
      <c r="B135" s="15"/>
      <c r="C135" s="15"/>
      <c r="D135" s="15"/>
    </row>
    <row r="136" spans="2:4" ht="13.05" customHeight="1" x14ac:dyDescent="0.25">
      <c r="B136" s="15"/>
      <c r="C136" s="15"/>
      <c r="D136" s="15"/>
    </row>
    <row r="137" spans="2:4" ht="13.05" customHeight="1" x14ac:dyDescent="0.25">
      <c r="B137" s="15"/>
      <c r="C137" s="15"/>
      <c r="D137" s="15"/>
    </row>
    <row r="138" spans="2:4" ht="13.05" customHeight="1" x14ac:dyDescent="0.25">
      <c r="B138" s="15"/>
      <c r="C138" s="15"/>
      <c r="D138" s="15"/>
    </row>
    <row r="139" spans="2:4" ht="13.05" customHeight="1" x14ac:dyDescent="0.25">
      <c r="B139" s="15"/>
      <c r="C139" s="15"/>
      <c r="D139" s="15"/>
    </row>
    <row r="140" spans="2:4" ht="13.05" customHeight="1" x14ac:dyDescent="0.25">
      <c r="B140" s="15"/>
      <c r="C140" s="15"/>
      <c r="D140" s="15"/>
    </row>
    <row r="141" spans="2:4" ht="13.05" customHeight="1" x14ac:dyDescent="0.25">
      <c r="B141" s="15"/>
      <c r="C141" s="15"/>
      <c r="D141" s="15"/>
    </row>
    <row r="142" spans="2:4" ht="13.05" customHeight="1" x14ac:dyDescent="0.25">
      <c r="B142" s="15"/>
      <c r="C142" s="15"/>
      <c r="D142" s="15"/>
    </row>
    <row r="143" spans="2:4" ht="13.05" customHeight="1" x14ac:dyDescent="0.25">
      <c r="B143" s="15"/>
      <c r="C143" s="15"/>
      <c r="D143" s="15"/>
    </row>
    <row r="144" spans="2:4" ht="13.05" customHeight="1" x14ac:dyDescent="0.25">
      <c r="B144" s="15"/>
      <c r="C144" s="15"/>
      <c r="D144" s="15"/>
    </row>
    <row r="145" spans="2:4" ht="13.05" customHeight="1" x14ac:dyDescent="0.25">
      <c r="B145" s="15"/>
      <c r="C145" s="15"/>
      <c r="D145" s="15"/>
    </row>
    <row r="146" spans="2:4" ht="13.05" customHeight="1" x14ac:dyDescent="0.25">
      <c r="B146" s="15"/>
      <c r="C146" s="15"/>
      <c r="D146" s="15"/>
    </row>
    <row r="147" spans="2:4" ht="13.05" customHeight="1" x14ac:dyDescent="0.25">
      <c r="B147" s="15"/>
      <c r="C147" s="15"/>
      <c r="D147" s="15"/>
    </row>
    <row r="148" spans="2:4" ht="13.05" customHeight="1" x14ac:dyDescent="0.25">
      <c r="B148" s="15"/>
      <c r="C148" s="15"/>
      <c r="D148" s="15"/>
    </row>
    <row r="149" spans="2:4" ht="13.05" customHeight="1" x14ac:dyDescent="0.25">
      <c r="B149" s="15"/>
      <c r="C149" s="15"/>
      <c r="D149" s="15"/>
    </row>
    <row r="150" spans="2:4" ht="13.05" customHeight="1" x14ac:dyDescent="0.25">
      <c r="B150" s="15"/>
      <c r="C150" s="15"/>
      <c r="D150" s="15"/>
    </row>
    <row r="151" spans="2:4" ht="13.05" customHeight="1" x14ac:dyDescent="0.25">
      <c r="B151" s="15"/>
      <c r="C151" s="15"/>
      <c r="D151" s="15"/>
    </row>
    <row r="152" spans="2:4" ht="13.05" customHeight="1" x14ac:dyDescent="0.25">
      <c r="B152" s="15"/>
      <c r="C152" s="15"/>
      <c r="D152" s="15"/>
    </row>
    <row r="153" spans="2:4" ht="13.05" customHeight="1" x14ac:dyDescent="0.25">
      <c r="B153" s="15"/>
      <c r="C153" s="15"/>
      <c r="D153" s="15"/>
    </row>
    <row r="154" spans="2:4" ht="13.05" customHeight="1" x14ac:dyDescent="0.25">
      <c r="B154" s="15"/>
      <c r="C154" s="15"/>
      <c r="D154" s="15"/>
    </row>
    <row r="155" spans="2:4" ht="13.05" customHeight="1" x14ac:dyDescent="0.25">
      <c r="B155" s="15"/>
      <c r="C155" s="15"/>
      <c r="D155" s="15"/>
    </row>
    <row r="156" spans="2:4" ht="13.05" customHeight="1" x14ac:dyDescent="0.25">
      <c r="B156" s="15"/>
      <c r="C156" s="15"/>
      <c r="D156" s="15"/>
    </row>
    <row r="157" spans="2:4" ht="13.05" customHeight="1" x14ac:dyDescent="0.25">
      <c r="B157" s="15"/>
      <c r="C157" s="15"/>
      <c r="D157" s="15"/>
    </row>
    <row r="158" spans="2:4" ht="13.05" customHeight="1" x14ac:dyDescent="0.25">
      <c r="B158" s="15"/>
      <c r="C158" s="15"/>
      <c r="D158" s="15"/>
    </row>
    <row r="159" spans="2:4" ht="13.05" customHeight="1" x14ac:dyDescent="0.25">
      <c r="B159" s="15"/>
      <c r="C159" s="15"/>
      <c r="D159" s="15"/>
    </row>
    <row r="160" spans="2:4" ht="13.05" customHeight="1" x14ac:dyDescent="0.25">
      <c r="B160" s="15"/>
      <c r="C160" s="15"/>
      <c r="D160" s="15"/>
    </row>
    <row r="161" spans="2:4" ht="13.05" customHeight="1" x14ac:dyDescent="0.25">
      <c r="B161" s="15"/>
      <c r="C161" s="15"/>
      <c r="D161" s="15"/>
    </row>
    <row r="162" spans="2:4" ht="13.05" customHeight="1" x14ac:dyDescent="0.25">
      <c r="B162" s="15"/>
      <c r="C162" s="15"/>
      <c r="D162" s="15"/>
    </row>
    <row r="163" spans="2:4" ht="13.05" customHeight="1" x14ac:dyDescent="0.25">
      <c r="B163" s="15"/>
      <c r="C163" s="15"/>
      <c r="D163" s="15"/>
    </row>
    <row r="164" spans="2:4" ht="13.05" customHeight="1" x14ac:dyDescent="0.25">
      <c r="B164" s="15"/>
      <c r="C164" s="15"/>
      <c r="D164" s="15"/>
    </row>
    <row r="165" spans="2:4" ht="13.05" customHeight="1" x14ac:dyDescent="0.25">
      <c r="B165" s="15"/>
      <c r="C165" s="15"/>
      <c r="D165" s="15"/>
    </row>
    <row r="166" spans="2:4" ht="13.05" customHeight="1" x14ac:dyDescent="0.25">
      <c r="B166" s="15"/>
      <c r="C166" s="15"/>
      <c r="D166" s="15"/>
    </row>
    <row r="167" spans="2:4" ht="13.05" customHeight="1" x14ac:dyDescent="0.25">
      <c r="B167" s="15"/>
      <c r="C167" s="15"/>
      <c r="D167" s="15"/>
    </row>
    <row r="168" spans="2:4" ht="13.05" customHeight="1" x14ac:dyDescent="0.25">
      <c r="B168" s="15"/>
      <c r="C168" s="15"/>
      <c r="D168" s="15"/>
    </row>
    <row r="169" spans="2:4" ht="13.05" customHeight="1" x14ac:dyDescent="0.25">
      <c r="B169" s="15"/>
      <c r="C169" s="15"/>
      <c r="D169" s="15"/>
    </row>
    <row r="170" spans="2:4" ht="13.05" customHeight="1" x14ac:dyDescent="0.25">
      <c r="B170" s="15"/>
      <c r="C170" s="15"/>
      <c r="D170" s="15"/>
    </row>
    <row r="171" spans="2:4" ht="13.05" customHeight="1" x14ac:dyDescent="0.25">
      <c r="B171" s="15"/>
      <c r="C171" s="15"/>
      <c r="D171" s="15"/>
    </row>
    <row r="172" spans="2:4" ht="13.05" customHeight="1" x14ac:dyDescent="0.25">
      <c r="B172" s="15"/>
      <c r="C172" s="15"/>
      <c r="D172" s="15"/>
    </row>
    <row r="173" spans="2:4" ht="13.05" customHeight="1" x14ac:dyDescent="0.25">
      <c r="B173" s="15"/>
      <c r="C173" s="15"/>
      <c r="D173" s="15"/>
    </row>
    <row r="174" spans="2:4" ht="13.05" customHeight="1" x14ac:dyDescent="0.25">
      <c r="B174" s="15"/>
      <c r="C174" s="15"/>
      <c r="D174" s="15"/>
    </row>
    <row r="175" spans="2:4" ht="13.05" customHeight="1" x14ac:dyDescent="0.25">
      <c r="B175" s="15"/>
      <c r="C175" s="15"/>
      <c r="D175" s="15"/>
    </row>
    <row r="176" spans="2:4" ht="13.05" customHeight="1" x14ac:dyDescent="0.25">
      <c r="B176" s="15"/>
      <c r="C176" s="15"/>
      <c r="D176" s="15"/>
    </row>
    <row r="177" spans="2:4" ht="13.05" customHeight="1" x14ac:dyDescent="0.25">
      <c r="B177" s="15"/>
      <c r="C177" s="15"/>
      <c r="D177" s="15"/>
    </row>
    <row r="178" spans="2:4" ht="13.05" customHeight="1" x14ac:dyDescent="0.25">
      <c r="B178" s="15"/>
      <c r="C178" s="15"/>
      <c r="D178" s="15"/>
    </row>
    <row r="179" spans="2:4" ht="13.05" customHeight="1" x14ac:dyDescent="0.25">
      <c r="B179" s="15"/>
      <c r="C179" s="15"/>
      <c r="D179" s="15"/>
    </row>
    <row r="180" spans="2:4" ht="13.05" customHeight="1" x14ac:dyDescent="0.25">
      <c r="B180" s="15"/>
      <c r="C180" s="15"/>
      <c r="D180" s="15"/>
    </row>
    <row r="181" spans="2:4" ht="13.05" customHeight="1" x14ac:dyDescent="0.25">
      <c r="B181" s="15"/>
      <c r="C181" s="15"/>
      <c r="D181" s="15"/>
    </row>
    <row r="182" spans="2:4" ht="13.05" customHeight="1" x14ac:dyDescent="0.25">
      <c r="B182" s="15"/>
      <c r="C182" s="15"/>
      <c r="D182" s="15"/>
    </row>
    <row r="183" spans="2:4" ht="13.05" customHeight="1" x14ac:dyDescent="0.25">
      <c r="B183" s="15"/>
      <c r="C183" s="15"/>
      <c r="D183" s="15"/>
    </row>
    <row r="184" spans="2:4" ht="13.05" customHeight="1" x14ac:dyDescent="0.25">
      <c r="B184" s="15"/>
      <c r="C184" s="15"/>
      <c r="D184" s="15"/>
    </row>
    <row r="185" spans="2:4" ht="13.05" customHeight="1" x14ac:dyDescent="0.25">
      <c r="B185" s="15"/>
      <c r="C185" s="15"/>
      <c r="D185" s="15"/>
    </row>
    <row r="186" spans="2:4" ht="13.05" customHeight="1" x14ac:dyDescent="0.25">
      <c r="B186" s="15"/>
      <c r="C186" s="15"/>
      <c r="D186" s="15"/>
    </row>
    <row r="187" spans="2:4" ht="13.05" customHeight="1" x14ac:dyDescent="0.25">
      <c r="B187" s="15"/>
      <c r="C187" s="15"/>
      <c r="D187" s="15"/>
    </row>
    <row r="188" spans="2:4" ht="13.05" customHeight="1" x14ac:dyDescent="0.25">
      <c r="B188" s="15"/>
      <c r="C188" s="15"/>
      <c r="D188" s="15"/>
    </row>
    <row r="189" spans="2:4" ht="13.05" customHeight="1" x14ac:dyDescent="0.25">
      <c r="B189" s="15"/>
      <c r="C189" s="15"/>
      <c r="D189" s="15"/>
    </row>
    <row r="190" spans="2:4" ht="13.05" customHeight="1" x14ac:dyDescent="0.25">
      <c r="B190" s="15"/>
      <c r="C190" s="15"/>
      <c r="D190" s="15"/>
    </row>
    <row r="191" spans="2:4" ht="13.05" customHeight="1" x14ac:dyDescent="0.25">
      <c r="B191" s="15"/>
      <c r="C191" s="15"/>
      <c r="D191" s="15"/>
    </row>
    <row r="192" spans="2:4" ht="13.05" customHeight="1" x14ac:dyDescent="0.25">
      <c r="B192" s="15"/>
      <c r="C192" s="15"/>
      <c r="D192" s="15"/>
    </row>
    <row r="193" spans="2:4" ht="13.05" customHeight="1" x14ac:dyDescent="0.25">
      <c r="B193" s="15"/>
      <c r="C193" s="15"/>
      <c r="D193" s="15"/>
    </row>
    <row r="194" spans="2:4" ht="13.05" customHeight="1" x14ac:dyDescent="0.25">
      <c r="B194" s="15"/>
      <c r="C194" s="15"/>
      <c r="D194" s="15"/>
    </row>
    <row r="195" spans="2:4" ht="13.05" customHeight="1" x14ac:dyDescent="0.25">
      <c r="B195" s="15"/>
      <c r="C195" s="15"/>
      <c r="D195" s="15"/>
    </row>
    <row r="196" spans="2:4" ht="13.05" customHeight="1" x14ac:dyDescent="0.25">
      <c r="B196" s="15"/>
      <c r="C196" s="15"/>
      <c r="D196" s="15"/>
    </row>
    <row r="197" spans="2:4" ht="13.05" customHeight="1" x14ac:dyDescent="0.25">
      <c r="B197" s="15"/>
      <c r="C197" s="15"/>
      <c r="D197" s="15"/>
    </row>
    <row r="198" spans="2:4" ht="13.05" customHeight="1" x14ac:dyDescent="0.25">
      <c r="B198" s="15"/>
      <c r="C198" s="15"/>
      <c r="D198" s="15"/>
    </row>
    <row r="199" spans="2:4" ht="13.05" customHeight="1" x14ac:dyDescent="0.25">
      <c r="B199" s="15"/>
      <c r="C199" s="15"/>
      <c r="D199" s="15"/>
    </row>
    <row r="200" spans="2:4" ht="13.05" customHeight="1" x14ac:dyDescent="0.25">
      <c r="B200" s="15"/>
      <c r="C200" s="15"/>
      <c r="D200" s="15"/>
    </row>
    <row r="201" spans="2:4" ht="13.05" customHeight="1" x14ac:dyDescent="0.25">
      <c r="B201" s="15"/>
      <c r="C201" s="15"/>
      <c r="D201" s="15"/>
    </row>
    <row r="202" spans="2:4" ht="13.05" customHeight="1" x14ac:dyDescent="0.25">
      <c r="B202" s="15"/>
      <c r="C202" s="15"/>
      <c r="D202" s="15"/>
    </row>
    <row r="203" spans="2:4" ht="13.05" customHeight="1" x14ac:dyDescent="0.25">
      <c r="B203" s="15"/>
      <c r="C203" s="15"/>
      <c r="D203" s="15"/>
    </row>
    <row r="204" spans="2:4" ht="13.05" customHeight="1" x14ac:dyDescent="0.25">
      <c r="B204" s="15"/>
      <c r="C204" s="15"/>
      <c r="D204" s="15"/>
    </row>
    <row r="205" spans="2:4" ht="13.05" customHeight="1" x14ac:dyDescent="0.25">
      <c r="B205" s="15"/>
      <c r="C205" s="15"/>
      <c r="D205" s="15"/>
    </row>
    <row r="206" spans="2:4" ht="13.05" customHeight="1" x14ac:dyDescent="0.25">
      <c r="B206" s="15"/>
      <c r="C206" s="15"/>
      <c r="D206" s="15"/>
    </row>
    <row r="207" spans="2:4" ht="13.05" customHeight="1" x14ac:dyDescent="0.25">
      <c r="B207" s="15"/>
      <c r="C207" s="15"/>
      <c r="D207" s="15"/>
    </row>
    <row r="208" spans="2:4" ht="13.05" customHeight="1" x14ac:dyDescent="0.25">
      <c r="B208" s="15"/>
      <c r="C208" s="15"/>
      <c r="D208" s="15"/>
    </row>
    <row r="209" spans="2:4" ht="13.05" customHeight="1" x14ac:dyDescent="0.25">
      <c r="B209" s="15"/>
      <c r="C209" s="15"/>
      <c r="D209" s="15"/>
    </row>
    <row r="210" spans="2:4" ht="13.05" customHeight="1" x14ac:dyDescent="0.25">
      <c r="B210" s="15"/>
      <c r="C210" s="15"/>
      <c r="D210" s="15"/>
    </row>
    <row r="211" spans="2:4" ht="13.05" customHeight="1" x14ac:dyDescent="0.25">
      <c r="B211" s="15"/>
      <c r="C211" s="15"/>
      <c r="D211" s="15"/>
    </row>
    <row r="212" spans="2:4" ht="13.05" customHeight="1" x14ac:dyDescent="0.25">
      <c r="B212" s="15"/>
      <c r="C212" s="15"/>
      <c r="D212" s="15"/>
    </row>
    <row r="213" spans="2:4" ht="13.05" customHeight="1" x14ac:dyDescent="0.25">
      <c r="B213" s="15"/>
      <c r="C213" s="15"/>
      <c r="D213" s="15"/>
    </row>
    <row r="214" spans="2:4" ht="13.05" customHeight="1" x14ac:dyDescent="0.25">
      <c r="B214" s="15"/>
      <c r="C214" s="15"/>
      <c r="D214" s="15"/>
    </row>
    <row r="215" spans="2:4" ht="13.05" customHeight="1" x14ac:dyDescent="0.25">
      <c r="B215" s="15"/>
      <c r="C215" s="15"/>
      <c r="D215" s="15"/>
    </row>
    <row r="216" spans="2:4" ht="13.05" customHeight="1" x14ac:dyDescent="0.25">
      <c r="B216" s="15"/>
      <c r="C216" s="15"/>
      <c r="D216" s="15"/>
    </row>
    <row r="217" spans="2:4" ht="13.05" customHeight="1" x14ac:dyDescent="0.25">
      <c r="B217" s="15"/>
      <c r="C217" s="15"/>
      <c r="D217" s="15"/>
    </row>
    <row r="218" spans="2:4" ht="13.05" customHeight="1" x14ac:dyDescent="0.25">
      <c r="B218" s="15"/>
      <c r="C218" s="15"/>
      <c r="D218" s="15"/>
    </row>
    <row r="219" spans="2:4" ht="13.05" customHeight="1" x14ac:dyDescent="0.25">
      <c r="B219" s="15"/>
      <c r="C219" s="15"/>
      <c r="D219" s="15"/>
    </row>
    <row r="220" spans="2:4" ht="13.05" customHeight="1" x14ac:dyDescent="0.25">
      <c r="B220" s="15"/>
      <c r="C220" s="15"/>
      <c r="D220" s="15"/>
    </row>
    <row r="221" spans="2:4" ht="13.05" customHeight="1" x14ac:dyDescent="0.25">
      <c r="B221" s="15"/>
      <c r="C221" s="15"/>
      <c r="D221" s="15"/>
    </row>
    <row r="222" spans="2:4" ht="13.05" customHeight="1" x14ac:dyDescent="0.25">
      <c r="B222" s="15"/>
      <c r="C222" s="15"/>
      <c r="D222" s="15"/>
    </row>
    <row r="223" spans="2:4" ht="13.05" customHeight="1" x14ac:dyDescent="0.25">
      <c r="B223" s="15"/>
      <c r="C223" s="15"/>
      <c r="D223" s="15"/>
    </row>
    <row r="224" spans="2:4" ht="13.05" customHeight="1" x14ac:dyDescent="0.25">
      <c r="B224" s="15"/>
      <c r="C224" s="15"/>
      <c r="D224" s="15"/>
    </row>
    <row r="225" spans="2:4" ht="13.05" customHeight="1" x14ac:dyDescent="0.25">
      <c r="B225" s="15"/>
      <c r="C225" s="15"/>
      <c r="D225" s="15"/>
    </row>
    <row r="226" spans="2:4" ht="13.05" customHeight="1" x14ac:dyDescent="0.25">
      <c r="B226" s="15"/>
      <c r="C226" s="15"/>
      <c r="D226" s="15"/>
    </row>
    <row r="227" spans="2:4" ht="13.05" customHeight="1" x14ac:dyDescent="0.25">
      <c r="B227" s="15"/>
      <c r="C227" s="15"/>
      <c r="D227" s="15"/>
    </row>
    <row r="228" spans="2:4" ht="13.05" customHeight="1" x14ac:dyDescent="0.25">
      <c r="B228" s="15"/>
      <c r="C228" s="15"/>
      <c r="D228" s="15"/>
    </row>
    <row r="229" spans="2:4" ht="13.05" customHeight="1" x14ac:dyDescent="0.25">
      <c r="B229" s="15"/>
      <c r="C229" s="15"/>
      <c r="D229" s="15"/>
    </row>
    <row r="230" spans="2:4" ht="13.05" customHeight="1" x14ac:dyDescent="0.25">
      <c r="B230" s="15"/>
      <c r="C230" s="15"/>
      <c r="D230" s="15"/>
    </row>
    <row r="231" spans="2:4" ht="13.05" customHeight="1" x14ac:dyDescent="0.25">
      <c r="B231" s="15"/>
      <c r="C231" s="15"/>
      <c r="D231" s="15"/>
    </row>
    <row r="232" spans="2:4" ht="13.05" customHeight="1" x14ac:dyDescent="0.25">
      <c r="B232" s="15"/>
      <c r="C232" s="15"/>
      <c r="D232" s="15"/>
    </row>
    <row r="233" spans="2:4" ht="13.05" customHeight="1" x14ac:dyDescent="0.25">
      <c r="B233" s="15"/>
      <c r="C233" s="15"/>
      <c r="D233" s="15"/>
    </row>
    <row r="234" spans="2:4" ht="13.05" customHeight="1" x14ac:dyDescent="0.25">
      <c r="B234" s="15"/>
      <c r="C234" s="15"/>
      <c r="D234" s="15"/>
    </row>
    <row r="235" spans="2:4" ht="13.05" customHeight="1" x14ac:dyDescent="0.25">
      <c r="B235" s="15"/>
      <c r="C235" s="15"/>
      <c r="D235" s="15"/>
    </row>
    <row r="236" spans="2:4" ht="13.05" customHeight="1" x14ac:dyDescent="0.25">
      <c r="B236" s="15"/>
      <c r="C236" s="15"/>
      <c r="D236" s="15"/>
    </row>
    <row r="237" spans="2:4" ht="13.05" customHeight="1" x14ac:dyDescent="0.25">
      <c r="B237" s="15"/>
      <c r="C237" s="15"/>
      <c r="D237" s="15"/>
    </row>
    <row r="238" spans="2:4" ht="13.05" customHeight="1" x14ac:dyDescent="0.25">
      <c r="B238" s="15"/>
      <c r="C238" s="15"/>
      <c r="D238" s="15"/>
    </row>
    <row r="239" spans="2:4" ht="13.05" customHeight="1" x14ac:dyDescent="0.25">
      <c r="B239" s="15"/>
      <c r="C239" s="15"/>
      <c r="D239" s="15"/>
    </row>
    <row r="240" spans="2:4" ht="13.05" customHeight="1" x14ac:dyDescent="0.25">
      <c r="B240" s="15"/>
      <c r="C240" s="15"/>
      <c r="D240" s="15"/>
    </row>
    <row r="241" spans="2:4" ht="13.05" customHeight="1" x14ac:dyDescent="0.25">
      <c r="B241" s="15"/>
      <c r="C241" s="15"/>
      <c r="D241" s="15"/>
    </row>
    <row r="242" spans="2:4" ht="13.05" customHeight="1" x14ac:dyDescent="0.25">
      <c r="B242" s="15"/>
      <c r="C242" s="15"/>
      <c r="D242" s="15"/>
    </row>
    <row r="243" spans="2:4" ht="13.05" customHeight="1" x14ac:dyDescent="0.25">
      <c r="B243" s="15"/>
      <c r="C243" s="15"/>
      <c r="D243" s="15"/>
    </row>
    <row r="244" spans="2:4" ht="13.05" customHeight="1" x14ac:dyDescent="0.25">
      <c r="B244" s="15"/>
      <c r="C244" s="15"/>
      <c r="D244" s="15"/>
    </row>
    <row r="245" spans="2:4" ht="13.05" customHeight="1" x14ac:dyDescent="0.25">
      <c r="B245" s="15"/>
      <c r="C245" s="15"/>
      <c r="D245" s="15"/>
    </row>
    <row r="246" spans="2:4" ht="13.05" customHeight="1" x14ac:dyDescent="0.25">
      <c r="B246" s="15"/>
      <c r="C246" s="15"/>
      <c r="D246" s="15"/>
    </row>
    <row r="247" spans="2:4" ht="13.05" customHeight="1" x14ac:dyDescent="0.25">
      <c r="B247" s="15"/>
      <c r="C247" s="15"/>
      <c r="D247" s="15"/>
    </row>
    <row r="248" spans="2:4" ht="13.05" customHeight="1" x14ac:dyDescent="0.25">
      <c r="B248" s="15"/>
      <c r="C248" s="15"/>
      <c r="D248" s="15"/>
    </row>
    <row r="249" spans="2:4" ht="13.05" customHeight="1" x14ac:dyDescent="0.25">
      <c r="B249" s="15"/>
      <c r="C249" s="15"/>
      <c r="D249" s="15"/>
    </row>
    <row r="250" spans="2:4" ht="13.05" customHeight="1" x14ac:dyDescent="0.25">
      <c r="B250" s="15"/>
      <c r="C250" s="15"/>
      <c r="D250" s="15"/>
    </row>
    <row r="251" spans="2:4" ht="13.05" customHeight="1" x14ac:dyDescent="0.25">
      <c r="B251" s="15"/>
      <c r="C251" s="15"/>
      <c r="D251" s="15"/>
    </row>
    <row r="252" spans="2:4" ht="13.05" customHeight="1" x14ac:dyDescent="0.25">
      <c r="B252" s="15"/>
      <c r="C252" s="15"/>
      <c r="D252" s="15"/>
    </row>
    <row r="253" spans="2:4" ht="13.05" customHeight="1" x14ac:dyDescent="0.25">
      <c r="B253" s="15"/>
      <c r="C253" s="15"/>
      <c r="D253" s="15"/>
    </row>
    <row r="254" spans="2:4" ht="13.05" customHeight="1" x14ac:dyDescent="0.25">
      <c r="B254" s="15"/>
      <c r="C254" s="15"/>
      <c r="D254" s="15"/>
    </row>
    <row r="255" spans="2:4" ht="13.05" customHeight="1" x14ac:dyDescent="0.25">
      <c r="B255" s="15"/>
      <c r="C255" s="15"/>
      <c r="D255" s="15"/>
    </row>
    <row r="261" spans="2:4" x14ac:dyDescent="0.25">
      <c r="B261" s="7"/>
      <c r="C261" s="7"/>
      <c r="D261" s="7"/>
    </row>
    <row r="262" spans="2:4" x14ac:dyDescent="0.25">
      <c r="B262" s="4"/>
      <c r="C262" s="4"/>
      <c r="D262" s="4"/>
    </row>
    <row r="263" spans="2:4" x14ac:dyDescent="0.25">
      <c r="B263" s="18" t="s">
        <v>36</v>
      </c>
      <c r="C263" s="18"/>
      <c r="D263" s="18"/>
    </row>
    <row r="264" spans="2:4" x14ac:dyDescent="0.25">
      <c r="B264" s="19">
        <f>SUM(B265,B267,B266)</f>
        <v>0</v>
      </c>
      <c r="C264" s="19"/>
      <c r="D264" s="19"/>
    </row>
    <row r="265" spans="2:4" x14ac:dyDescent="0.25">
      <c r="B265" s="19" t="str">
        <f>A8</f>
        <v>Ingresos tributarios</v>
      </c>
      <c r="C265" s="19"/>
      <c r="D265" s="19"/>
    </row>
    <row r="266" spans="2:4" x14ac:dyDescent="0.25">
      <c r="B266" s="19" t="str">
        <f>A20</f>
        <v>Ingresos no tributarios</v>
      </c>
      <c r="C266" s="19"/>
      <c r="D266" s="19"/>
    </row>
    <row r="267" spans="2:4" x14ac:dyDescent="0.25">
      <c r="B267" s="19">
        <f>+A26+A34+A38+A39</f>
        <v>0</v>
      </c>
      <c r="C267" s="19"/>
      <c r="D267" s="19"/>
    </row>
    <row r="268" spans="2:4" x14ac:dyDescent="0.25">
      <c r="B268" s="5"/>
      <c r="C268" s="5"/>
      <c r="D268" s="5"/>
    </row>
  </sheetData>
  <mergeCells count="3">
    <mergeCell ref="A1:D2"/>
    <mergeCell ref="A41:D41"/>
    <mergeCell ref="A42:D42"/>
  </mergeCells>
  <pageMargins left="0.59055118110236227" right="0.35433070866141736" top="0.55118110236220474" bottom="0.55118110236220474" header="0" footer="0"/>
  <pageSetup paperSize="9" scale="82" orientation="portrait" r:id="rId1"/>
  <headerFooter alignWithMargins="0"/>
  <ignoredErrors>
    <ignoredError sqref="B14:D14 B34:C3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X268"/>
  <sheetViews>
    <sheetView zoomScaleNormal="100" workbookViewId="0">
      <selection activeCell="K4" sqref="K4"/>
    </sheetView>
  </sheetViews>
  <sheetFormatPr baseColWidth="10" defaultColWidth="11" defaultRowHeight="13.2" x14ac:dyDescent="0.25"/>
  <cols>
    <col min="1" max="1" width="59.33203125" style="15" customWidth="1"/>
    <col min="2" max="2" width="13" style="15" customWidth="1"/>
    <col min="3" max="5" width="13" style="17" customWidth="1"/>
    <col min="6" max="6" width="13" style="15" customWidth="1"/>
    <col min="7" max="7" width="11.109375" style="15" customWidth="1"/>
    <col min="8" max="8" width="12.44140625" style="15" customWidth="1"/>
    <col min="9" max="10" width="11" style="15"/>
    <col min="11" max="11" width="9.6640625" style="15" customWidth="1"/>
    <col min="12" max="240" width="11" style="15"/>
    <col min="241" max="241" width="65.33203125" style="15" customWidth="1"/>
    <col min="242" max="242" width="15" style="15" customWidth="1"/>
    <col min="243" max="244" width="15.88671875" style="15" customWidth="1"/>
    <col min="245" max="245" width="8.5546875" style="15" customWidth="1"/>
    <col min="246" max="246" width="17.44140625" style="15" customWidth="1"/>
    <col min="247" max="247" width="20.5546875" style="15" customWidth="1"/>
    <col min="248" max="248" width="11" style="15" customWidth="1"/>
    <col min="249" max="249" width="17.5546875" style="15" customWidth="1"/>
    <col min="250" max="250" width="18.88671875" style="15" customWidth="1"/>
    <col min="251" max="253" width="11" style="15" customWidth="1"/>
    <col min="254" max="496" width="11" style="15"/>
    <col min="497" max="497" width="65.33203125" style="15" customWidth="1"/>
    <col min="498" max="498" width="15" style="15" customWidth="1"/>
    <col min="499" max="500" width="15.88671875" style="15" customWidth="1"/>
    <col min="501" max="501" width="8.5546875" style="15" customWidth="1"/>
    <col min="502" max="502" width="17.44140625" style="15" customWidth="1"/>
    <col min="503" max="503" width="20.5546875" style="15" customWidth="1"/>
    <col min="504" max="504" width="11" style="15" customWidth="1"/>
    <col min="505" max="505" width="17.5546875" style="15" customWidth="1"/>
    <col min="506" max="506" width="18.88671875" style="15" customWidth="1"/>
    <col min="507" max="509" width="11" style="15" customWidth="1"/>
    <col min="510" max="752" width="11" style="15"/>
    <col min="753" max="753" width="65.33203125" style="15" customWidth="1"/>
    <col min="754" max="754" width="15" style="15" customWidth="1"/>
    <col min="755" max="756" width="15.88671875" style="15" customWidth="1"/>
    <col min="757" max="757" width="8.5546875" style="15" customWidth="1"/>
    <col min="758" max="758" width="17.44140625" style="15" customWidth="1"/>
    <col min="759" max="759" width="20.5546875" style="15" customWidth="1"/>
    <col min="760" max="760" width="11" style="15" customWidth="1"/>
    <col min="761" max="761" width="17.5546875" style="15" customWidth="1"/>
    <col min="762" max="762" width="18.88671875" style="15" customWidth="1"/>
    <col min="763" max="765" width="11" style="15" customWidth="1"/>
    <col min="766" max="1008" width="11" style="15"/>
    <col min="1009" max="1009" width="65.33203125" style="15" customWidth="1"/>
    <col min="1010" max="1010" width="15" style="15" customWidth="1"/>
    <col min="1011" max="1012" width="15.88671875" style="15" customWidth="1"/>
    <col min="1013" max="1013" width="8.5546875" style="15" customWidth="1"/>
    <col min="1014" max="1014" width="17.44140625" style="15" customWidth="1"/>
    <col min="1015" max="1015" width="20.5546875" style="15" customWidth="1"/>
    <col min="1016" max="1016" width="11" style="15" customWidth="1"/>
    <col min="1017" max="1017" width="17.5546875" style="15" customWidth="1"/>
    <col min="1018" max="1018" width="18.88671875" style="15" customWidth="1"/>
    <col min="1019" max="1021" width="11" style="15" customWidth="1"/>
    <col min="1022" max="1264" width="11" style="15"/>
    <col min="1265" max="1265" width="65.33203125" style="15" customWidth="1"/>
    <col min="1266" max="1266" width="15" style="15" customWidth="1"/>
    <col min="1267" max="1268" width="15.88671875" style="15" customWidth="1"/>
    <col min="1269" max="1269" width="8.5546875" style="15" customWidth="1"/>
    <col min="1270" max="1270" width="17.44140625" style="15" customWidth="1"/>
    <col min="1271" max="1271" width="20.5546875" style="15" customWidth="1"/>
    <col min="1272" max="1272" width="11" style="15" customWidth="1"/>
    <col min="1273" max="1273" width="17.5546875" style="15" customWidth="1"/>
    <col min="1274" max="1274" width="18.88671875" style="15" customWidth="1"/>
    <col min="1275" max="1277" width="11" style="15" customWidth="1"/>
    <col min="1278" max="1520" width="11" style="15"/>
    <col min="1521" max="1521" width="65.33203125" style="15" customWidth="1"/>
    <col min="1522" max="1522" width="15" style="15" customWidth="1"/>
    <col min="1523" max="1524" width="15.88671875" style="15" customWidth="1"/>
    <col min="1525" max="1525" width="8.5546875" style="15" customWidth="1"/>
    <col min="1526" max="1526" width="17.44140625" style="15" customWidth="1"/>
    <col min="1527" max="1527" width="20.5546875" style="15" customWidth="1"/>
    <col min="1528" max="1528" width="11" style="15" customWidth="1"/>
    <col min="1529" max="1529" width="17.5546875" style="15" customWidth="1"/>
    <col min="1530" max="1530" width="18.88671875" style="15" customWidth="1"/>
    <col min="1531" max="1533" width="11" style="15" customWidth="1"/>
    <col min="1534" max="1776" width="11" style="15"/>
    <col min="1777" max="1777" width="65.33203125" style="15" customWidth="1"/>
    <col min="1778" max="1778" width="15" style="15" customWidth="1"/>
    <col min="1779" max="1780" width="15.88671875" style="15" customWidth="1"/>
    <col min="1781" max="1781" width="8.5546875" style="15" customWidth="1"/>
    <col min="1782" max="1782" width="17.44140625" style="15" customWidth="1"/>
    <col min="1783" max="1783" width="20.5546875" style="15" customWidth="1"/>
    <col min="1784" max="1784" width="11" style="15" customWidth="1"/>
    <col min="1785" max="1785" width="17.5546875" style="15" customWidth="1"/>
    <col min="1786" max="1786" width="18.88671875" style="15" customWidth="1"/>
    <col min="1787" max="1789" width="11" style="15" customWidth="1"/>
    <col min="1790" max="2032" width="11" style="15"/>
    <col min="2033" max="2033" width="65.33203125" style="15" customWidth="1"/>
    <col min="2034" max="2034" width="15" style="15" customWidth="1"/>
    <col min="2035" max="2036" width="15.88671875" style="15" customWidth="1"/>
    <col min="2037" max="2037" width="8.5546875" style="15" customWidth="1"/>
    <col min="2038" max="2038" width="17.44140625" style="15" customWidth="1"/>
    <col min="2039" max="2039" width="20.5546875" style="15" customWidth="1"/>
    <col min="2040" max="2040" width="11" style="15" customWidth="1"/>
    <col min="2041" max="2041" width="17.5546875" style="15" customWidth="1"/>
    <col min="2042" max="2042" width="18.88671875" style="15" customWidth="1"/>
    <col min="2043" max="2045" width="11" style="15" customWidth="1"/>
    <col min="2046" max="2288" width="11" style="15"/>
    <col min="2289" max="2289" width="65.33203125" style="15" customWidth="1"/>
    <col min="2290" max="2290" width="15" style="15" customWidth="1"/>
    <col min="2291" max="2292" width="15.88671875" style="15" customWidth="1"/>
    <col min="2293" max="2293" width="8.5546875" style="15" customWidth="1"/>
    <col min="2294" max="2294" width="17.44140625" style="15" customWidth="1"/>
    <col min="2295" max="2295" width="20.5546875" style="15" customWidth="1"/>
    <col min="2296" max="2296" width="11" style="15" customWidth="1"/>
    <col min="2297" max="2297" width="17.5546875" style="15" customWidth="1"/>
    <col min="2298" max="2298" width="18.88671875" style="15" customWidth="1"/>
    <col min="2299" max="2301" width="11" style="15" customWidth="1"/>
    <col min="2302" max="2544" width="11" style="15"/>
    <col min="2545" max="2545" width="65.33203125" style="15" customWidth="1"/>
    <col min="2546" max="2546" width="15" style="15" customWidth="1"/>
    <col min="2547" max="2548" width="15.88671875" style="15" customWidth="1"/>
    <col min="2549" max="2549" width="8.5546875" style="15" customWidth="1"/>
    <col min="2550" max="2550" width="17.44140625" style="15" customWidth="1"/>
    <col min="2551" max="2551" width="20.5546875" style="15" customWidth="1"/>
    <col min="2552" max="2552" width="11" style="15" customWidth="1"/>
    <col min="2553" max="2553" width="17.5546875" style="15" customWidth="1"/>
    <col min="2554" max="2554" width="18.88671875" style="15" customWidth="1"/>
    <col min="2555" max="2557" width="11" style="15" customWidth="1"/>
    <col min="2558" max="2800" width="11" style="15"/>
    <col min="2801" max="2801" width="65.33203125" style="15" customWidth="1"/>
    <col min="2802" max="2802" width="15" style="15" customWidth="1"/>
    <col min="2803" max="2804" width="15.88671875" style="15" customWidth="1"/>
    <col min="2805" max="2805" width="8.5546875" style="15" customWidth="1"/>
    <col min="2806" max="2806" width="17.44140625" style="15" customWidth="1"/>
    <col min="2807" max="2807" width="20.5546875" style="15" customWidth="1"/>
    <col min="2808" max="2808" width="11" style="15" customWidth="1"/>
    <col min="2809" max="2809" width="17.5546875" style="15" customWidth="1"/>
    <col min="2810" max="2810" width="18.88671875" style="15" customWidth="1"/>
    <col min="2811" max="2813" width="11" style="15" customWidth="1"/>
    <col min="2814" max="3056" width="11" style="15"/>
    <col min="3057" max="3057" width="65.33203125" style="15" customWidth="1"/>
    <col min="3058" max="3058" width="15" style="15" customWidth="1"/>
    <col min="3059" max="3060" width="15.88671875" style="15" customWidth="1"/>
    <col min="3061" max="3061" width="8.5546875" style="15" customWidth="1"/>
    <col min="3062" max="3062" width="17.44140625" style="15" customWidth="1"/>
    <col min="3063" max="3063" width="20.5546875" style="15" customWidth="1"/>
    <col min="3064" max="3064" width="11" style="15" customWidth="1"/>
    <col min="3065" max="3065" width="17.5546875" style="15" customWidth="1"/>
    <col min="3066" max="3066" width="18.88671875" style="15" customWidth="1"/>
    <col min="3067" max="3069" width="11" style="15" customWidth="1"/>
    <col min="3070" max="3312" width="11" style="15"/>
    <col min="3313" max="3313" width="65.33203125" style="15" customWidth="1"/>
    <col min="3314" max="3314" width="15" style="15" customWidth="1"/>
    <col min="3315" max="3316" width="15.88671875" style="15" customWidth="1"/>
    <col min="3317" max="3317" width="8.5546875" style="15" customWidth="1"/>
    <col min="3318" max="3318" width="17.44140625" style="15" customWidth="1"/>
    <col min="3319" max="3319" width="20.5546875" style="15" customWidth="1"/>
    <col min="3320" max="3320" width="11" style="15" customWidth="1"/>
    <col min="3321" max="3321" width="17.5546875" style="15" customWidth="1"/>
    <col min="3322" max="3322" width="18.88671875" style="15" customWidth="1"/>
    <col min="3323" max="3325" width="11" style="15" customWidth="1"/>
    <col min="3326" max="3568" width="11" style="15"/>
    <col min="3569" max="3569" width="65.33203125" style="15" customWidth="1"/>
    <col min="3570" max="3570" width="15" style="15" customWidth="1"/>
    <col min="3571" max="3572" width="15.88671875" style="15" customWidth="1"/>
    <col min="3573" max="3573" width="8.5546875" style="15" customWidth="1"/>
    <col min="3574" max="3574" width="17.44140625" style="15" customWidth="1"/>
    <col min="3575" max="3575" width="20.5546875" style="15" customWidth="1"/>
    <col min="3576" max="3576" width="11" style="15" customWidth="1"/>
    <col min="3577" max="3577" width="17.5546875" style="15" customWidth="1"/>
    <col min="3578" max="3578" width="18.88671875" style="15" customWidth="1"/>
    <col min="3579" max="3581" width="11" style="15" customWidth="1"/>
    <col min="3582" max="3824" width="11" style="15"/>
    <col min="3825" max="3825" width="65.33203125" style="15" customWidth="1"/>
    <col min="3826" max="3826" width="15" style="15" customWidth="1"/>
    <col min="3827" max="3828" width="15.88671875" style="15" customWidth="1"/>
    <col min="3829" max="3829" width="8.5546875" style="15" customWidth="1"/>
    <col min="3830" max="3830" width="17.44140625" style="15" customWidth="1"/>
    <col min="3831" max="3831" width="20.5546875" style="15" customWidth="1"/>
    <col min="3832" max="3832" width="11" style="15" customWidth="1"/>
    <col min="3833" max="3833" width="17.5546875" style="15" customWidth="1"/>
    <col min="3834" max="3834" width="18.88671875" style="15" customWidth="1"/>
    <col min="3835" max="3837" width="11" style="15" customWidth="1"/>
    <col min="3838" max="4080" width="11" style="15"/>
    <col min="4081" max="4081" width="65.33203125" style="15" customWidth="1"/>
    <col min="4082" max="4082" width="15" style="15" customWidth="1"/>
    <col min="4083" max="4084" width="15.88671875" style="15" customWidth="1"/>
    <col min="4085" max="4085" width="8.5546875" style="15" customWidth="1"/>
    <col min="4086" max="4086" width="17.44140625" style="15" customWidth="1"/>
    <col min="4087" max="4087" width="20.5546875" style="15" customWidth="1"/>
    <col min="4088" max="4088" width="11" style="15" customWidth="1"/>
    <col min="4089" max="4089" width="17.5546875" style="15" customWidth="1"/>
    <col min="4090" max="4090" width="18.88671875" style="15" customWidth="1"/>
    <col min="4091" max="4093" width="11" style="15" customWidth="1"/>
    <col min="4094" max="4336" width="11" style="15"/>
    <col min="4337" max="4337" width="65.33203125" style="15" customWidth="1"/>
    <col min="4338" max="4338" width="15" style="15" customWidth="1"/>
    <col min="4339" max="4340" width="15.88671875" style="15" customWidth="1"/>
    <col min="4341" max="4341" width="8.5546875" style="15" customWidth="1"/>
    <col min="4342" max="4342" width="17.44140625" style="15" customWidth="1"/>
    <col min="4343" max="4343" width="20.5546875" style="15" customWidth="1"/>
    <col min="4344" max="4344" width="11" style="15" customWidth="1"/>
    <col min="4345" max="4345" width="17.5546875" style="15" customWidth="1"/>
    <col min="4346" max="4346" width="18.88671875" style="15" customWidth="1"/>
    <col min="4347" max="4349" width="11" style="15" customWidth="1"/>
    <col min="4350" max="4592" width="11" style="15"/>
    <col min="4593" max="4593" width="65.33203125" style="15" customWidth="1"/>
    <col min="4594" max="4594" width="15" style="15" customWidth="1"/>
    <col min="4595" max="4596" width="15.88671875" style="15" customWidth="1"/>
    <col min="4597" max="4597" width="8.5546875" style="15" customWidth="1"/>
    <col min="4598" max="4598" width="17.44140625" style="15" customWidth="1"/>
    <col min="4599" max="4599" width="20.5546875" style="15" customWidth="1"/>
    <col min="4600" max="4600" width="11" style="15" customWidth="1"/>
    <col min="4601" max="4601" width="17.5546875" style="15" customWidth="1"/>
    <col min="4602" max="4602" width="18.88671875" style="15" customWidth="1"/>
    <col min="4603" max="4605" width="11" style="15" customWidth="1"/>
    <col min="4606" max="4848" width="11" style="15"/>
    <col min="4849" max="4849" width="65.33203125" style="15" customWidth="1"/>
    <col min="4850" max="4850" width="15" style="15" customWidth="1"/>
    <col min="4851" max="4852" width="15.88671875" style="15" customWidth="1"/>
    <col min="4853" max="4853" width="8.5546875" style="15" customWidth="1"/>
    <col min="4854" max="4854" width="17.44140625" style="15" customWidth="1"/>
    <col min="4855" max="4855" width="20.5546875" style="15" customWidth="1"/>
    <col min="4856" max="4856" width="11" style="15" customWidth="1"/>
    <col min="4857" max="4857" width="17.5546875" style="15" customWidth="1"/>
    <col min="4858" max="4858" width="18.88671875" style="15" customWidth="1"/>
    <col min="4859" max="4861" width="11" style="15" customWidth="1"/>
    <col min="4862" max="5104" width="11" style="15"/>
    <col min="5105" max="5105" width="65.33203125" style="15" customWidth="1"/>
    <col min="5106" max="5106" width="15" style="15" customWidth="1"/>
    <col min="5107" max="5108" width="15.88671875" style="15" customWidth="1"/>
    <col min="5109" max="5109" width="8.5546875" style="15" customWidth="1"/>
    <col min="5110" max="5110" width="17.44140625" style="15" customWidth="1"/>
    <col min="5111" max="5111" width="20.5546875" style="15" customWidth="1"/>
    <col min="5112" max="5112" width="11" style="15" customWidth="1"/>
    <col min="5113" max="5113" width="17.5546875" style="15" customWidth="1"/>
    <col min="5114" max="5114" width="18.88671875" style="15" customWidth="1"/>
    <col min="5115" max="5117" width="11" style="15" customWidth="1"/>
    <col min="5118" max="5360" width="11" style="15"/>
    <col min="5361" max="5361" width="65.33203125" style="15" customWidth="1"/>
    <col min="5362" max="5362" width="15" style="15" customWidth="1"/>
    <col min="5363" max="5364" width="15.88671875" style="15" customWidth="1"/>
    <col min="5365" max="5365" width="8.5546875" style="15" customWidth="1"/>
    <col min="5366" max="5366" width="17.44140625" style="15" customWidth="1"/>
    <col min="5367" max="5367" width="20.5546875" style="15" customWidth="1"/>
    <col min="5368" max="5368" width="11" style="15" customWidth="1"/>
    <col min="5369" max="5369" width="17.5546875" style="15" customWidth="1"/>
    <col min="5370" max="5370" width="18.88671875" style="15" customWidth="1"/>
    <col min="5371" max="5373" width="11" style="15" customWidth="1"/>
    <col min="5374" max="5616" width="11" style="15"/>
    <col min="5617" max="5617" width="65.33203125" style="15" customWidth="1"/>
    <col min="5618" max="5618" width="15" style="15" customWidth="1"/>
    <col min="5619" max="5620" width="15.88671875" style="15" customWidth="1"/>
    <col min="5621" max="5621" width="8.5546875" style="15" customWidth="1"/>
    <col min="5622" max="5622" width="17.44140625" style="15" customWidth="1"/>
    <col min="5623" max="5623" width="20.5546875" style="15" customWidth="1"/>
    <col min="5624" max="5624" width="11" style="15" customWidth="1"/>
    <col min="5625" max="5625" width="17.5546875" style="15" customWidth="1"/>
    <col min="5626" max="5626" width="18.88671875" style="15" customWidth="1"/>
    <col min="5627" max="5629" width="11" style="15" customWidth="1"/>
    <col min="5630" max="5872" width="11" style="15"/>
    <col min="5873" max="5873" width="65.33203125" style="15" customWidth="1"/>
    <col min="5874" max="5874" width="15" style="15" customWidth="1"/>
    <col min="5875" max="5876" width="15.88671875" style="15" customWidth="1"/>
    <col min="5877" max="5877" width="8.5546875" style="15" customWidth="1"/>
    <col min="5878" max="5878" width="17.44140625" style="15" customWidth="1"/>
    <col min="5879" max="5879" width="20.5546875" style="15" customWidth="1"/>
    <col min="5880" max="5880" width="11" style="15" customWidth="1"/>
    <col min="5881" max="5881" width="17.5546875" style="15" customWidth="1"/>
    <col min="5882" max="5882" width="18.88671875" style="15" customWidth="1"/>
    <col min="5883" max="5885" width="11" style="15" customWidth="1"/>
    <col min="5886" max="6128" width="11" style="15"/>
    <col min="6129" max="6129" width="65.33203125" style="15" customWidth="1"/>
    <col min="6130" max="6130" width="15" style="15" customWidth="1"/>
    <col min="6131" max="6132" width="15.88671875" style="15" customWidth="1"/>
    <col min="6133" max="6133" width="8.5546875" style="15" customWidth="1"/>
    <col min="6134" max="6134" width="17.44140625" style="15" customWidth="1"/>
    <col min="6135" max="6135" width="20.5546875" style="15" customWidth="1"/>
    <col min="6136" max="6136" width="11" style="15" customWidth="1"/>
    <col min="6137" max="6137" width="17.5546875" style="15" customWidth="1"/>
    <col min="6138" max="6138" width="18.88671875" style="15" customWidth="1"/>
    <col min="6139" max="6141" width="11" style="15" customWidth="1"/>
    <col min="6142" max="6384" width="11" style="15"/>
    <col min="6385" max="6385" width="65.33203125" style="15" customWidth="1"/>
    <col min="6386" max="6386" width="15" style="15" customWidth="1"/>
    <col min="6387" max="6388" width="15.88671875" style="15" customWidth="1"/>
    <col min="6389" max="6389" width="8.5546875" style="15" customWidth="1"/>
    <col min="6390" max="6390" width="17.44140625" style="15" customWidth="1"/>
    <col min="6391" max="6391" width="20.5546875" style="15" customWidth="1"/>
    <col min="6392" max="6392" width="11" style="15" customWidth="1"/>
    <col min="6393" max="6393" width="17.5546875" style="15" customWidth="1"/>
    <col min="6394" max="6394" width="18.88671875" style="15" customWidth="1"/>
    <col min="6395" max="6397" width="11" style="15" customWidth="1"/>
    <col min="6398" max="6640" width="11" style="15"/>
    <col min="6641" max="6641" width="65.33203125" style="15" customWidth="1"/>
    <col min="6642" max="6642" width="15" style="15" customWidth="1"/>
    <col min="6643" max="6644" width="15.88671875" style="15" customWidth="1"/>
    <col min="6645" max="6645" width="8.5546875" style="15" customWidth="1"/>
    <col min="6646" max="6646" width="17.44140625" style="15" customWidth="1"/>
    <col min="6647" max="6647" width="20.5546875" style="15" customWidth="1"/>
    <col min="6648" max="6648" width="11" style="15" customWidth="1"/>
    <col min="6649" max="6649" width="17.5546875" style="15" customWidth="1"/>
    <col min="6650" max="6650" width="18.88671875" style="15" customWidth="1"/>
    <col min="6651" max="6653" width="11" style="15" customWidth="1"/>
    <col min="6654" max="6896" width="11" style="15"/>
    <col min="6897" max="6897" width="65.33203125" style="15" customWidth="1"/>
    <col min="6898" max="6898" width="15" style="15" customWidth="1"/>
    <col min="6899" max="6900" width="15.88671875" style="15" customWidth="1"/>
    <col min="6901" max="6901" width="8.5546875" style="15" customWidth="1"/>
    <col min="6902" max="6902" width="17.44140625" style="15" customWidth="1"/>
    <col min="6903" max="6903" width="20.5546875" style="15" customWidth="1"/>
    <col min="6904" max="6904" width="11" style="15" customWidth="1"/>
    <col min="6905" max="6905" width="17.5546875" style="15" customWidth="1"/>
    <col min="6906" max="6906" width="18.88671875" style="15" customWidth="1"/>
    <col min="6907" max="6909" width="11" style="15" customWidth="1"/>
    <col min="6910" max="7152" width="11" style="15"/>
    <col min="7153" max="7153" width="65.33203125" style="15" customWidth="1"/>
    <col min="7154" max="7154" width="15" style="15" customWidth="1"/>
    <col min="7155" max="7156" width="15.88671875" style="15" customWidth="1"/>
    <col min="7157" max="7157" width="8.5546875" style="15" customWidth="1"/>
    <col min="7158" max="7158" width="17.44140625" style="15" customWidth="1"/>
    <col min="7159" max="7159" width="20.5546875" style="15" customWidth="1"/>
    <col min="7160" max="7160" width="11" style="15" customWidth="1"/>
    <col min="7161" max="7161" width="17.5546875" style="15" customWidth="1"/>
    <col min="7162" max="7162" width="18.88671875" style="15" customWidth="1"/>
    <col min="7163" max="7165" width="11" style="15" customWidth="1"/>
    <col min="7166" max="7408" width="11" style="15"/>
    <col min="7409" max="7409" width="65.33203125" style="15" customWidth="1"/>
    <col min="7410" max="7410" width="15" style="15" customWidth="1"/>
    <col min="7411" max="7412" width="15.88671875" style="15" customWidth="1"/>
    <col min="7413" max="7413" width="8.5546875" style="15" customWidth="1"/>
    <col min="7414" max="7414" width="17.44140625" style="15" customWidth="1"/>
    <col min="7415" max="7415" width="20.5546875" style="15" customWidth="1"/>
    <col min="7416" max="7416" width="11" style="15" customWidth="1"/>
    <col min="7417" max="7417" width="17.5546875" style="15" customWidth="1"/>
    <col min="7418" max="7418" width="18.88671875" style="15" customWidth="1"/>
    <col min="7419" max="7421" width="11" style="15" customWidth="1"/>
    <col min="7422" max="7664" width="11" style="15"/>
    <col min="7665" max="7665" width="65.33203125" style="15" customWidth="1"/>
    <col min="7666" max="7666" width="15" style="15" customWidth="1"/>
    <col min="7667" max="7668" width="15.88671875" style="15" customWidth="1"/>
    <col min="7669" max="7669" width="8.5546875" style="15" customWidth="1"/>
    <col min="7670" max="7670" width="17.44140625" style="15" customWidth="1"/>
    <col min="7671" max="7671" width="20.5546875" style="15" customWidth="1"/>
    <col min="7672" max="7672" width="11" style="15" customWidth="1"/>
    <col min="7673" max="7673" width="17.5546875" style="15" customWidth="1"/>
    <col min="7674" max="7674" width="18.88671875" style="15" customWidth="1"/>
    <col min="7675" max="7677" width="11" style="15" customWidth="1"/>
    <col min="7678" max="7920" width="11" style="15"/>
    <col min="7921" max="7921" width="65.33203125" style="15" customWidth="1"/>
    <col min="7922" max="7922" width="15" style="15" customWidth="1"/>
    <col min="7923" max="7924" width="15.88671875" style="15" customWidth="1"/>
    <col min="7925" max="7925" width="8.5546875" style="15" customWidth="1"/>
    <col min="7926" max="7926" width="17.44140625" style="15" customWidth="1"/>
    <col min="7927" max="7927" width="20.5546875" style="15" customWidth="1"/>
    <col min="7928" max="7928" width="11" style="15" customWidth="1"/>
    <col min="7929" max="7929" width="17.5546875" style="15" customWidth="1"/>
    <col min="7930" max="7930" width="18.88671875" style="15" customWidth="1"/>
    <col min="7931" max="7933" width="11" style="15" customWidth="1"/>
    <col min="7934" max="8176" width="11" style="15"/>
    <col min="8177" max="8177" width="65.33203125" style="15" customWidth="1"/>
    <col min="8178" max="8178" width="15" style="15" customWidth="1"/>
    <col min="8179" max="8180" width="15.88671875" style="15" customWidth="1"/>
    <col min="8181" max="8181" width="8.5546875" style="15" customWidth="1"/>
    <col min="8182" max="8182" width="17.44140625" style="15" customWidth="1"/>
    <col min="8183" max="8183" width="20.5546875" style="15" customWidth="1"/>
    <col min="8184" max="8184" width="11" style="15" customWidth="1"/>
    <col min="8185" max="8185" width="17.5546875" style="15" customWidth="1"/>
    <col min="8186" max="8186" width="18.88671875" style="15" customWidth="1"/>
    <col min="8187" max="8189" width="11" style="15" customWidth="1"/>
    <col min="8190" max="8432" width="11" style="15"/>
    <col min="8433" max="8433" width="65.33203125" style="15" customWidth="1"/>
    <col min="8434" max="8434" width="15" style="15" customWidth="1"/>
    <col min="8435" max="8436" width="15.88671875" style="15" customWidth="1"/>
    <col min="8437" max="8437" width="8.5546875" style="15" customWidth="1"/>
    <col min="8438" max="8438" width="17.44140625" style="15" customWidth="1"/>
    <col min="8439" max="8439" width="20.5546875" style="15" customWidth="1"/>
    <col min="8440" max="8440" width="11" style="15" customWidth="1"/>
    <col min="8441" max="8441" width="17.5546875" style="15" customWidth="1"/>
    <col min="8442" max="8442" width="18.88671875" style="15" customWidth="1"/>
    <col min="8443" max="8445" width="11" style="15" customWidth="1"/>
    <col min="8446" max="8688" width="11" style="15"/>
    <col min="8689" max="8689" width="65.33203125" style="15" customWidth="1"/>
    <col min="8690" max="8690" width="15" style="15" customWidth="1"/>
    <col min="8691" max="8692" width="15.88671875" style="15" customWidth="1"/>
    <col min="8693" max="8693" width="8.5546875" style="15" customWidth="1"/>
    <col min="8694" max="8694" width="17.44140625" style="15" customWidth="1"/>
    <col min="8695" max="8695" width="20.5546875" style="15" customWidth="1"/>
    <col min="8696" max="8696" width="11" style="15" customWidth="1"/>
    <col min="8697" max="8697" width="17.5546875" style="15" customWidth="1"/>
    <col min="8698" max="8698" width="18.88671875" style="15" customWidth="1"/>
    <col min="8699" max="8701" width="11" style="15" customWidth="1"/>
    <col min="8702" max="8944" width="11" style="15"/>
    <col min="8945" max="8945" width="65.33203125" style="15" customWidth="1"/>
    <col min="8946" max="8946" width="15" style="15" customWidth="1"/>
    <col min="8947" max="8948" width="15.88671875" style="15" customWidth="1"/>
    <col min="8949" max="8949" width="8.5546875" style="15" customWidth="1"/>
    <col min="8950" max="8950" width="17.44140625" style="15" customWidth="1"/>
    <col min="8951" max="8951" width="20.5546875" style="15" customWidth="1"/>
    <col min="8952" max="8952" width="11" style="15" customWidth="1"/>
    <col min="8953" max="8953" width="17.5546875" style="15" customWidth="1"/>
    <col min="8954" max="8954" width="18.88671875" style="15" customWidth="1"/>
    <col min="8955" max="8957" width="11" style="15" customWidth="1"/>
    <col min="8958" max="9200" width="11" style="15"/>
    <col min="9201" max="9201" width="65.33203125" style="15" customWidth="1"/>
    <col min="9202" max="9202" width="15" style="15" customWidth="1"/>
    <col min="9203" max="9204" width="15.88671875" style="15" customWidth="1"/>
    <col min="9205" max="9205" width="8.5546875" style="15" customWidth="1"/>
    <col min="9206" max="9206" width="17.44140625" style="15" customWidth="1"/>
    <col min="9207" max="9207" width="20.5546875" style="15" customWidth="1"/>
    <col min="9208" max="9208" width="11" style="15" customWidth="1"/>
    <col min="9209" max="9209" width="17.5546875" style="15" customWidth="1"/>
    <col min="9210" max="9210" width="18.88671875" style="15" customWidth="1"/>
    <col min="9211" max="9213" width="11" style="15" customWidth="1"/>
    <col min="9214" max="9456" width="11" style="15"/>
    <col min="9457" max="9457" width="65.33203125" style="15" customWidth="1"/>
    <col min="9458" max="9458" width="15" style="15" customWidth="1"/>
    <col min="9459" max="9460" width="15.88671875" style="15" customWidth="1"/>
    <col min="9461" max="9461" width="8.5546875" style="15" customWidth="1"/>
    <col min="9462" max="9462" width="17.44140625" style="15" customWidth="1"/>
    <col min="9463" max="9463" width="20.5546875" style="15" customWidth="1"/>
    <col min="9464" max="9464" width="11" style="15" customWidth="1"/>
    <col min="9465" max="9465" width="17.5546875" style="15" customWidth="1"/>
    <col min="9466" max="9466" width="18.88671875" style="15" customWidth="1"/>
    <col min="9467" max="9469" width="11" style="15" customWidth="1"/>
    <col min="9470" max="9712" width="11" style="15"/>
    <col min="9713" max="9713" width="65.33203125" style="15" customWidth="1"/>
    <col min="9714" max="9714" width="15" style="15" customWidth="1"/>
    <col min="9715" max="9716" width="15.88671875" style="15" customWidth="1"/>
    <col min="9717" max="9717" width="8.5546875" style="15" customWidth="1"/>
    <col min="9718" max="9718" width="17.44140625" style="15" customWidth="1"/>
    <col min="9719" max="9719" width="20.5546875" style="15" customWidth="1"/>
    <col min="9720" max="9720" width="11" style="15" customWidth="1"/>
    <col min="9721" max="9721" width="17.5546875" style="15" customWidth="1"/>
    <col min="9722" max="9722" width="18.88671875" style="15" customWidth="1"/>
    <col min="9723" max="9725" width="11" style="15" customWidth="1"/>
    <col min="9726" max="9968" width="11" style="15"/>
    <col min="9969" max="9969" width="65.33203125" style="15" customWidth="1"/>
    <col min="9970" max="9970" width="15" style="15" customWidth="1"/>
    <col min="9971" max="9972" width="15.88671875" style="15" customWidth="1"/>
    <col min="9973" max="9973" width="8.5546875" style="15" customWidth="1"/>
    <col min="9974" max="9974" width="17.44140625" style="15" customWidth="1"/>
    <col min="9975" max="9975" width="20.5546875" style="15" customWidth="1"/>
    <col min="9976" max="9976" width="11" style="15" customWidth="1"/>
    <col min="9977" max="9977" width="17.5546875" style="15" customWidth="1"/>
    <col min="9978" max="9978" width="18.88671875" style="15" customWidth="1"/>
    <col min="9979" max="9981" width="11" style="15" customWidth="1"/>
    <col min="9982" max="10224" width="11" style="15"/>
    <col min="10225" max="10225" width="65.33203125" style="15" customWidth="1"/>
    <col min="10226" max="10226" width="15" style="15" customWidth="1"/>
    <col min="10227" max="10228" width="15.88671875" style="15" customWidth="1"/>
    <col min="10229" max="10229" width="8.5546875" style="15" customWidth="1"/>
    <col min="10230" max="10230" width="17.44140625" style="15" customWidth="1"/>
    <col min="10231" max="10231" width="20.5546875" style="15" customWidth="1"/>
    <col min="10232" max="10232" width="11" style="15" customWidth="1"/>
    <col min="10233" max="10233" width="17.5546875" style="15" customWidth="1"/>
    <col min="10234" max="10234" width="18.88671875" style="15" customWidth="1"/>
    <col min="10235" max="10237" width="11" style="15" customWidth="1"/>
    <col min="10238" max="10480" width="11" style="15"/>
    <col min="10481" max="10481" width="65.33203125" style="15" customWidth="1"/>
    <col min="10482" max="10482" width="15" style="15" customWidth="1"/>
    <col min="10483" max="10484" width="15.88671875" style="15" customWidth="1"/>
    <col min="10485" max="10485" width="8.5546875" style="15" customWidth="1"/>
    <col min="10486" max="10486" width="17.44140625" style="15" customWidth="1"/>
    <col min="10487" max="10487" width="20.5546875" style="15" customWidth="1"/>
    <col min="10488" max="10488" width="11" style="15" customWidth="1"/>
    <col min="10489" max="10489" width="17.5546875" style="15" customWidth="1"/>
    <col min="10490" max="10490" width="18.88671875" style="15" customWidth="1"/>
    <col min="10491" max="10493" width="11" style="15" customWidth="1"/>
    <col min="10494" max="10736" width="11" style="15"/>
    <col min="10737" max="10737" width="65.33203125" style="15" customWidth="1"/>
    <col min="10738" max="10738" width="15" style="15" customWidth="1"/>
    <col min="10739" max="10740" width="15.88671875" style="15" customWidth="1"/>
    <col min="10741" max="10741" width="8.5546875" style="15" customWidth="1"/>
    <col min="10742" max="10742" width="17.44140625" style="15" customWidth="1"/>
    <col min="10743" max="10743" width="20.5546875" style="15" customWidth="1"/>
    <col min="10744" max="10744" width="11" style="15" customWidth="1"/>
    <col min="10745" max="10745" width="17.5546875" style="15" customWidth="1"/>
    <col min="10746" max="10746" width="18.88671875" style="15" customWidth="1"/>
    <col min="10747" max="10749" width="11" style="15" customWidth="1"/>
    <col min="10750" max="10992" width="11" style="15"/>
    <col min="10993" max="10993" width="65.33203125" style="15" customWidth="1"/>
    <col min="10994" max="10994" width="15" style="15" customWidth="1"/>
    <col min="10995" max="10996" width="15.88671875" style="15" customWidth="1"/>
    <col min="10997" max="10997" width="8.5546875" style="15" customWidth="1"/>
    <col min="10998" max="10998" width="17.44140625" style="15" customWidth="1"/>
    <col min="10999" max="10999" width="20.5546875" style="15" customWidth="1"/>
    <col min="11000" max="11000" width="11" style="15" customWidth="1"/>
    <col min="11001" max="11001" width="17.5546875" style="15" customWidth="1"/>
    <col min="11002" max="11002" width="18.88671875" style="15" customWidth="1"/>
    <col min="11003" max="11005" width="11" style="15" customWidth="1"/>
    <col min="11006" max="11248" width="11" style="15"/>
    <col min="11249" max="11249" width="65.33203125" style="15" customWidth="1"/>
    <col min="11250" max="11250" width="15" style="15" customWidth="1"/>
    <col min="11251" max="11252" width="15.88671875" style="15" customWidth="1"/>
    <col min="11253" max="11253" width="8.5546875" style="15" customWidth="1"/>
    <col min="11254" max="11254" width="17.44140625" style="15" customWidth="1"/>
    <col min="11255" max="11255" width="20.5546875" style="15" customWidth="1"/>
    <col min="11256" max="11256" width="11" style="15" customWidth="1"/>
    <col min="11257" max="11257" width="17.5546875" style="15" customWidth="1"/>
    <col min="11258" max="11258" width="18.88671875" style="15" customWidth="1"/>
    <col min="11259" max="11261" width="11" style="15" customWidth="1"/>
    <col min="11262" max="11504" width="11" style="15"/>
    <col min="11505" max="11505" width="65.33203125" style="15" customWidth="1"/>
    <col min="11506" max="11506" width="15" style="15" customWidth="1"/>
    <col min="11507" max="11508" width="15.88671875" style="15" customWidth="1"/>
    <col min="11509" max="11509" width="8.5546875" style="15" customWidth="1"/>
    <col min="11510" max="11510" width="17.44140625" style="15" customWidth="1"/>
    <col min="11511" max="11511" width="20.5546875" style="15" customWidth="1"/>
    <col min="11512" max="11512" width="11" style="15" customWidth="1"/>
    <col min="11513" max="11513" width="17.5546875" style="15" customWidth="1"/>
    <col min="11514" max="11514" width="18.88671875" style="15" customWidth="1"/>
    <col min="11515" max="11517" width="11" style="15" customWidth="1"/>
    <col min="11518" max="11760" width="11" style="15"/>
    <col min="11761" max="11761" width="65.33203125" style="15" customWidth="1"/>
    <col min="11762" max="11762" width="15" style="15" customWidth="1"/>
    <col min="11763" max="11764" width="15.88671875" style="15" customWidth="1"/>
    <col min="11765" max="11765" width="8.5546875" style="15" customWidth="1"/>
    <col min="11766" max="11766" width="17.44140625" style="15" customWidth="1"/>
    <col min="11767" max="11767" width="20.5546875" style="15" customWidth="1"/>
    <col min="11768" max="11768" width="11" style="15" customWidth="1"/>
    <col min="11769" max="11769" width="17.5546875" style="15" customWidth="1"/>
    <col min="11770" max="11770" width="18.88671875" style="15" customWidth="1"/>
    <col min="11771" max="11773" width="11" style="15" customWidth="1"/>
    <col min="11774" max="12016" width="11" style="15"/>
    <col min="12017" max="12017" width="65.33203125" style="15" customWidth="1"/>
    <col min="12018" max="12018" width="15" style="15" customWidth="1"/>
    <col min="12019" max="12020" width="15.88671875" style="15" customWidth="1"/>
    <col min="12021" max="12021" width="8.5546875" style="15" customWidth="1"/>
    <col min="12022" max="12022" width="17.44140625" style="15" customWidth="1"/>
    <col min="12023" max="12023" width="20.5546875" style="15" customWidth="1"/>
    <col min="12024" max="12024" width="11" style="15" customWidth="1"/>
    <col min="12025" max="12025" width="17.5546875" style="15" customWidth="1"/>
    <col min="12026" max="12026" width="18.88671875" style="15" customWidth="1"/>
    <col min="12027" max="12029" width="11" style="15" customWidth="1"/>
    <col min="12030" max="12272" width="11" style="15"/>
    <col min="12273" max="12273" width="65.33203125" style="15" customWidth="1"/>
    <col min="12274" max="12274" width="15" style="15" customWidth="1"/>
    <col min="12275" max="12276" width="15.88671875" style="15" customWidth="1"/>
    <col min="12277" max="12277" width="8.5546875" style="15" customWidth="1"/>
    <col min="12278" max="12278" width="17.44140625" style="15" customWidth="1"/>
    <col min="12279" max="12279" width="20.5546875" style="15" customWidth="1"/>
    <col min="12280" max="12280" width="11" style="15" customWidth="1"/>
    <col min="12281" max="12281" width="17.5546875" style="15" customWidth="1"/>
    <col min="12282" max="12282" width="18.88671875" style="15" customWidth="1"/>
    <col min="12283" max="12285" width="11" style="15" customWidth="1"/>
    <col min="12286" max="12528" width="11" style="15"/>
    <col min="12529" max="12529" width="65.33203125" style="15" customWidth="1"/>
    <col min="12530" max="12530" width="15" style="15" customWidth="1"/>
    <col min="12531" max="12532" width="15.88671875" style="15" customWidth="1"/>
    <col min="12533" max="12533" width="8.5546875" style="15" customWidth="1"/>
    <col min="12534" max="12534" width="17.44140625" style="15" customWidth="1"/>
    <col min="12535" max="12535" width="20.5546875" style="15" customWidth="1"/>
    <col min="12536" max="12536" width="11" style="15" customWidth="1"/>
    <col min="12537" max="12537" width="17.5546875" style="15" customWidth="1"/>
    <col min="12538" max="12538" width="18.88671875" style="15" customWidth="1"/>
    <col min="12539" max="12541" width="11" style="15" customWidth="1"/>
    <col min="12542" max="12784" width="11" style="15"/>
    <col min="12785" max="12785" width="65.33203125" style="15" customWidth="1"/>
    <col min="12786" max="12786" width="15" style="15" customWidth="1"/>
    <col min="12787" max="12788" width="15.88671875" style="15" customWidth="1"/>
    <col min="12789" max="12789" width="8.5546875" style="15" customWidth="1"/>
    <col min="12790" max="12790" width="17.44140625" style="15" customWidth="1"/>
    <col min="12791" max="12791" width="20.5546875" style="15" customWidth="1"/>
    <col min="12792" max="12792" width="11" style="15" customWidth="1"/>
    <col min="12793" max="12793" width="17.5546875" style="15" customWidth="1"/>
    <col min="12794" max="12794" width="18.88671875" style="15" customWidth="1"/>
    <col min="12795" max="12797" width="11" style="15" customWidth="1"/>
    <col min="12798" max="13040" width="11" style="15"/>
    <col min="13041" max="13041" width="65.33203125" style="15" customWidth="1"/>
    <col min="13042" max="13042" width="15" style="15" customWidth="1"/>
    <col min="13043" max="13044" width="15.88671875" style="15" customWidth="1"/>
    <col min="13045" max="13045" width="8.5546875" style="15" customWidth="1"/>
    <col min="13046" max="13046" width="17.44140625" style="15" customWidth="1"/>
    <col min="13047" max="13047" width="20.5546875" style="15" customWidth="1"/>
    <col min="13048" max="13048" width="11" style="15" customWidth="1"/>
    <col min="13049" max="13049" width="17.5546875" style="15" customWidth="1"/>
    <col min="13050" max="13050" width="18.88671875" style="15" customWidth="1"/>
    <col min="13051" max="13053" width="11" style="15" customWidth="1"/>
    <col min="13054" max="13296" width="11" style="15"/>
    <col min="13297" max="13297" width="65.33203125" style="15" customWidth="1"/>
    <col min="13298" max="13298" width="15" style="15" customWidth="1"/>
    <col min="13299" max="13300" width="15.88671875" style="15" customWidth="1"/>
    <col min="13301" max="13301" width="8.5546875" style="15" customWidth="1"/>
    <col min="13302" max="13302" width="17.44140625" style="15" customWidth="1"/>
    <col min="13303" max="13303" width="20.5546875" style="15" customWidth="1"/>
    <col min="13304" max="13304" width="11" style="15" customWidth="1"/>
    <col min="13305" max="13305" width="17.5546875" style="15" customWidth="1"/>
    <col min="13306" max="13306" width="18.88671875" style="15" customWidth="1"/>
    <col min="13307" max="13309" width="11" style="15" customWidth="1"/>
    <col min="13310" max="13552" width="11" style="15"/>
    <col min="13553" max="13553" width="65.33203125" style="15" customWidth="1"/>
    <col min="13554" max="13554" width="15" style="15" customWidth="1"/>
    <col min="13555" max="13556" width="15.88671875" style="15" customWidth="1"/>
    <col min="13557" max="13557" width="8.5546875" style="15" customWidth="1"/>
    <col min="13558" max="13558" width="17.44140625" style="15" customWidth="1"/>
    <col min="13559" max="13559" width="20.5546875" style="15" customWidth="1"/>
    <col min="13560" max="13560" width="11" style="15" customWidth="1"/>
    <col min="13561" max="13561" width="17.5546875" style="15" customWidth="1"/>
    <col min="13562" max="13562" width="18.88671875" style="15" customWidth="1"/>
    <col min="13563" max="13565" width="11" style="15" customWidth="1"/>
    <col min="13566" max="13808" width="11" style="15"/>
    <col min="13809" max="13809" width="65.33203125" style="15" customWidth="1"/>
    <col min="13810" max="13810" width="15" style="15" customWidth="1"/>
    <col min="13811" max="13812" width="15.88671875" style="15" customWidth="1"/>
    <col min="13813" max="13813" width="8.5546875" style="15" customWidth="1"/>
    <col min="13814" max="13814" width="17.44140625" style="15" customWidth="1"/>
    <col min="13815" max="13815" width="20.5546875" style="15" customWidth="1"/>
    <col min="13816" max="13816" width="11" style="15" customWidth="1"/>
    <col min="13817" max="13817" width="17.5546875" style="15" customWidth="1"/>
    <col min="13818" max="13818" width="18.88671875" style="15" customWidth="1"/>
    <col min="13819" max="13821" width="11" style="15" customWidth="1"/>
    <col min="13822" max="14064" width="11" style="15"/>
    <col min="14065" max="14065" width="65.33203125" style="15" customWidth="1"/>
    <col min="14066" max="14066" width="15" style="15" customWidth="1"/>
    <col min="14067" max="14068" width="15.88671875" style="15" customWidth="1"/>
    <col min="14069" max="14069" width="8.5546875" style="15" customWidth="1"/>
    <col min="14070" max="14070" width="17.44140625" style="15" customWidth="1"/>
    <col min="14071" max="14071" width="20.5546875" style="15" customWidth="1"/>
    <col min="14072" max="14072" width="11" style="15" customWidth="1"/>
    <col min="14073" max="14073" width="17.5546875" style="15" customWidth="1"/>
    <col min="14074" max="14074" width="18.88671875" style="15" customWidth="1"/>
    <col min="14075" max="14077" width="11" style="15" customWidth="1"/>
    <col min="14078" max="14320" width="11" style="15"/>
    <col min="14321" max="14321" width="65.33203125" style="15" customWidth="1"/>
    <col min="14322" max="14322" width="15" style="15" customWidth="1"/>
    <col min="14323" max="14324" width="15.88671875" style="15" customWidth="1"/>
    <col min="14325" max="14325" width="8.5546875" style="15" customWidth="1"/>
    <col min="14326" max="14326" width="17.44140625" style="15" customWidth="1"/>
    <col min="14327" max="14327" width="20.5546875" style="15" customWidth="1"/>
    <col min="14328" max="14328" width="11" style="15" customWidth="1"/>
    <col min="14329" max="14329" width="17.5546875" style="15" customWidth="1"/>
    <col min="14330" max="14330" width="18.88671875" style="15" customWidth="1"/>
    <col min="14331" max="14333" width="11" style="15" customWidth="1"/>
    <col min="14334" max="14576" width="11" style="15"/>
    <col min="14577" max="14577" width="65.33203125" style="15" customWidth="1"/>
    <col min="14578" max="14578" width="15" style="15" customWidth="1"/>
    <col min="14579" max="14580" width="15.88671875" style="15" customWidth="1"/>
    <col min="14581" max="14581" width="8.5546875" style="15" customWidth="1"/>
    <col min="14582" max="14582" width="17.44140625" style="15" customWidth="1"/>
    <col min="14583" max="14583" width="20.5546875" style="15" customWidth="1"/>
    <col min="14584" max="14584" width="11" style="15" customWidth="1"/>
    <col min="14585" max="14585" width="17.5546875" style="15" customWidth="1"/>
    <col min="14586" max="14586" width="18.88671875" style="15" customWidth="1"/>
    <col min="14587" max="14589" width="11" style="15" customWidth="1"/>
    <col min="14590" max="14832" width="11" style="15"/>
    <col min="14833" max="14833" width="65.33203125" style="15" customWidth="1"/>
    <col min="14834" max="14834" width="15" style="15" customWidth="1"/>
    <col min="14835" max="14836" width="15.88671875" style="15" customWidth="1"/>
    <col min="14837" max="14837" width="8.5546875" style="15" customWidth="1"/>
    <col min="14838" max="14838" width="17.44140625" style="15" customWidth="1"/>
    <col min="14839" max="14839" width="20.5546875" style="15" customWidth="1"/>
    <col min="14840" max="14840" width="11" style="15" customWidth="1"/>
    <col min="14841" max="14841" width="17.5546875" style="15" customWidth="1"/>
    <col min="14842" max="14842" width="18.88671875" style="15" customWidth="1"/>
    <col min="14843" max="14845" width="11" style="15" customWidth="1"/>
    <col min="14846" max="15088" width="11" style="15"/>
    <col min="15089" max="15089" width="65.33203125" style="15" customWidth="1"/>
    <col min="15090" max="15090" width="15" style="15" customWidth="1"/>
    <col min="15091" max="15092" width="15.88671875" style="15" customWidth="1"/>
    <col min="15093" max="15093" width="8.5546875" style="15" customWidth="1"/>
    <col min="15094" max="15094" width="17.44140625" style="15" customWidth="1"/>
    <col min="15095" max="15095" width="20.5546875" style="15" customWidth="1"/>
    <col min="15096" max="15096" width="11" style="15" customWidth="1"/>
    <col min="15097" max="15097" width="17.5546875" style="15" customWidth="1"/>
    <col min="15098" max="15098" width="18.88671875" style="15" customWidth="1"/>
    <col min="15099" max="15101" width="11" style="15" customWidth="1"/>
    <col min="15102" max="15344" width="11" style="15"/>
    <col min="15345" max="15345" width="65.33203125" style="15" customWidth="1"/>
    <col min="15346" max="15346" width="15" style="15" customWidth="1"/>
    <col min="15347" max="15348" width="15.88671875" style="15" customWidth="1"/>
    <col min="15349" max="15349" width="8.5546875" style="15" customWidth="1"/>
    <col min="15350" max="15350" width="17.44140625" style="15" customWidth="1"/>
    <col min="15351" max="15351" width="20.5546875" style="15" customWidth="1"/>
    <col min="15352" max="15352" width="11" style="15" customWidth="1"/>
    <col min="15353" max="15353" width="17.5546875" style="15" customWidth="1"/>
    <col min="15354" max="15354" width="18.88671875" style="15" customWidth="1"/>
    <col min="15355" max="15357" width="11" style="15" customWidth="1"/>
    <col min="15358" max="15600" width="11" style="15"/>
    <col min="15601" max="15601" width="65.33203125" style="15" customWidth="1"/>
    <col min="15602" max="15602" width="15" style="15" customWidth="1"/>
    <col min="15603" max="15604" width="15.88671875" style="15" customWidth="1"/>
    <col min="15605" max="15605" width="8.5546875" style="15" customWidth="1"/>
    <col min="15606" max="15606" width="17.44140625" style="15" customWidth="1"/>
    <col min="15607" max="15607" width="20.5546875" style="15" customWidth="1"/>
    <col min="15608" max="15608" width="11" style="15" customWidth="1"/>
    <col min="15609" max="15609" width="17.5546875" style="15" customWidth="1"/>
    <col min="15610" max="15610" width="18.88671875" style="15" customWidth="1"/>
    <col min="15611" max="15613" width="11" style="15" customWidth="1"/>
    <col min="15614" max="15856" width="11" style="15"/>
    <col min="15857" max="15857" width="65.33203125" style="15" customWidth="1"/>
    <col min="15858" max="15858" width="15" style="15" customWidth="1"/>
    <col min="15859" max="15860" width="15.88671875" style="15" customWidth="1"/>
    <col min="15861" max="15861" width="8.5546875" style="15" customWidth="1"/>
    <col min="15862" max="15862" width="17.44140625" style="15" customWidth="1"/>
    <col min="15863" max="15863" width="20.5546875" style="15" customWidth="1"/>
    <col min="15864" max="15864" width="11" style="15" customWidth="1"/>
    <col min="15865" max="15865" width="17.5546875" style="15" customWidth="1"/>
    <col min="15866" max="15866" width="18.88671875" style="15" customWidth="1"/>
    <col min="15867" max="15869" width="11" style="15" customWidth="1"/>
    <col min="15870" max="16112" width="11" style="15"/>
    <col min="16113" max="16113" width="65.33203125" style="15" customWidth="1"/>
    <col min="16114" max="16114" width="15" style="15" customWidth="1"/>
    <col min="16115" max="16116" width="15.88671875" style="15" customWidth="1"/>
    <col min="16117" max="16117" width="8.5546875" style="15" customWidth="1"/>
    <col min="16118" max="16118" width="17.44140625" style="15" customWidth="1"/>
    <col min="16119" max="16119" width="20.5546875" style="15" customWidth="1"/>
    <col min="16120" max="16120" width="11" style="15" customWidth="1"/>
    <col min="16121" max="16121" width="17.5546875" style="15" customWidth="1"/>
    <col min="16122" max="16122" width="18.88671875" style="15" customWidth="1"/>
    <col min="16123" max="16125" width="11" style="15" customWidth="1"/>
    <col min="16126" max="16384" width="11" style="15"/>
  </cols>
  <sheetData>
    <row r="1" spans="1:830" s="5" customFormat="1" ht="15" customHeight="1" x14ac:dyDescent="0.3">
      <c r="A1" s="20" t="s">
        <v>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</row>
    <row r="2" spans="1:830" s="5" customFormat="1" ht="15" customHeight="1" x14ac:dyDescent="0.25">
      <c r="A2" s="20" t="s">
        <v>39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0"/>
      <c r="WL2" s="20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0"/>
      <c r="XR2" s="20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0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0"/>
      <c r="ZV2" s="20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0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0"/>
      <c r="ABP2" s="20"/>
      <c r="ABQ2" s="20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0"/>
      <c r="ACN2" s="20"/>
      <c r="ACO2" s="20"/>
      <c r="ACP2" s="20"/>
      <c r="ACQ2" s="20"/>
      <c r="ACR2" s="20"/>
      <c r="ACS2" s="20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0"/>
      <c r="ADS2" s="20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0"/>
      <c r="AES2" s="20"/>
      <c r="AET2" s="20"/>
      <c r="AEU2" s="20"/>
      <c r="AEV2" s="20"/>
      <c r="AEW2" s="20"/>
      <c r="AEX2" s="20"/>
    </row>
    <row r="3" spans="1:830" s="5" customFormat="1" ht="9.3000000000000007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</row>
    <row r="4" spans="1:830" s="7" customFormat="1" ht="12" x14ac:dyDescent="0.25">
      <c r="A4" s="3" t="s">
        <v>0</v>
      </c>
      <c r="B4" s="6">
        <v>2015</v>
      </c>
      <c r="C4" s="6">
        <v>2016</v>
      </c>
      <c r="D4" s="6">
        <v>2017</v>
      </c>
      <c r="E4" s="7">
        <v>2018</v>
      </c>
      <c r="F4" s="7">
        <v>2019</v>
      </c>
      <c r="G4" s="6">
        <v>2020</v>
      </c>
      <c r="H4" s="6">
        <v>2021</v>
      </c>
      <c r="I4" s="6">
        <v>2022</v>
      </c>
      <c r="J4" s="6">
        <v>2023</v>
      </c>
      <c r="K4" s="7">
        <v>2024</v>
      </c>
    </row>
    <row r="5" spans="1:830" s="7" customFormat="1" ht="12" x14ac:dyDescent="0.2">
      <c r="B5" s="4"/>
      <c r="C5" s="4"/>
      <c r="D5" s="4"/>
      <c r="F5" s="5"/>
    </row>
    <row r="6" spans="1:830" s="5" customFormat="1" ht="12.15" x14ac:dyDescent="0.25">
      <c r="A6" s="8" t="s">
        <v>1</v>
      </c>
      <c r="B6" s="9">
        <v>331459.26999999996</v>
      </c>
      <c r="C6" s="9">
        <v>369725.87300000002</v>
      </c>
      <c r="D6" s="9">
        <v>422424</v>
      </c>
      <c r="E6" s="9">
        <v>462479</v>
      </c>
      <c r="F6" s="9">
        <v>495376</v>
      </c>
      <c r="G6" s="22">
        <v>522495</v>
      </c>
      <c r="H6" s="26">
        <v>597370</v>
      </c>
      <c r="I6" s="26">
        <v>687070</v>
      </c>
      <c r="J6" s="9">
        <v>720687.191291</v>
      </c>
      <c r="K6" s="9">
        <f>SUM(K8+K20+K26+K34+K38+K39)</f>
        <v>796354.26277999999</v>
      </c>
    </row>
    <row r="7" spans="1:830" s="5" customFormat="1" ht="12.15" x14ac:dyDescent="0.25">
      <c r="A7" s="8"/>
      <c r="B7" s="21"/>
      <c r="C7" s="21"/>
      <c r="D7" s="21"/>
      <c r="E7" s="21"/>
      <c r="F7" s="21"/>
      <c r="G7" s="23"/>
    </row>
    <row r="8" spans="1:830" s="5" customFormat="1" ht="12.15" x14ac:dyDescent="0.25">
      <c r="A8" s="8" t="s">
        <v>2</v>
      </c>
      <c r="B8" s="1">
        <v>297233.59999999998</v>
      </c>
      <c r="C8" s="1">
        <v>328944.98000000004</v>
      </c>
      <c r="D8" s="1">
        <v>375755</v>
      </c>
      <c r="E8" s="1">
        <v>408089</v>
      </c>
      <c r="F8" s="1">
        <v>439922</v>
      </c>
      <c r="G8" s="23">
        <v>468194</v>
      </c>
      <c r="H8" s="25">
        <v>540377</v>
      </c>
      <c r="I8" s="25">
        <v>620939</v>
      </c>
      <c r="J8" s="1">
        <f t="shared" ref="J8:K8" si="0">SUM(J9+J14+J19)</f>
        <v>647021.27588299999</v>
      </c>
      <c r="K8" s="1">
        <f t="shared" si="0"/>
        <v>693937.293939</v>
      </c>
    </row>
    <row r="9" spans="1:830" s="5" customFormat="1" ht="12" x14ac:dyDescent="0.2">
      <c r="A9" s="10" t="s">
        <v>3</v>
      </c>
      <c r="B9" s="1">
        <v>107823</v>
      </c>
      <c r="C9" s="1">
        <v>127715.48</v>
      </c>
      <c r="D9" s="1">
        <v>152687</v>
      </c>
      <c r="E9" s="1">
        <v>168686</v>
      </c>
      <c r="F9" s="1">
        <v>180884</v>
      </c>
      <c r="G9" s="23">
        <v>191887</v>
      </c>
      <c r="H9" s="25">
        <v>214539</v>
      </c>
      <c r="I9" s="25">
        <v>248343</v>
      </c>
      <c r="J9" s="24">
        <f>SUM(J10:J13)</f>
        <v>262380.85885700001</v>
      </c>
      <c r="K9" s="24">
        <f>SUM(K10:K13)</f>
        <v>272599.98863400001</v>
      </c>
    </row>
    <row r="10" spans="1:830" s="5" customFormat="1" ht="12" x14ac:dyDescent="0.2">
      <c r="A10" s="3" t="s">
        <v>4</v>
      </c>
      <c r="B10" s="1">
        <v>79896</v>
      </c>
      <c r="C10" s="1">
        <v>96707.7</v>
      </c>
      <c r="D10" s="1">
        <v>118394</v>
      </c>
      <c r="E10" s="1">
        <v>132246</v>
      </c>
      <c r="F10" s="1">
        <v>140495</v>
      </c>
      <c r="G10" s="23">
        <v>148012</v>
      </c>
      <c r="H10" s="25">
        <v>166867</v>
      </c>
      <c r="I10" s="25">
        <v>194741</v>
      </c>
      <c r="J10" s="24">
        <v>204919.11754000001</v>
      </c>
      <c r="K10" s="21">
        <v>212789.74980399999</v>
      </c>
    </row>
    <row r="11" spans="1:830" s="5" customFormat="1" ht="12" x14ac:dyDescent="0.2">
      <c r="A11" s="3" t="s">
        <v>5</v>
      </c>
      <c r="B11" s="1">
        <v>20152</v>
      </c>
      <c r="C11" s="1">
        <v>22213.58</v>
      </c>
      <c r="D11" s="1">
        <v>23295</v>
      </c>
      <c r="E11" s="1">
        <v>23620</v>
      </c>
      <c r="F11" s="1">
        <v>25972</v>
      </c>
      <c r="G11" s="23">
        <v>27338</v>
      </c>
      <c r="H11" s="25">
        <v>30428</v>
      </c>
      <c r="I11" s="25">
        <v>35075</v>
      </c>
      <c r="J11" s="24">
        <v>38267.844865999999</v>
      </c>
      <c r="K11" s="21">
        <v>40551.153517999999</v>
      </c>
    </row>
    <row r="12" spans="1:830" s="5" customFormat="1" ht="12" x14ac:dyDescent="0.25">
      <c r="A12" s="3" t="s">
        <v>6</v>
      </c>
      <c r="B12" s="1">
        <v>1238</v>
      </c>
      <c r="C12" s="1">
        <v>1363.9</v>
      </c>
      <c r="D12" s="1">
        <v>1512</v>
      </c>
      <c r="E12" s="1">
        <v>1747</v>
      </c>
      <c r="F12" s="1">
        <v>2107</v>
      </c>
      <c r="G12" s="23">
        <v>2456</v>
      </c>
      <c r="H12" s="25">
        <v>2247</v>
      </c>
      <c r="I12" s="25">
        <v>2359</v>
      </c>
      <c r="J12" s="24">
        <v>2687.3104469999998</v>
      </c>
      <c r="K12" s="21">
        <v>2799.5123520000002</v>
      </c>
    </row>
    <row r="13" spans="1:830" s="5" customFormat="1" ht="12" x14ac:dyDescent="0.2">
      <c r="A13" s="3" t="s">
        <v>7</v>
      </c>
      <c r="B13" s="1">
        <v>6537</v>
      </c>
      <c r="C13" s="1">
        <v>7430.3</v>
      </c>
      <c r="D13" s="1">
        <v>9486</v>
      </c>
      <c r="E13" s="1">
        <v>11073</v>
      </c>
      <c r="F13" s="1">
        <v>12310</v>
      </c>
      <c r="G13" s="23">
        <v>14081</v>
      </c>
      <c r="H13" s="25">
        <v>14998</v>
      </c>
      <c r="I13" s="25">
        <v>16168</v>
      </c>
      <c r="J13" s="24">
        <v>16506.586004000001</v>
      </c>
      <c r="K13" s="21">
        <v>16459.572960000001</v>
      </c>
    </row>
    <row r="14" spans="1:830" s="5" customFormat="1" ht="12" x14ac:dyDescent="0.2">
      <c r="A14" s="10" t="s">
        <v>8</v>
      </c>
      <c r="B14" s="1">
        <v>184320.6</v>
      </c>
      <c r="C14" s="1">
        <v>196174.30000000002</v>
      </c>
      <c r="D14" s="1">
        <v>216696</v>
      </c>
      <c r="E14" s="1">
        <v>229765</v>
      </c>
      <c r="F14" s="1">
        <v>248787</v>
      </c>
      <c r="G14" s="23">
        <v>265683</v>
      </c>
      <c r="H14" s="25">
        <v>313095</v>
      </c>
      <c r="I14" s="25">
        <v>358026</v>
      </c>
      <c r="J14" s="24">
        <f>SUM(J15:J18)</f>
        <v>370213.54213100002</v>
      </c>
      <c r="K14" s="24">
        <f>SUM(K15:K18)</f>
        <v>405110.78390499996</v>
      </c>
    </row>
    <row r="15" spans="1:830" s="5" customFormat="1" ht="12" x14ac:dyDescent="0.2">
      <c r="A15" s="3" t="s">
        <v>9</v>
      </c>
      <c r="B15" s="1">
        <v>171835.3</v>
      </c>
      <c r="C15" s="1">
        <v>184005.7</v>
      </c>
      <c r="D15" s="1">
        <v>203913</v>
      </c>
      <c r="E15" s="1">
        <v>216346</v>
      </c>
      <c r="F15" s="1">
        <v>234591</v>
      </c>
      <c r="G15" s="23">
        <v>251058</v>
      </c>
      <c r="H15" s="25">
        <v>295013</v>
      </c>
      <c r="I15" s="25">
        <v>337151</v>
      </c>
      <c r="J15" s="24">
        <v>351129.20117399999</v>
      </c>
      <c r="K15" s="21">
        <v>383283.766542</v>
      </c>
    </row>
    <row r="16" spans="1:830" s="5" customFormat="1" ht="12" x14ac:dyDescent="0.25">
      <c r="A16" s="10" t="s">
        <v>10</v>
      </c>
      <c r="B16" s="1">
        <v>110.06</v>
      </c>
      <c r="C16" s="1">
        <v>117.5</v>
      </c>
      <c r="D16" s="1">
        <v>125</v>
      </c>
      <c r="E16" s="1">
        <v>132</v>
      </c>
      <c r="F16" s="1">
        <v>101</v>
      </c>
      <c r="G16" s="23">
        <v>95</v>
      </c>
      <c r="H16" s="23">
        <v>102</v>
      </c>
      <c r="I16" s="25">
        <v>377</v>
      </c>
      <c r="J16" s="27">
        <v>421.88064100000003</v>
      </c>
      <c r="K16" s="21">
        <v>574.26000299999998</v>
      </c>
    </row>
    <row r="17" spans="1:11" s="5" customFormat="1" ht="12" x14ac:dyDescent="0.2">
      <c r="A17" s="10" t="s">
        <v>11</v>
      </c>
      <c r="B17" s="1">
        <v>11343.2</v>
      </c>
      <c r="C17" s="1">
        <v>10956.5</v>
      </c>
      <c r="D17" s="1">
        <v>11520</v>
      </c>
      <c r="E17" s="1">
        <v>12060</v>
      </c>
      <c r="F17" s="1">
        <v>12848</v>
      </c>
      <c r="G17" s="23">
        <v>13299</v>
      </c>
      <c r="H17" s="25">
        <v>16502</v>
      </c>
      <c r="I17" s="25">
        <v>18821</v>
      </c>
      <c r="J17" s="24">
        <v>17218.346810999999</v>
      </c>
      <c r="K17" s="21">
        <v>19722.155178000001</v>
      </c>
    </row>
    <row r="18" spans="1:11" s="5" customFormat="1" ht="12" x14ac:dyDescent="0.2">
      <c r="A18" s="10" t="s">
        <v>12</v>
      </c>
      <c r="B18" s="1">
        <v>1032.04</v>
      </c>
      <c r="C18" s="1">
        <v>1094.5999999999999</v>
      </c>
      <c r="D18" s="1">
        <v>1138</v>
      </c>
      <c r="E18" s="1">
        <v>1227</v>
      </c>
      <c r="F18" s="1">
        <v>1247</v>
      </c>
      <c r="G18" s="23">
        <v>1231</v>
      </c>
      <c r="H18" s="25">
        <v>1479</v>
      </c>
      <c r="I18" s="25">
        <v>1677</v>
      </c>
      <c r="J18" s="24">
        <v>1444.113505</v>
      </c>
      <c r="K18" s="21">
        <v>1530.6021820000001</v>
      </c>
    </row>
    <row r="19" spans="1:11" s="5" customFormat="1" ht="12" x14ac:dyDescent="0.2">
      <c r="A19" s="10" t="s">
        <v>13</v>
      </c>
      <c r="B19" s="1">
        <v>5090</v>
      </c>
      <c r="C19" s="1">
        <v>5055.2</v>
      </c>
      <c r="D19" s="1">
        <v>6372</v>
      </c>
      <c r="E19" s="1">
        <v>9638</v>
      </c>
      <c r="F19" s="1">
        <v>10251</v>
      </c>
      <c r="G19" s="23">
        <v>10624</v>
      </c>
      <c r="H19" s="25">
        <v>12743</v>
      </c>
      <c r="I19" s="25">
        <v>14570</v>
      </c>
      <c r="J19" s="24">
        <v>14426.874895000001</v>
      </c>
      <c r="K19" s="21">
        <v>16226.5214</v>
      </c>
    </row>
    <row r="20" spans="1:11" s="5" customFormat="1" ht="12" x14ac:dyDescent="0.2">
      <c r="A20" s="4" t="s">
        <v>14</v>
      </c>
      <c r="B20" s="1">
        <v>24341</v>
      </c>
      <c r="C20" s="1">
        <v>27117.227999999999</v>
      </c>
      <c r="D20" s="1">
        <v>31729</v>
      </c>
      <c r="E20" s="1">
        <v>32724</v>
      </c>
      <c r="F20" s="1">
        <v>37752</v>
      </c>
      <c r="G20" s="23">
        <v>32908</v>
      </c>
      <c r="H20" s="25">
        <v>39370</v>
      </c>
      <c r="I20" s="25">
        <v>45333</v>
      </c>
      <c r="J20" s="24">
        <f>SUM(J21:J25)</f>
        <v>52742.382915000002</v>
      </c>
      <c r="K20" s="24">
        <f>SUM(K21:K25)</f>
        <v>62493.697402999998</v>
      </c>
    </row>
    <row r="21" spans="1:11" s="5" customFormat="1" ht="12" x14ac:dyDescent="0.2">
      <c r="A21" s="3" t="s">
        <v>15</v>
      </c>
      <c r="B21" s="1">
        <v>18057</v>
      </c>
      <c r="C21" s="1">
        <v>21023.13</v>
      </c>
      <c r="D21" s="1">
        <v>24446</v>
      </c>
      <c r="E21" s="1">
        <v>25228</v>
      </c>
      <c r="F21" s="1">
        <v>28372</v>
      </c>
      <c r="G21" s="23">
        <v>26773</v>
      </c>
      <c r="H21" s="25">
        <v>30537</v>
      </c>
      <c r="I21" s="25">
        <v>36728</v>
      </c>
      <c r="J21" s="24">
        <v>41376.565760999998</v>
      </c>
      <c r="K21" s="21">
        <v>47089.571240999998</v>
      </c>
    </row>
    <row r="22" spans="1:11" s="5" customFormat="1" ht="12" x14ac:dyDescent="0.2">
      <c r="A22" s="3" t="s">
        <v>16</v>
      </c>
      <c r="B22" s="1">
        <v>852</v>
      </c>
      <c r="C22" s="1">
        <v>762.01</v>
      </c>
      <c r="D22" s="1">
        <v>745</v>
      </c>
      <c r="E22" s="1">
        <v>886</v>
      </c>
      <c r="F22" s="1">
        <v>843</v>
      </c>
      <c r="G22" s="23">
        <v>465</v>
      </c>
      <c r="H22" s="25">
        <v>1506</v>
      </c>
      <c r="I22" s="25">
        <v>1037</v>
      </c>
      <c r="J22" s="24">
        <v>1022.977025</v>
      </c>
      <c r="K22" s="21">
        <v>4784.473371</v>
      </c>
    </row>
    <row r="23" spans="1:11" s="5" customFormat="1" ht="12" x14ac:dyDescent="0.2">
      <c r="A23" s="3" t="s">
        <v>17</v>
      </c>
      <c r="B23" s="1">
        <v>1389</v>
      </c>
      <c r="C23" s="1">
        <v>602.82100000000003</v>
      </c>
      <c r="D23" s="1">
        <v>1505</v>
      </c>
      <c r="E23" s="1">
        <v>1394</v>
      </c>
      <c r="F23" s="1">
        <v>2409</v>
      </c>
      <c r="G23" s="23">
        <v>681</v>
      </c>
      <c r="H23" s="25">
        <v>2427</v>
      </c>
      <c r="I23" s="25">
        <v>1150</v>
      </c>
      <c r="J23" s="24">
        <v>1972.0217170000001</v>
      </c>
      <c r="K23" s="21">
        <v>1150.0461</v>
      </c>
    </row>
    <row r="24" spans="1:11" s="5" customFormat="1" ht="12" x14ac:dyDescent="0.2">
      <c r="A24" s="3" t="s">
        <v>18</v>
      </c>
      <c r="B24" s="1">
        <v>2191</v>
      </c>
      <c r="C24" s="1">
        <v>2243.8519999999999</v>
      </c>
      <c r="D24" s="1">
        <v>2288</v>
      </c>
      <c r="E24" s="1">
        <v>2421</v>
      </c>
      <c r="F24" s="1">
        <v>2599</v>
      </c>
      <c r="G24" s="23">
        <v>2221</v>
      </c>
      <c r="H24" s="25">
        <v>2363</v>
      </c>
      <c r="I24" s="25">
        <v>3262</v>
      </c>
      <c r="J24" s="24">
        <v>4361.9459660000002</v>
      </c>
      <c r="K24" s="21">
        <v>4883.3950329999998</v>
      </c>
    </row>
    <row r="25" spans="1:11" s="5" customFormat="1" ht="12" x14ac:dyDescent="0.2">
      <c r="A25" s="3" t="s">
        <v>19</v>
      </c>
      <c r="B25" s="1">
        <v>1852</v>
      </c>
      <c r="C25" s="1">
        <v>2485.415</v>
      </c>
      <c r="D25" s="1">
        <v>2745</v>
      </c>
      <c r="E25" s="1">
        <v>2795</v>
      </c>
      <c r="F25" s="1">
        <v>3529</v>
      </c>
      <c r="G25" s="23">
        <v>2768</v>
      </c>
      <c r="H25" s="25">
        <v>2536</v>
      </c>
      <c r="I25" s="25">
        <v>3156</v>
      </c>
      <c r="J25" s="24">
        <v>4008.8724459999999</v>
      </c>
      <c r="K25" s="21">
        <v>4586.2116580000002</v>
      </c>
    </row>
    <row r="26" spans="1:11" s="5" customFormat="1" ht="12" x14ac:dyDescent="0.2">
      <c r="A26" s="3" t="s">
        <v>20</v>
      </c>
      <c r="B26" s="1">
        <v>6216.2</v>
      </c>
      <c r="C26" s="1">
        <v>13182.092999999999</v>
      </c>
      <c r="D26" s="1">
        <v>14576</v>
      </c>
      <c r="E26" s="1">
        <v>21089</v>
      </c>
      <c r="F26" s="1">
        <v>17233</v>
      </c>
      <c r="G26" s="23">
        <v>20446</v>
      </c>
      <c r="H26" s="25">
        <v>17036</v>
      </c>
      <c r="I26" s="25">
        <v>19524</v>
      </c>
      <c r="J26" s="1">
        <f>SUM(J27+J32)</f>
        <v>19714.776577000001</v>
      </c>
      <c r="K26" s="1">
        <f t="shared" ref="K26" si="1">SUM(K27+K32)</f>
        <v>38412.421812000001</v>
      </c>
    </row>
    <row r="27" spans="1:11" s="5" customFormat="1" ht="12" x14ac:dyDescent="0.25">
      <c r="A27" s="3" t="s">
        <v>21</v>
      </c>
      <c r="B27" s="1">
        <v>6201.2</v>
      </c>
      <c r="C27" s="1">
        <v>13142.092999999999</v>
      </c>
      <c r="D27" s="1">
        <v>14536</v>
      </c>
      <c r="E27" s="1">
        <v>21057</v>
      </c>
      <c r="F27" s="1">
        <v>17201</v>
      </c>
      <c r="G27" s="23">
        <v>20446</v>
      </c>
      <c r="H27" s="25">
        <v>17036</v>
      </c>
      <c r="I27" s="25">
        <v>19524</v>
      </c>
      <c r="J27" s="29">
        <v>19654.776577000001</v>
      </c>
      <c r="K27" s="21">
        <v>38112.421812000001</v>
      </c>
    </row>
    <row r="28" spans="1:11" s="5" customFormat="1" ht="12" x14ac:dyDescent="0.25">
      <c r="A28" s="11" t="s">
        <v>22</v>
      </c>
      <c r="B28" s="1">
        <v>1960.2</v>
      </c>
      <c r="C28" s="1">
        <v>2755.846</v>
      </c>
      <c r="D28" s="2" t="s">
        <v>26</v>
      </c>
      <c r="E28" s="1">
        <v>543</v>
      </c>
      <c r="F28" s="1">
        <v>6853</v>
      </c>
      <c r="G28" s="23">
        <v>9764</v>
      </c>
      <c r="H28" s="25">
        <v>10450</v>
      </c>
      <c r="I28" s="25">
        <v>9226</v>
      </c>
      <c r="J28" s="24">
        <v>9176.1029319999998</v>
      </c>
      <c r="K28" s="21">
        <v>21729.462624</v>
      </c>
    </row>
    <row r="29" spans="1:11" s="5" customFormat="1" ht="12" x14ac:dyDescent="0.25">
      <c r="A29" s="11" t="s">
        <v>23</v>
      </c>
      <c r="B29" s="1">
        <v>4241</v>
      </c>
      <c r="C29" s="1">
        <v>10378.186</v>
      </c>
      <c r="D29" s="1">
        <v>14510</v>
      </c>
      <c r="E29" s="1">
        <v>20511</v>
      </c>
      <c r="F29" s="1">
        <v>10348</v>
      </c>
      <c r="G29" s="23">
        <v>10682</v>
      </c>
      <c r="H29" s="25">
        <v>6586</v>
      </c>
      <c r="I29" s="25">
        <v>10298</v>
      </c>
      <c r="J29" s="24">
        <v>10078.673645000001</v>
      </c>
      <c r="K29" s="21">
        <v>15994.959188000001</v>
      </c>
    </row>
    <row r="30" spans="1:11" s="5" customFormat="1" ht="12" x14ac:dyDescent="0.2">
      <c r="A30" s="11" t="s">
        <v>24</v>
      </c>
      <c r="B30" s="2" t="s">
        <v>26</v>
      </c>
      <c r="C30" s="1">
        <v>8.0609999999999999</v>
      </c>
      <c r="D30" s="1">
        <v>26</v>
      </c>
      <c r="E30" s="1">
        <v>3</v>
      </c>
      <c r="F30" s="2" t="s">
        <v>26</v>
      </c>
      <c r="G30" s="23" t="s">
        <v>26</v>
      </c>
      <c r="H30" s="23" t="s">
        <v>26</v>
      </c>
      <c r="I30" s="25" t="s">
        <v>26</v>
      </c>
      <c r="J30" s="23" t="s">
        <v>26</v>
      </c>
      <c r="K30" s="34" t="s">
        <v>26</v>
      </c>
    </row>
    <row r="31" spans="1:11" s="5" customFormat="1" ht="12" x14ac:dyDescent="0.2">
      <c r="A31" s="11" t="s">
        <v>41</v>
      </c>
      <c r="B31" s="2" t="s">
        <v>26</v>
      </c>
      <c r="C31" s="2" t="s">
        <v>26</v>
      </c>
      <c r="D31" s="2" t="s">
        <v>26</v>
      </c>
      <c r="E31" s="2" t="s">
        <v>26</v>
      </c>
      <c r="F31" s="2" t="s">
        <v>26</v>
      </c>
      <c r="G31" s="2" t="s">
        <v>26</v>
      </c>
      <c r="H31" s="2" t="s">
        <v>26</v>
      </c>
      <c r="I31" s="2" t="s">
        <v>26</v>
      </c>
      <c r="J31" s="23">
        <v>400</v>
      </c>
      <c r="K31" s="21">
        <v>388</v>
      </c>
    </row>
    <row r="32" spans="1:11" s="5" customFormat="1" ht="12" x14ac:dyDescent="0.25">
      <c r="A32" s="3" t="s">
        <v>25</v>
      </c>
      <c r="B32" s="1">
        <v>15</v>
      </c>
      <c r="C32" s="1">
        <v>40</v>
      </c>
      <c r="D32" s="1">
        <v>40</v>
      </c>
      <c r="E32" s="1">
        <v>32</v>
      </c>
      <c r="F32" s="1">
        <v>32</v>
      </c>
      <c r="G32" s="23" t="s">
        <v>26</v>
      </c>
      <c r="H32" s="23" t="s">
        <v>26</v>
      </c>
      <c r="I32" s="25" t="s">
        <v>26</v>
      </c>
      <c r="J32" s="23">
        <v>60</v>
      </c>
      <c r="K32" s="21">
        <v>300</v>
      </c>
    </row>
    <row r="33" spans="1:11" s="5" customFormat="1" ht="12" x14ac:dyDescent="0.25">
      <c r="A33" s="3" t="s">
        <v>43</v>
      </c>
      <c r="B33" s="2" t="s">
        <v>26</v>
      </c>
      <c r="C33" s="2" t="s">
        <v>26</v>
      </c>
      <c r="D33" s="2" t="s">
        <v>26</v>
      </c>
      <c r="E33" s="2" t="s">
        <v>26</v>
      </c>
      <c r="F33" s="2" t="s">
        <v>26</v>
      </c>
      <c r="G33" s="2" t="s">
        <v>26</v>
      </c>
      <c r="H33" s="2" t="s">
        <v>26</v>
      </c>
      <c r="I33" s="2" t="s">
        <v>26</v>
      </c>
      <c r="J33" s="23">
        <v>60</v>
      </c>
      <c r="K33" s="21">
        <v>300</v>
      </c>
    </row>
    <row r="34" spans="1:11" s="5" customFormat="1" ht="12" x14ac:dyDescent="0.25">
      <c r="A34" s="8" t="s">
        <v>27</v>
      </c>
      <c r="B34" s="1">
        <v>35.47</v>
      </c>
      <c r="C34" s="1">
        <v>287.572</v>
      </c>
      <c r="D34" s="1">
        <v>66</v>
      </c>
      <c r="E34" s="1">
        <v>90</v>
      </c>
      <c r="F34" s="1">
        <v>91</v>
      </c>
      <c r="G34" s="23">
        <v>74</v>
      </c>
      <c r="H34" s="23">
        <v>224</v>
      </c>
      <c r="I34" s="25">
        <v>302</v>
      </c>
      <c r="J34" s="30">
        <v>309.90267399999999</v>
      </c>
      <c r="K34" s="27">
        <f>SUM(K35:K37)</f>
        <v>403.82577800000001</v>
      </c>
    </row>
    <row r="35" spans="1:11" s="5" customFormat="1" ht="12" x14ac:dyDescent="0.25">
      <c r="A35" s="3" t="s">
        <v>28</v>
      </c>
      <c r="B35" s="1">
        <v>5.47</v>
      </c>
      <c r="C35" s="1">
        <v>27.094999999999999</v>
      </c>
      <c r="D35" s="1">
        <v>13</v>
      </c>
      <c r="E35" s="1">
        <v>6</v>
      </c>
      <c r="F35" s="1">
        <v>36</v>
      </c>
      <c r="G35" s="23">
        <v>6</v>
      </c>
      <c r="H35" s="23">
        <v>23</v>
      </c>
      <c r="I35" s="25">
        <v>27</v>
      </c>
      <c r="J35" s="30">
        <v>85.269476999999995</v>
      </c>
      <c r="K35" s="21">
        <v>31.685493000000001</v>
      </c>
    </row>
    <row r="36" spans="1:11" s="5" customFormat="1" ht="12" x14ac:dyDescent="0.25">
      <c r="A36" s="3" t="s">
        <v>29</v>
      </c>
      <c r="B36" s="1">
        <v>19</v>
      </c>
      <c r="C36" s="1">
        <v>258.47699999999998</v>
      </c>
      <c r="D36" s="1">
        <v>52</v>
      </c>
      <c r="E36" s="1">
        <v>84</v>
      </c>
      <c r="F36" s="1">
        <v>49</v>
      </c>
      <c r="G36" s="23">
        <v>65</v>
      </c>
      <c r="H36" s="23">
        <v>200</v>
      </c>
      <c r="I36" s="25">
        <v>274</v>
      </c>
      <c r="J36" s="30">
        <v>223.16453300000001</v>
      </c>
      <c r="K36" s="21">
        <v>349.64437099999998</v>
      </c>
    </row>
    <row r="37" spans="1:11" s="5" customFormat="1" ht="12" x14ac:dyDescent="0.25">
      <c r="A37" s="3" t="s">
        <v>30</v>
      </c>
      <c r="B37" s="1">
        <v>11</v>
      </c>
      <c r="C37" s="1">
        <v>2</v>
      </c>
      <c r="D37" s="1">
        <v>1</v>
      </c>
      <c r="E37" s="2" t="s">
        <v>26</v>
      </c>
      <c r="F37" s="1">
        <v>6</v>
      </c>
      <c r="G37" s="23">
        <v>3</v>
      </c>
      <c r="H37" s="23">
        <v>1</v>
      </c>
      <c r="I37" s="25">
        <v>1</v>
      </c>
      <c r="J37" s="30">
        <v>1.468664</v>
      </c>
      <c r="K37" s="21">
        <v>22.495913999999999</v>
      </c>
    </row>
    <row r="38" spans="1:11" s="5" customFormat="1" ht="12" x14ac:dyDescent="0.25">
      <c r="A38" s="3" t="s">
        <v>31</v>
      </c>
      <c r="B38" s="1">
        <v>106</v>
      </c>
      <c r="C38" s="1">
        <v>143</v>
      </c>
      <c r="D38" s="1">
        <v>244</v>
      </c>
      <c r="E38" s="1">
        <v>428</v>
      </c>
      <c r="F38" s="1">
        <v>315</v>
      </c>
      <c r="G38" s="23">
        <v>804</v>
      </c>
      <c r="H38" s="23">
        <v>312</v>
      </c>
      <c r="I38" s="25">
        <v>921</v>
      </c>
      <c r="J38" s="30">
        <v>848.06623200000001</v>
      </c>
      <c r="K38" s="21">
        <v>1056.236838</v>
      </c>
    </row>
    <row r="39" spans="1:11" s="5" customFormat="1" ht="12" x14ac:dyDescent="0.25">
      <c r="A39" s="3" t="s">
        <v>32</v>
      </c>
      <c r="B39" s="1">
        <v>3527</v>
      </c>
      <c r="C39" s="1">
        <v>51</v>
      </c>
      <c r="D39" s="1">
        <v>55</v>
      </c>
      <c r="E39" s="1">
        <v>59</v>
      </c>
      <c r="F39" s="1">
        <v>63</v>
      </c>
      <c r="G39" s="23">
        <v>69</v>
      </c>
      <c r="H39" s="23">
        <v>51</v>
      </c>
      <c r="I39" s="25">
        <v>51</v>
      </c>
      <c r="J39" s="30">
        <v>50.787010000000002</v>
      </c>
      <c r="K39" s="21">
        <v>50.787010000000002</v>
      </c>
    </row>
    <row r="40" spans="1:11" s="13" customFormat="1" ht="9.3000000000000007" customHeight="1" x14ac:dyDescent="0.25">
      <c r="A40" s="3"/>
      <c r="B40" s="3"/>
      <c r="C40" s="12"/>
      <c r="D40" s="12"/>
      <c r="E40" s="12"/>
      <c r="I40" s="25"/>
    </row>
    <row r="41" spans="1:11" s="13" customFormat="1" ht="12" x14ac:dyDescent="0.25">
      <c r="A41" s="7" t="s">
        <v>33</v>
      </c>
      <c r="B41" s="7"/>
      <c r="C41" s="5"/>
      <c r="D41" s="5"/>
      <c r="E41" s="5"/>
    </row>
    <row r="42" spans="1:11" s="13" customFormat="1" ht="12" x14ac:dyDescent="0.25">
      <c r="A42" s="8" t="s">
        <v>34</v>
      </c>
      <c r="B42" s="8"/>
      <c r="C42" s="5"/>
      <c r="D42" s="5"/>
      <c r="E42" s="5"/>
    </row>
    <row r="43" spans="1:11" s="13" customFormat="1" ht="12" x14ac:dyDescent="0.25">
      <c r="A43" s="8"/>
      <c r="B43" s="8"/>
      <c r="C43" s="5"/>
      <c r="D43" s="5"/>
      <c r="E43" s="5"/>
    </row>
    <row r="44" spans="1:11" x14ac:dyDescent="0.25">
      <c r="A44" s="7"/>
      <c r="B44" s="7"/>
      <c r="C44" s="14"/>
      <c r="D44" s="14"/>
      <c r="E44" s="14"/>
    </row>
    <row r="45" spans="1:11" x14ac:dyDescent="0.25">
      <c r="A45" s="7"/>
      <c r="B45" s="7"/>
      <c r="C45" s="14"/>
      <c r="D45" s="14"/>
      <c r="E45" s="14"/>
    </row>
    <row r="46" spans="1:11" x14ac:dyDescent="0.25">
      <c r="A46" s="16"/>
      <c r="B46" s="16"/>
    </row>
    <row r="51" spans="3:5" x14ac:dyDescent="0.25">
      <c r="C51" s="15"/>
      <c r="D51" s="15"/>
      <c r="E51" s="15"/>
    </row>
    <row r="52" spans="3:5" x14ac:dyDescent="0.25">
      <c r="C52" s="15"/>
      <c r="D52" s="15"/>
      <c r="E52" s="15"/>
    </row>
    <row r="53" spans="3:5" x14ac:dyDescent="0.25">
      <c r="C53" s="15"/>
      <c r="D53" s="15"/>
      <c r="E53" s="15"/>
    </row>
    <row r="54" spans="3:5" x14ac:dyDescent="0.25">
      <c r="C54" s="15"/>
      <c r="D54" s="15"/>
      <c r="E54" s="15"/>
    </row>
    <row r="55" spans="3:5" x14ac:dyDescent="0.25">
      <c r="C55" s="15"/>
      <c r="D55" s="15"/>
      <c r="E55" s="15"/>
    </row>
    <row r="56" spans="3:5" x14ac:dyDescent="0.25">
      <c r="C56" s="15"/>
      <c r="D56" s="15"/>
      <c r="E56" s="15"/>
    </row>
    <row r="57" spans="3:5" x14ac:dyDescent="0.25">
      <c r="C57" s="15"/>
      <c r="D57" s="15"/>
      <c r="E57" s="15"/>
    </row>
    <row r="58" spans="3:5" x14ac:dyDescent="0.25">
      <c r="C58" s="15"/>
      <c r="D58" s="15"/>
      <c r="E58" s="15"/>
    </row>
    <row r="59" spans="3:5" x14ac:dyDescent="0.25">
      <c r="C59" s="15"/>
      <c r="D59" s="15"/>
      <c r="E59" s="15"/>
    </row>
    <row r="60" spans="3:5" x14ac:dyDescent="0.25">
      <c r="C60" s="15"/>
      <c r="D60" s="15"/>
      <c r="E60" s="15"/>
    </row>
    <row r="61" spans="3:5" x14ac:dyDescent="0.25">
      <c r="C61" s="15"/>
      <c r="D61" s="15"/>
      <c r="E61" s="15"/>
    </row>
    <row r="62" spans="3:5" x14ac:dyDescent="0.25">
      <c r="C62" s="15"/>
      <c r="D62" s="15"/>
      <c r="E62" s="15"/>
    </row>
    <row r="63" spans="3:5" x14ac:dyDescent="0.25">
      <c r="C63" s="15"/>
      <c r="D63" s="15"/>
      <c r="E63" s="15"/>
    </row>
    <row r="64" spans="3:5" x14ac:dyDescent="0.25">
      <c r="C64" s="15"/>
      <c r="D64" s="15"/>
      <c r="E64" s="15"/>
    </row>
    <row r="65" spans="3:5" x14ac:dyDescent="0.25">
      <c r="C65" s="15"/>
      <c r="D65" s="15"/>
      <c r="E65" s="15"/>
    </row>
    <row r="66" spans="3:5" x14ac:dyDescent="0.25">
      <c r="C66" s="15"/>
      <c r="D66" s="15"/>
      <c r="E66" s="15"/>
    </row>
    <row r="67" spans="3:5" x14ac:dyDescent="0.25">
      <c r="C67" s="15"/>
      <c r="D67" s="15"/>
      <c r="E67" s="15"/>
    </row>
    <row r="68" spans="3:5" x14ac:dyDescent="0.25">
      <c r="C68" s="15"/>
      <c r="D68" s="15"/>
      <c r="E68" s="15"/>
    </row>
    <row r="69" spans="3:5" x14ac:dyDescent="0.25">
      <c r="C69" s="15"/>
      <c r="D69" s="15"/>
      <c r="E69" s="15"/>
    </row>
    <row r="70" spans="3:5" x14ac:dyDescent="0.25">
      <c r="C70" s="15"/>
      <c r="D70" s="15"/>
      <c r="E70" s="15"/>
    </row>
    <row r="71" spans="3:5" x14ac:dyDescent="0.25">
      <c r="C71" s="15"/>
      <c r="D71" s="15"/>
      <c r="E71" s="15"/>
    </row>
    <row r="72" spans="3:5" x14ac:dyDescent="0.25">
      <c r="C72" s="15"/>
      <c r="D72" s="15"/>
      <c r="E72" s="15"/>
    </row>
    <row r="73" spans="3:5" x14ac:dyDescent="0.25">
      <c r="C73" s="15"/>
      <c r="D73" s="15"/>
      <c r="E73" s="15"/>
    </row>
    <row r="74" spans="3:5" x14ac:dyDescent="0.25">
      <c r="C74" s="15"/>
      <c r="D74" s="15"/>
      <c r="E74" s="15"/>
    </row>
    <row r="75" spans="3:5" x14ac:dyDescent="0.25">
      <c r="C75" s="15"/>
      <c r="D75" s="15"/>
      <c r="E75" s="15"/>
    </row>
    <row r="76" spans="3:5" x14ac:dyDescent="0.25">
      <c r="C76" s="15"/>
      <c r="D76" s="15"/>
      <c r="E76" s="15"/>
    </row>
    <row r="77" spans="3:5" x14ac:dyDescent="0.25">
      <c r="C77" s="15"/>
      <c r="D77" s="15"/>
      <c r="E77" s="15"/>
    </row>
    <row r="78" spans="3:5" x14ac:dyDescent="0.25">
      <c r="C78" s="15"/>
      <c r="D78" s="15"/>
      <c r="E78" s="15"/>
    </row>
    <row r="79" spans="3:5" x14ac:dyDescent="0.25">
      <c r="C79" s="15"/>
      <c r="D79" s="15"/>
      <c r="E79" s="15"/>
    </row>
    <row r="80" spans="3:5" x14ac:dyDescent="0.25">
      <c r="C80" s="15"/>
      <c r="D80" s="15"/>
      <c r="E80" s="15"/>
    </row>
    <row r="81" spans="3:5" x14ac:dyDescent="0.25">
      <c r="C81" s="15"/>
      <c r="D81" s="15"/>
      <c r="E81" s="15"/>
    </row>
    <row r="82" spans="3:5" x14ac:dyDescent="0.25">
      <c r="C82" s="15"/>
      <c r="D82" s="15"/>
      <c r="E82" s="15"/>
    </row>
    <row r="83" spans="3:5" x14ac:dyDescent="0.25">
      <c r="C83" s="15"/>
      <c r="D83" s="15"/>
      <c r="E83" s="15"/>
    </row>
    <row r="84" spans="3:5" x14ac:dyDescent="0.25">
      <c r="C84" s="15"/>
      <c r="D84" s="15"/>
      <c r="E84" s="15"/>
    </row>
    <row r="85" spans="3:5" x14ac:dyDescent="0.25">
      <c r="C85" s="15"/>
      <c r="D85" s="15"/>
      <c r="E85" s="15"/>
    </row>
    <row r="86" spans="3:5" x14ac:dyDescent="0.25">
      <c r="C86" s="15"/>
      <c r="D86" s="15"/>
      <c r="E86" s="15"/>
    </row>
    <row r="87" spans="3:5" x14ac:dyDescent="0.25">
      <c r="C87" s="15"/>
      <c r="D87" s="15"/>
      <c r="E87" s="15"/>
    </row>
    <row r="88" spans="3:5" x14ac:dyDescent="0.25">
      <c r="C88" s="15"/>
      <c r="D88" s="15"/>
      <c r="E88" s="15"/>
    </row>
    <row r="89" spans="3:5" x14ac:dyDescent="0.25">
      <c r="C89" s="15"/>
      <c r="D89" s="15"/>
      <c r="E89" s="15"/>
    </row>
    <row r="90" spans="3:5" x14ac:dyDescent="0.25">
      <c r="C90" s="15"/>
      <c r="D90" s="15"/>
      <c r="E90" s="15"/>
    </row>
    <row r="91" spans="3:5" x14ac:dyDescent="0.25">
      <c r="C91" s="15"/>
      <c r="D91" s="15"/>
      <c r="E91" s="15"/>
    </row>
    <row r="92" spans="3:5" x14ac:dyDescent="0.25">
      <c r="C92" s="15"/>
      <c r="D92" s="15"/>
      <c r="E92" s="15"/>
    </row>
    <row r="93" spans="3:5" x14ac:dyDescent="0.25">
      <c r="C93" s="15"/>
      <c r="D93" s="15"/>
      <c r="E93" s="15"/>
    </row>
    <row r="94" spans="3:5" x14ac:dyDescent="0.25">
      <c r="C94" s="15"/>
      <c r="D94" s="15"/>
      <c r="E94" s="15"/>
    </row>
    <row r="95" spans="3:5" x14ac:dyDescent="0.25">
      <c r="C95" s="15"/>
      <c r="D95" s="15"/>
      <c r="E95" s="15"/>
    </row>
    <row r="96" spans="3:5" x14ac:dyDescent="0.25">
      <c r="C96" s="15"/>
      <c r="D96" s="15"/>
      <c r="E96" s="15"/>
    </row>
    <row r="97" spans="3:5" x14ac:dyDescent="0.25">
      <c r="C97" s="15"/>
      <c r="D97" s="15"/>
      <c r="E97" s="15"/>
    </row>
    <row r="98" spans="3:5" x14ac:dyDescent="0.25">
      <c r="C98" s="15"/>
      <c r="D98" s="15"/>
      <c r="E98" s="15"/>
    </row>
    <row r="99" spans="3:5" x14ac:dyDescent="0.25">
      <c r="C99" s="15"/>
      <c r="D99" s="15"/>
      <c r="E99" s="15"/>
    </row>
    <row r="100" spans="3:5" x14ac:dyDescent="0.25">
      <c r="C100" s="15"/>
      <c r="D100" s="15"/>
      <c r="E100" s="15"/>
    </row>
    <row r="101" spans="3:5" x14ac:dyDescent="0.25">
      <c r="C101" s="15"/>
      <c r="D101" s="15"/>
      <c r="E101" s="15"/>
    </row>
    <row r="102" spans="3:5" x14ac:dyDescent="0.25">
      <c r="C102" s="15"/>
      <c r="D102" s="15"/>
      <c r="E102" s="15"/>
    </row>
    <row r="103" spans="3:5" x14ac:dyDescent="0.25">
      <c r="C103" s="15"/>
      <c r="D103" s="15"/>
      <c r="E103" s="15"/>
    </row>
    <row r="104" spans="3:5" x14ac:dyDescent="0.25">
      <c r="C104" s="15"/>
      <c r="D104" s="15"/>
      <c r="E104" s="15"/>
    </row>
    <row r="105" spans="3:5" x14ac:dyDescent="0.25">
      <c r="C105" s="15"/>
      <c r="D105" s="15"/>
      <c r="E105" s="15"/>
    </row>
    <row r="106" spans="3:5" x14ac:dyDescent="0.25">
      <c r="C106" s="15"/>
      <c r="D106" s="15"/>
      <c r="E106" s="15"/>
    </row>
    <row r="107" spans="3:5" x14ac:dyDescent="0.25">
      <c r="C107" s="15"/>
      <c r="D107" s="15"/>
      <c r="E107" s="15"/>
    </row>
    <row r="108" spans="3:5" x14ac:dyDescent="0.25">
      <c r="C108" s="15"/>
      <c r="D108" s="15"/>
      <c r="E108" s="15"/>
    </row>
    <row r="109" spans="3:5" x14ac:dyDescent="0.25">
      <c r="C109" s="15"/>
      <c r="D109" s="15"/>
      <c r="E109" s="15"/>
    </row>
    <row r="110" spans="3:5" x14ac:dyDescent="0.25">
      <c r="C110" s="15"/>
      <c r="D110" s="15"/>
      <c r="E110" s="15"/>
    </row>
    <row r="111" spans="3:5" x14ac:dyDescent="0.25">
      <c r="C111" s="15"/>
      <c r="D111" s="15"/>
      <c r="E111" s="15"/>
    </row>
    <row r="112" spans="3:5" x14ac:dyDescent="0.25">
      <c r="C112" s="15"/>
      <c r="D112" s="15"/>
      <c r="E112" s="15"/>
    </row>
    <row r="113" spans="3:5" x14ac:dyDescent="0.25">
      <c r="C113" s="15"/>
      <c r="D113" s="15"/>
      <c r="E113" s="15"/>
    </row>
    <row r="114" spans="3:5" x14ac:dyDescent="0.25">
      <c r="C114" s="15"/>
      <c r="D114" s="15"/>
      <c r="E114" s="15"/>
    </row>
    <row r="115" spans="3:5" x14ac:dyDescent="0.25">
      <c r="C115" s="15"/>
      <c r="D115" s="15"/>
      <c r="E115" s="15"/>
    </row>
    <row r="116" spans="3:5" x14ac:dyDescent="0.25">
      <c r="C116" s="15"/>
      <c r="D116" s="15"/>
      <c r="E116" s="15"/>
    </row>
    <row r="117" spans="3:5" x14ac:dyDescent="0.25">
      <c r="C117" s="15"/>
      <c r="D117" s="15"/>
      <c r="E117" s="15"/>
    </row>
    <row r="118" spans="3:5" x14ac:dyDescent="0.25">
      <c r="C118" s="15"/>
      <c r="D118" s="15"/>
      <c r="E118" s="15"/>
    </row>
    <row r="119" spans="3:5" x14ac:dyDescent="0.25">
      <c r="C119" s="15"/>
      <c r="D119" s="15"/>
      <c r="E119" s="15"/>
    </row>
    <row r="120" spans="3:5" x14ac:dyDescent="0.25">
      <c r="C120" s="15"/>
      <c r="D120" s="15"/>
      <c r="E120" s="15"/>
    </row>
    <row r="121" spans="3:5" x14ac:dyDescent="0.25">
      <c r="C121" s="15"/>
      <c r="D121" s="15"/>
      <c r="E121" s="15"/>
    </row>
    <row r="122" spans="3:5" x14ac:dyDescent="0.25">
      <c r="C122" s="15"/>
      <c r="D122" s="15"/>
      <c r="E122" s="15"/>
    </row>
    <row r="123" spans="3:5" x14ac:dyDescent="0.25">
      <c r="C123" s="15"/>
      <c r="D123" s="15"/>
      <c r="E123" s="15"/>
    </row>
    <row r="124" spans="3:5" x14ac:dyDescent="0.25">
      <c r="C124" s="15"/>
      <c r="D124" s="15"/>
      <c r="E124" s="15"/>
    </row>
    <row r="125" spans="3:5" x14ac:dyDescent="0.25">
      <c r="C125" s="15"/>
      <c r="D125" s="15"/>
      <c r="E125" s="15"/>
    </row>
    <row r="126" spans="3:5" x14ac:dyDescent="0.25">
      <c r="C126" s="15"/>
      <c r="D126" s="15"/>
      <c r="E126" s="15"/>
    </row>
    <row r="127" spans="3:5" x14ac:dyDescent="0.25">
      <c r="C127" s="15"/>
      <c r="D127" s="15"/>
      <c r="E127" s="15"/>
    </row>
    <row r="128" spans="3:5" x14ac:dyDescent="0.25">
      <c r="C128" s="15"/>
      <c r="D128" s="15"/>
      <c r="E128" s="15"/>
    </row>
    <row r="129" spans="3:5" x14ac:dyDescent="0.25">
      <c r="C129" s="15"/>
      <c r="D129" s="15"/>
      <c r="E129" s="15"/>
    </row>
    <row r="130" spans="3:5" x14ac:dyDescent="0.25">
      <c r="C130" s="15"/>
      <c r="D130" s="15"/>
      <c r="E130" s="15"/>
    </row>
    <row r="131" spans="3:5" x14ac:dyDescent="0.25">
      <c r="C131" s="15"/>
      <c r="D131" s="15"/>
      <c r="E131" s="15"/>
    </row>
    <row r="132" spans="3:5" x14ac:dyDescent="0.25">
      <c r="C132" s="15"/>
      <c r="D132" s="15"/>
      <c r="E132" s="15"/>
    </row>
    <row r="133" spans="3:5" x14ac:dyDescent="0.25">
      <c r="C133" s="15"/>
      <c r="D133" s="15"/>
      <c r="E133" s="15"/>
    </row>
    <row r="134" spans="3:5" x14ac:dyDescent="0.25">
      <c r="C134" s="15"/>
      <c r="D134" s="15"/>
      <c r="E134" s="15"/>
    </row>
    <row r="135" spans="3:5" x14ac:dyDescent="0.25">
      <c r="C135" s="15"/>
      <c r="D135" s="15"/>
      <c r="E135" s="15"/>
    </row>
    <row r="136" spans="3:5" x14ac:dyDescent="0.25">
      <c r="C136" s="15"/>
      <c r="D136" s="15"/>
      <c r="E136" s="15"/>
    </row>
    <row r="137" spans="3:5" x14ac:dyDescent="0.25">
      <c r="C137" s="15"/>
      <c r="D137" s="15"/>
      <c r="E137" s="15"/>
    </row>
    <row r="138" spans="3:5" x14ac:dyDescent="0.25">
      <c r="C138" s="15"/>
      <c r="D138" s="15"/>
      <c r="E138" s="15"/>
    </row>
    <row r="139" spans="3:5" x14ac:dyDescent="0.25">
      <c r="C139" s="15"/>
      <c r="D139" s="15"/>
      <c r="E139" s="15"/>
    </row>
    <row r="140" spans="3:5" x14ac:dyDescent="0.25">
      <c r="C140" s="15"/>
      <c r="D140" s="15"/>
      <c r="E140" s="15"/>
    </row>
    <row r="141" spans="3:5" x14ac:dyDescent="0.25">
      <c r="C141" s="15"/>
      <c r="D141" s="15"/>
      <c r="E141" s="15"/>
    </row>
    <row r="142" spans="3:5" x14ac:dyDescent="0.25">
      <c r="C142" s="15"/>
      <c r="D142" s="15"/>
      <c r="E142" s="15"/>
    </row>
    <row r="143" spans="3:5" x14ac:dyDescent="0.25">
      <c r="C143" s="15"/>
      <c r="D143" s="15"/>
      <c r="E143" s="15"/>
    </row>
    <row r="144" spans="3:5" x14ac:dyDescent="0.25">
      <c r="C144" s="15"/>
      <c r="D144" s="15"/>
      <c r="E144" s="15"/>
    </row>
    <row r="145" spans="3:5" x14ac:dyDescent="0.25">
      <c r="C145" s="15"/>
      <c r="D145" s="15"/>
      <c r="E145" s="15"/>
    </row>
    <row r="146" spans="3:5" x14ac:dyDescent="0.25">
      <c r="C146" s="15"/>
      <c r="D146" s="15"/>
      <c r="E146" s="15"/>
    </row>
    <row r="147" spans="3:5" x14ac:dyDescent="0.25">
      <c r="C147" s="15"/>
      <c r="D147" s="15"/>
      <c r="E147" s="15"/>
    </row>
    <row r="148" spans="3:5" x14ac:dyDescent="0.25">
      <c r="C148" s="15"/>
      <c r="D148" s="15"/>
      <c r="E148" s="15"/>
    </row>
    <row r="149" spans="3:5" x14ac:dyDescent="0.25">
      <c r="C149" s="15"/>
      <c r="D149" s="15"/>
      <c r="E149" s="15"/>
    </row>
    <row r="150" spans="3:5" x14ac:dyDescent="0.25">
      <c r="C150" s="15"/>
      <c r="D150" s="15"/>
      <c r="E150" s="15"/>
    </row>
    <row r="151" spans="3:5" x14ac:dyDescent="0.25">
      <c r="C151" s="15"/>
      <c r="D151" s="15"/>
      <c r="E151" s="15"/>
    </row>
    <row r="152" spans="3:5" x14ac:dyDescent="0.25">
      <c r="C152" s="15"/>
      <c r="D152" s="15"/>
      <c r="E152" s="15"/>
    </row>
    <row r="153" spans="3:5" x14ac:dyDescent="0.25">
      <c r="C153" s="15"/>
      <c r="D153" s="15"/>
      <c r="E153" s="15"/>
    </row>
    <row r="154" spans="3:5" x14ac:dyDescent="0.25">
      <c r="C154" s="15"/>
      <c r="D154" s="15"/>
      <c r="E154" s="15"/>
    </row>
    <row r="155" spans="3:5" x14ac:dyDescent="0.25">
      <c r="C155" s="15"/>
      <c r="D155" s="15"/>
      <c r="E155" s="15"/>
    </row>
    <row r="156" spans="3:5" x14ac:dyDescent="0.25">
      <c r="C156" s="15"/>
      <c r="D156" s="15"/>
      <c r="E156" s="15"/>
    </row>
    <row r="157" spans="3:5" x14ac:dyDescent="0.25">
      <c r="C157" s="15"/>
      <c r="D157" s="15"/>
      <c r="E157" s="15"/>
    </row>
    <row r="158" spans="3:5" x14ac:dyDescent="0.25">
      <c r="C158" s="15"/>
      <c r="D158" s="15"/>
      <c r="E158" s="15"/>
    </row>
    <row r="159" spans="3:5" x14ac:dyDescent="0.25">
      <c r="C159" s="15"/>
      <c r="D159" s="15"/>
      <c r="E159" s="15"/>
    </row>
    <row r="160" spans="3:5" x14ac:dyDescent="0.25">
      <c r="C160" s="15"/>
      <c r="D160" s="15"/>
      <c r="E160" s="15"/>
    </row>
    <row r="161" spans="3:5" x14ac:dyDescent="0.25">
      <c r="C161" s="15"/>
      <c r="D161" s="15"/>
      <c r="E161" s="15"/>
    </row>
    <row r="162" spans="3:5" x14ac:dyDescent="0.25">
      <c r="C162" s="15"/>
      <c r="D162" s="15"/>
      <c r="E162" s="15"/>
    </row>
    <row r="163" spans="3:5" x14ac:dyDescent="0.25">
      <c r="C163" s="15"/>
      <c r="D163" s="15"/>
      <c r="E163" s="15"/>
    </row>
    <row r="164" spans="3:5" x14ac:dyDescent="0.25">
      <c r="C164" s="15"/>
      <c r="D164" s="15"/>
      <c r="E164" s="15"/>
    </row>
    <row r="165" spans="3:5" x14ac:dyDescent="0.25">
      <c r="C165" s="15"/>
      <c r="D165" s="15"/>
      <c r="E165" s="15"/>
    </row>
    <row r="166" spans="3:5" x14ac:dyDescent="0.25">
      <c r="C166" s="15"/>
      <c r="D166" s="15"/>
      <c r="E166" s="15"/>
    </row>
    <row r="167" spans="3:5" x14ac:dyDescent="0.25">
      <c r="C167" s="15"/>
      <c r="D167" s="15"/>
      <c r="E167" s="15"/>
    </row>
    <row r="168" spans="3:5" x14ac:dyDescent="0.25">
      <c r="C168" s="15"/>
      <c r="D168" s="15"/>
      <c r="E168" s="15"/>
    </row>
    <row r="169" spans="3:5" x14ac:dyDescent="0.25">
      <c r="C169" s="15"/>
      <c r="D169" s="15"/>
      <c r="E169" s="15"/>
    </row>
    <row r="170" spans="3:5" x14ac:dyDescent="0.25">
      <c r="C170" s="15"/>
      <c r="D170" s="15"/>
      <c r="E170" s="15"/>
    </row>
    <row r="171" spans="3:5" x14ac:dyDescent="0.25">
      <c r="C171" s="15"/>
      <c r="D171" s="15"/>
      <c r="E171" s="15"/>
    </row>
    <row r="172" spans="3:5" x14ac:dyDescent="0.25">
      <c r="C172" s="15"/>
      <c r="D172" s="15"/>
      <c r="E172" s="15"/>
    </row>
    <row r="173" spans="3:5" x14ac:dyDescent="0.25">
      <c r="C173" s="15"/>
      <c r="D173" s="15"/>
      <c r="E173" s="15"/>
    </row>
    <row r="174" spans="3:5" x14ac:dyDescent="0.25">
      <c r="C174" s="15"/>
      <c r="D174" s="15"/>
      <c r="E174" s="15"/>
    </row>
    <row r="175" spans="3:5" x14ac:dyDescent="0.25">
      <c r="C175" s="15"/>
      <c r="D175" s="15"/>
      <c r="E175" s="15"/>
    </row>
    <row r="176" spans="3:5" x14ac:dyDescent="0.25">
      <c r="C176" s="15"/>
      <c r="D176" s="15"/>
      <c r="E176" s="15"/>
    </row>
    <row r="177" spans="3:5" x14ac:dyDescent="0.25">
      <c r="C177" s="15"/>
      <c r="D177" s="15"/>
      <c r="E177" s="15"/>
    </row>
    <row r="178" spans="3:5" x14ac:dyDescent="0.25">
      <c r="C178" s="15"/>
      <c r="D178" s="15"/>
      <c r="E178" s="15"/>
    </row>
    <row r="179" spans="3:5" x14ac:dyDescent="0.25">
      <c r="C179" s="15"/>
      <c r="D179" s="15"/>
      <c r="E179" s="15"/>
    </row>
    <row r="180" spans="3:5" x14ac:dyDescent="0.25">
      <c r="C180" s="15"/>
      <c r="D180" s="15"/>
      <c r="E180" s="15"/>
    </row>
    <row r="181" spans="3:5" x14ac:dyDescent="0.25">
      <c r="C181" s="15"/>
      <c r="D181" s="15"/>
      <c r="E181" s="15"/>
    </row>
    <row r="182" spans="3:5" x14ac:dyDescent="0.25">
      <c r="C182" s="15"/>
      <c r="D182" s="15"/>
      <c r="E182" s="15"/>
    </row>
    <row r="183" spans="3:5" x14ac:dyDescent="0.25">
      <c r="C183" s="15"/>
      <c r="D183" s="15"/>
      <c r="E183" s="15"/>
    </row>
    <row r="184" spans="3:5" x14ac:dyDescent="0.25">
      <c r="C184" s="15"/>
      <c r="D184" s="15"/>
      <c r="E184" s="15"/>
    </row>
    <row r="185" spans="3:5" x14ac:dyDescent="0.25">
      <c r="C185" s="15"/>
      <c r="D185" s="15"/>
      <c r="E185" s="15"/>
    </row>
    <row r="186" spans="3:5" x14ac:dyDescent="0.25">
      <c r="C186" s="15"/>
      <c r="D186" s="15"/>
      <c r="E186" s="15"/>
    </row>
    <row r="187" spans="3:5" x14ac:dyDescent="0.25">
      <c r="C187" s="15"/>
      <c r="D187" s="15"/>
      <c r="E187" s="15"/>
    </row>
    <row r="188" spans="3:5" x14ac:dyDescent="0.25">
      <c r="C188" s="15"/>
      <c r="D188" s="15"/>
      <c r="E188" s="15"/>
    </row>
    <row r="189" spans="3:5" x14ac:dyDescent="0.25">
      <c r="C189" s="15"/>
      <c r="D189" s="15"/>
      <c r="E189" s="15"/>
    </row>
    <row r="190" spans="3:5" x14ac:dyDescent="0.25">
      <c r="C190" s="15"/>
      <c r="D190" s="15"/>
      <c r="E190" s="15"/>
    </row>
    <row r="191" spans="3:5" x14ac:dyDescent="0.25">
      <c r="C191" s="15"/>
      <c r="D191" s="15"/>
      <c r="E191" s="15"/>
    </row>
    <row r="192" spans="3:5" x14ac:dyDescent="0.25">
      <c r="C192" s="15"/>
      <c r="D192" s="15"/>
      <c r="E192" s="15"/>
    </row>
    <row r="193" spans="3:5" x14ac:dyDescent="0.25">
      <c r="C193" s="15"/>
      <c r="D193" s="15"/>
      <c r="E193" s="15"/>
    </row>
    <row r="194" spans="3:5" x14ac:dyDescent="0.25">
      <c r="C194" s="15"/>
      <c r="D194" s="15"/>
      <c r="E194" s="15"/>
    </row>
    <row r="195" spans="3:5" x14ac:dyDescent="0.25">
      <c r="C195" s="15"/>
      <c r="D195" s="15"/>
      <c r="E195" s="15"/>
    </row>
    <row r="196" spans="3:5" x14ac:dyDescent="0.25">
      <c r="C196" s="15"/>
      <c r="D196" s="15"/>
      <c r="E196" s="15"/>
    </row>
    <row r="197" spans="3:5" x14ac:dyDescent="0.25">
      <c r="C197" s="15"/>
      <c r="D197" s="15"/>
      <c r="E197" s="15"/>
    </row>
    <row r="198" spans="3:5" x14ac:dyDescent="0.25">
      <c r="C198" s="15"/>
      <c r="D198" s="15"/>
      <c r="E198" s="15"/>
    </row>
    <row r="199" spans="3:5" x14ac:dyDescent="0.25">
      <c r="C199" s="15"/>
      <c r="D199" s="15"/>
      <c r="E199" s="15"/>
    </row>
    <row r="200" spans="3:5" x14ac:dyDescent="0.25">
      <c r="C200" s="15"/>
      <c r="D200" s="15"/>
      <c r="E200" s="15"/>
    </row>
    <row r="201" spans="3:5" x14ac:dyDescent="0.25">
      <c r="C201" s="15"/>
      <c r="D201" s="15"/>
      <c r="E201" s="15"/>
    </row>
    <row r="202" spans="3:5" x14ac:dyDescent="0.25">
      <c r="C202" s="15"/>
      <c r="D202" s="15"/>
      <c r="E202" s="15"/>
    </row>
    <row r="203" spans="3:5" x14ac:dyDescent="0.25">
      <c r="C203" s="15"/>
      <c r="D203" s="15"/>
      <c r="E203" s="15"/>
    </row>
    <row r="204" spans="3:5" x14ac:dyDescent="0.25">
      <c r="C204" s="15"/>
      <c r="D204" s="15"/>
      <c r="E204" s="15"/>
    </row>
    <row r="205" spans="3:5" x14ac:dyDescent="0.25">
      <c r="C205" s="15"/>
      <c r="D205" s="15"/>
      <c r="E205" s="15"/>
    </row>
    <row r="206" spans="3:5" x14ac:dyDescent="0.25">
      <c r="C206" s="15"/>
      <c r="D206" s="15"/>
      <c r="E206" s="15"/>
    </row>
    <row r="207" spans="3:5" x14ac:dyDescent="0.25">
      <c r="C207" s="15"/>
      <c r="D207" s="15"/>
      <c r="E207" s="15"/>
    </row>
    <row r="208" spans="3:5" x14ac:dyDescent="0.25">
      <c r="C208" s="15"/>
      <c r="D208" s="15"/>
      <c r="E208" s="15"/>
    </row>
    <row r="209" spans="3:5" x14ac:dyDescent="0.25">
      <c r="C209" s="15"/>
      <c r="D209" s="15"/>
      <c r="E209" s="15"/>
    </row>
    <row r="210" spans="3:5" x14ac:dyDescent="0.25">
      <c r="C210" s="15"/>
      <c r="D210" s="15"/>
      <c r="E210" s="15"/>
    </row>
    <row r="211" spans="3:5" x14ac:dyDescent="0.25">
      <c r="C211" s="15"/>
      <c r="D211" s="15"/>
      <c r="E211" s="15"/>
    </row>
    <row r="212" spans="3:5" x14ac:dyDescent="0.25">
      <c r="C212" s="15"/>
      <c r="D212" s="15"/>
      <c r="E212" s="15"/>
    </row>
    <row r="213" spans="3:5" x14ac:dyDescent="0.25">
      <c r="C213" s="15"/>
      <c r="D213" s="15"/>
      <c r="E213" s="15"/>
    </row>
    <row r="214" spans="3:5" x14ac:dyDescent="0.25">
      <c r="C214" s="15"/>
      <c r="D214" s="15"/>
      <c r="E214" s="15"/>
    </row>
    <row r="215" spans="3:5" x14ac:dyDescent="0.25">
      <c r="C215" s="15"/>
      <c r="D215" s="15"/>
      <c r="E215" s="15"/>
    </row>
    <row r="216" spans="3:5" x14ac:dyDescent="0.25">
      <c r="C216" s="15"/>
      <c r="D216" s="15"/>
      <c r="E216" s="15"/>
    </row>
    <row r="217" spans="3:5" x14ac:dyDescent="0.25">
      <c r="C217" s="15"/>
      <c r="D217" s="15"/>
      <c r="E217" s="15"/>
    </row>
    <row r="218" spans="3:5" x14ac:dyDescent="0.25">
      <c r="C218" s="15"/>
      <c r="D218" s="15"/>
      <c r="E218" s="15"/>
    </row>
    <row r="219" spans="3:5" x14ac:dyDescent="0.25">
      <c r="C219" s="15"/>
      <c r="D219" s="15"/>
      <c r="E219" s="15"/>
    </row>
    <row r="220" spans="3:5" x14ac:dyDescent="0.25">
      <c r="C220" s="15"/>
      <c r="D220" s="15"/>
      <c r="E220" s="15"/>
    </row>
    <row r="221" spans="3:5" x14ac:dyDescent="0.25">
      <c r="C221" s="15"/>
      <c r="D221" s="15"/>
      <c r="E221" s="15"/>
    </row>
    <row r="222" spans="3:5" x14ac:dyDescent="0.25">
      <c r="C222" s="15"/>
      <c r="D222" s="15"/>
      <c r="E222" s="15"/>
    </row>
    <row r="223" spans="3:5" x14ac:dyDescent="0.25">
      <c r="C223" s="15"/>
      <c r="D223" s="15"/>
      <c r="E223" s="15"/>
    </row>
    <row r="224" spans="3:5" x14ac:dyDescent="0.25">
      <c r="C224" s="15"/>
      <c r="D224" s="15"/>
      <c r="E224" s="15"/>
    </row>
    <row r="225" spans="3:5" x14ac:dyDescent="0.25">
      <c r="C225" s="15"/>
      <c r="D225" s="15"/>
      <c r="E225" s="15"/>
    </row>
    <row r="226" spans="3:5" x14ac:dyDescent="0.25">
      <c r="C226" s="15"/>
      <c r="D226" s="15"/>
      <c r="E226" s="15"/>
    </row>
    <row r="227" spans="3:5" x14ac:dyDescent="0.25">
      <c r="C227" s="15"/>
      <c r="D227" s="15"/>
      <c r="E227" s="15"/>
    </row>
    <row r="228" spans="3:5" x14ac:dyDescent="0.25">
      <c r="C228" s="15"/>
      <c r="D228" s="15"/>
      <c r="E228" s="15"/>
    </row>
    <row r="229" spans="3:5" x14ac:dyDescent="0.25">
      <c r="C229" s="15"/>
      <c r="D229" s="15"/>
      <c r="E229" s="15"/>
    </row>
    <row r="230" spans="3:5" x14ac:dyDescent="0.25">
      <c r="C230" s="15"/>
      <c r="D230" s="15"/>
      <c r="E230" s="15"/>
    </row>
    <row r="231" spans="3:5" x14ac:dyDescent="0.25">
      <c r="C231" s="15"/>
      <c r="D231" s="15"/>
      <c r="E231" s="15"/>
    </row>
    <row r="232" spans="3:5" x14ac:dyDescent="0.25">
      <c r="C232" s="15"/>
      <c r="D232" s="15"/>
      <c r="E232" s="15"/>
    </row>
    <row r="233" spans="3:5" x14ac:dyDescent="0.25">
      <c r="C233" s="15"/>
      <c r="D233" s="15"/>
      <c r="E233" s="15"/>
    </row>
    <row r="234" spans="3:5" x14ac:dyDescent="0.25">
      <c r="C234" s="15"/>
      <c r="D234" s="15"/>
      <c r="E234" s="15"/>
    </row>
    <row r="235" spans="3:5" x14ac:dyDescent="0.25">
      <c r="C235" s="15"/>
      <c r="D235" s="15"/>
      <c r="E235" s="15"/>
    </row>
    <row r="236" spans="3:5" x14ac:dyDescent="0.25">
      <c r="C236" s="15"/>
      <c r="D236" s="15"/>
      <c r="E236" s="15"/>
    </row>
    <row r="237" spans="3:5" x14ac:dyDescent="0.25">
      <c r="C237" s="15"/>
      <c r="D237" s="15"/>
      <c r="E237" s="15"/>
    </row>
    <row r="238" spans="3:5" x14ac:dyDescent="0.25">
      <c r="C238" s="15"/>
      <c r="D238" s="15"/>
      <c r="E238" s="15"/>
    </row>
    <row r="239" spans="3:5" x14ac:dyDescent="0.25">
      <c r="C239" s="15"/>
      <c r="D239" s="15"/>
      <c r="E239" s="15"/>
    </row>
    <row r="240" spans="3:5" x14ac:dyDescent="0.25">
      <c r="C240" s="15"/>
      <c r="D240" s="15"/>
      <c r="E240" s="15"/>
    </row>
    <row r="241" spans="3:5" x14ac:dyDescent="0.25">
      <c r="C241" s="15"/>
      <c r="D241" s="15"/>
      <c r="E241" s="15"/>
    </row>
    <row r="242" spans="3:5" x14ac:dyDescent="0.25">
      <c r="C242" s="15"/>
      <c r="D242" s="15"/>
      <c r="E242" s="15"/>
    </row>
    <row r="243" spans="3:5" x14ac:dyDescent="0.25">
      <c r="C243" s="15"/>
      <c r="D243" s="15"/>
      <c r="E243" s="15"/>
    </row>
    <row r="244" spans="3:5" x14ac:dyDescent="0.25">
      <c r="C244" s="15"/>
      <c r="D244" s="15"/>
      <c r="E244" s="15"/>
    </row>
    <row r="245" spans="3:5" x14ac:dyDescent="0.25">
      <c r="C245" s="15"/>
      <c r="D245" s="15"/>
      <c r="E245" s="15"/>
    </row>
    <row r="246" spans="3:5" x14ac:dyDescent="0.25">
      <c r="C246" s="15"/>
      <c r="D246" s="15"/>
      <c r="E246" s="15"/>
    </row>
    <row r="247" spans="3:5" x14ac:dyDescent="0.25">
      <c r="C247" s="15"/>
      <c r="D247" s="15"/>
      <c r="E247" s="15"/>
    </row>
    <row r="248" spans="3:5" x14ac:dyDescent="0.25">
      <c r="C248" s="15"/>
      <c r="D248" s="15"/>
      <c r="E248" s="15"/>
    </row>
    <row r="249" spans="3:5" x14ac:dyDescent="0.25">
      <c r="C249" s="15"/>
      <c r="D249" s="15"/>
      <c r="E249" s="15"/>
    </row>
    <row r="250" spans="3:5" x14ac:dyDescent="0.25">
      <c r="C250" s="15"/>
      <c r="D250" s="15"/>
      <c r="E250" s="15"/>
    </row>
    <row r="251" spans="3:5" x14ac:dyDescent="0.25">
      <c r="C251" s="15"/>
      <c r="D251" s="15"/>
      <c r="E251" s="15"/>
    </row>
    <row r="252" spans="3:5" x14ac:dyDescent="0.25">
      <c r="C252" s="15"/>
      <c r="D252" s="15"/>
      <c r="E252" s="15"/>
    </row>
    <row r="253" spans="3:5" x14ac:dyDescent="0.25">
      <c r="C253" s="15"/>
      <c r="D253" s="15"/>
      <c r="E253" s="15"/>
    </row>
    <row r="254" spans="3:5" x14ac:dyDescent="0.25">
      <c r="C254" s="15"/>
      <c r="D254" s="15"/>
      <c r="E254" s="15"/>
    </row>
    <row r="255" spans="3:5" x14ac:dyDescent="0.25">
      <c r="C255" s="15"/>
      <c r="D255" s="15"/>
      <c r="E255" s="15"/>
    </row>
    <row r="261" spans="3:6" x14ac:dyDescent="0.25">
      <c r="C261" s="7"/>
      <c r="D261" s="7"/>
      <c r="E261" s="7"/>
      <c r="F261" s="7"/>
    </row>
    <row r="262" spans="3:6" x14ac:dyDescent="0.25">
      <c r="C262" s="4"/>
      <c r="D262" s="4"/>
      <c r="E262" s="4"/>
      <c r="F262" s="4"/>
    </row>
    <row r="263" spans="3:6" x14ac:dyDescent="0.25">
      <c r="C263" s="18" t="s">
        <v>35</v>
      </c>
      <c r="D263" s="18" t="s">
        <v>36</v>
      </c>
      <c r="E263" s="18"/>
      <c r="F263" s="18" t="s">
        <v>37</v>
      </c>
    </row>
    <row r="264" spans="3:6" x14ac:dyDescent="0.25">
      <c r="C264" s="19" t="e">
        <f>SUM(C265,C267,C266)</f>
        <v>#REF!</v>
      </c>
      <c r="D264" s="19">
        <f>SUM(D265,D267,D266)</f>
        <v>369725.87300000002</v>
      </c>
      <c r="E264" s="19"/>
      <c r="F264" s="19">
        <f>SUM(F265,F267,F266)</f>
        <v>422425</v>
      </c>
    </row>
    <row r="265" spans="3:6" x14ac:dyDescent="0.25">
      <c r="C265" s="19" t="e">
        <f>#REF!</f>
        <v>#REF!</v>
      </c>
      <c r="D265" s="19">
        <f>C8</f>
        <v>328944.98000000004</v>
      </c>
      <c r="E265" s="19"/>
      <c r="F265" s="19">
        <f>D8</f>
        <v>375755</v>
      </c>
    </row>
    <row r="266" spans="3:6" x14ac:dyDescent="0.25">
      <c r="C266" s="19" t="e">
        <f>#REF!</f>
        <v>#REF!</v>
      </c>
      <c r="D266" s="19">
        <f>C20</f>
        <v>27117.227999999999</v>
      </c>
      <c r="E266" s="19"/>
      <c r="F266" s="19">
        <f>D20</f>
        <v>31729</v>
      </c>
    </row>
    <row r="267" spans="3:6" x14ac:dyDescent="0.25">
      <c r="C267" s="19" t="e">
        <f>+#REF!+#REF!+#REF!+#REF!</f>
        <v>#REF!</v>
      </c>
      <c r="D267" s="19">
        <f>+C26+C34+C38+C39</f>
        <v>13663.664999999999</v>
      </c>
      <c r="E267" s="19"/>
      <c r="F267" s="19">
        <f>+D26+D34+D38+D39</f>
        <v>14941</v>
      </c>
    </row>
    <row r="268" spans="3:6" x14ac:dyDescent="0.25">
      <c r="C268" s="5"/>
      <c r="D268" s="5"/>
      <c r="E268" s="5"/>
      <c r="F268" s="5"/>
    </row>
  </sheetData>
  <pageMargins left="0.7" right="0.7" top="0.75" bottom="0.75" header="0.3" footer="0.3"/>
  <pageSetup paperSize="9" orientation="portrait" r:id="rId1"/>
  <ignoredErrors>
    <ignoredError sqref="J13:K14 K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6.1.4</vt:lpstr>
      <vt:lpstr>Serie histórica</vt:lpstr>
      <vt:lpstr>'6.1.4'!Área_de_impresión</vt:lpstr>
      <vt:lpstr>'6.1.4'!Imprimir_área_IM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2025-08-20T18:17:24Z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9e2e4075-b70b-40b9-a229-2f05b9887855</vt:lpwstr>
  </property>
</Properties>
</file>