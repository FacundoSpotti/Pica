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2" yWindow="92" windowWidth="20114" windowHeight="9274"/>
  </bookViews>
  <sheets>
    <sheet name="3.6.9" sheetId="41" r:id="rId1"/>
  </sheets>
  <definedNames>
    <definedName name="_ftn2" localSheetId="0">'3.6.9'!#REF!</definedName>
    <definedName name="_ftn3" localSheetId="0">'3.6.9'!#REF!</definedName>
    <definedName name="_ftn4" localSheetId="0">'3.6.9'!#REF!</definedName>
    <definedName name="_ftnref2" localSheetId="0">'3.6.9'!#REF!</definedName>
    <definedName name="_ftnref3" localSheetId="0">'3.6.9'!#REF!</definedName>
    <definedName name="_ftnref4" localSheetId="0">'3.6.9'!#REF!</definedName>
    <definedName name="_xlnm.Print_Area" localSheetId="0">'3.6.9'!$A$1:$I$27</definedName>
  </definedNames>
  <calcPr calcId="145621"/>
</workbook>
</file>

<file path=xl/calcChain.xml><?xml version="1.0" encoding="utf-8"?>
<calcChain xmlns="http://schemas.openxmlformats.org/spreadsheetml/2006/main">
  <c r="I20" i="41" l="1"/>
  <c r="I18" i="41"/>
  <c r="I17" i="41"/>
  <c r="I15" i="41"/>
  <c r="I14" i="41"/>
  <c r="I12" i="41"/>
  <c r="I11" i="41"/>
  <c r="I10" i="41"/>
  <c r="I9" i="41"/>
  <c r="I7" i="41"/>
  <c r="H7" i="41"/>
  <c r="I13" i="41" s="1"/>
  <c r="C20" i="41" l="1"/>
  <c r="F15" i="41"/>
  <c r="C14" i="41"/>
  <c r="C12" i="41"/>
  <c r="C11" i="41"/>
  <c r="C9" i="41"/>
  <c r="E7" i="41"/>
  <c r="F14" i="41" s="1"/>
  <c r="C7" i="41"/>
  <c r="B7" i="41"/>
  <c r="C10" i="41" s="1"/>
  <c r="F11" i="41" l="1"/>
  <c r="F18" i="41"/>
  <c r="F7" i="41"/>
  <c r="F13" i="41"/>
  <c r="F20" i="41"/>
  <c r="F9" i="41"/>
</calcChain>
</file>

<file path=xl/sharedStrings.xml><?xml version="1.0" encoding="utf-8"?>
<sst xmlns="http://schemas.openxmlformats.org/spreadsheetml/2006/main" count="55" uniqueCount="22">
  <si>
    <t>Total</t>
  </si>
  <si>
    <t>Cantidad</t>
  </si>
  <si>
    <t>Fraude</t>
  </si>
  <si>
    <t>Estafa</t>
  </si>
  <si>
    <t>Defraudación tributaria</t>
  </si>
  <si>
    <t>Lavado de activos</t>
  </si>
  <si>
    <t>Delitos tipificados</t>
  </si>
  <si>
    <t>Fuente: Poder Judicial - Departamento de Estadísticas.</t>
  </si>
  <si>
    <t>Proxenetismo</t>
  </si>
  <si>
    <t>No corresponde (1)</t>
  </si>
  <si>
    <t>Tráfico interno de armas y fabricación ilegal</t>
  </si>
  <si>
    <t>Contrabando</t>
  </si>
  <si>
    <t>Tráfico internacional de arma de fuego</t>
  </si>
  <si>
    <t>Otros tipos de delitos</t>
  </si>
  <si>
    <t>Ley de estupefacientes</t>
  </si>
  <si>
    <t>Nota 1: No se incluyen cúmulos.</t>
  </si>
  <si>
    <t>Nota 2: El dato es por encausado, tomando como referencia el primer delito declarado por la sede.</t>
  </si>
  <si>
    <t>-</t>
  </si>
  <si>
    <t xml:space="preserve">3.6.9 - Cantidad de personas procesadas y porcentaje, en materia de crimen organizado, por año, según delito tipificado </t>
  </si>
  <si>
    <t>Violencia sexual comercial o no comercial cometida contra niños adolescentes e incapaces</t>
  </si>
  <si>
    <t>%</t>
  </si>
  <si>
    <t xml:space="preserve">Nota 3: Los datos correspondientes al año 2024 no están disponibles al momento de la edición de esta publicación.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</si>
</sst>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."/>
    <numFmt numFmtId="166" formatCode="0_);\(0\)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23">
    <xf numFmtId="0" fontId="0" fillId="0" borderId="0" xfId="0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right"/>
    </xf>
    <xf numFmtId="0" fontId="8" fillId="0" borderId="0" xfId="0" applyFont="1" applyFill="1" applyBorder="1"/>
    <xf numFmtId="0" fontId="9" fillId="0" borderId="0" xfId="0" applyFont="1" applyFill="1"/>
    <xf numFmtId="0" fontId="8" fillId="0" borderId="1" xfId="0" applyFont="1" applyFill="1" applyBorder="1" applyAlignment="1">
      <alignment wrapText="1"/>
    </xf>
    <xf numFmtId="0" fontId="0" fillId="0" borderId="0" xfId="0" applyFill="1"/>
    <xf numFmtId="166" fontId="10" fillId="2" borderId="0" xfId="0" applyNumberFormat="1" applyFont="1" applyFill="1" applyBorder="1" applyAlignment="1" applyProtection="1">
      <alignment horizontal="left"/>
    </xf>
    <xf numFmtId="167" fontId="8" fillId="0" borderId="1" xfId="0" applyNumberFormat="1" applyFont="1" applyFill="1" applyBorder="1" applyAlignment="1">
      <alignment wrapText="1"/>
    </xf>
    <xf numFmtId="0" fontId="8" fillId="3" borderId="0" xfId="0" applyFont="1" applyFill="1" applyBorder="1" applyAlignment="1">
      <alignment horizontal="right"/>
    </xf>
    <xf numFmtId="166" fontId="11" fillId="3" borderId="0" xfId="0" applyNumberFormat="1" applyFont="1" applyFill="1" applyBorder="1" applyAlignment="1" applyProtection="1">
      <alignment horizontal="left"/>
    </xf>
    <xf numFmtId="0" fontId="7" fillId="0" borderId="0" xfId="0" applyFont="1" applyFill="1"/>
    <xf numFmtId="0" fontId="12" fillId="0" borderId="0" xfId="0" applyFont="1" applyFill="1" applyAlignment="1">
      <alignment horizontal="right"/>
    </xf>
    <xf numFmtId="167" fontId="12" fillId="0" borderId="0" xfId="0" applyNumberFormat="1" applyFont="1" applyFill="1" applyAlignment="1">
      <alignment horizontal="right"/>
    </xf>
    <xf numFmtId="167" fontId="7" fillId="0" borderId="1" xfId="0" applyNumberFormat="1" applyFont="1" applyFill="1" applyBorder="1" applyAlignment="1">
      <alignment wrapText="1"/>
    </xf>
    <xf numFmtId="0" fontId="0" fillId="0" borderId="0" xfId="0" applyFont="1" applyFill="1"/>
    <xf numFmtId="166" fontId="11" fillId="3" borderId="0" xfId="0" applyNumberFormat="1" applyFont="1" applyFill="1" applyBorder="1" applyAlignment="1" applyProtection="1"/>
    <xf numFmtId="0" fontId="8" fillId="0" borderId="0" xfId="0" applyFont="1" applyFill="1" applyBorder="1" applyAlignment="1">
      <alignment horizontal="left" wrapText="1"/>
    </xf>
    <xf numFmtId="166" fontId="8" fillId="3" borderId="2" xfId="0" applyNumberFormat="1" applyFont="1" applyFill="1" applyBorder="1" applyAlignment="1" applyProtection="1">
      <alignment horizontal="center"/>
    </xf>
    <xf numFmtId="166" fontId="10" fillId="2" borderId="0" xfId="0" applyNumberFormat="1" applyFont="1" applyFill="1" applyBorder="1" applyAlignment="1" applyProtection="1">
      <alignment horizontal="left" wrapText="1"/>
    </xf>
    <xf numFmtId="167" fontId="7" fillId="0" borderId="1" xfId="11" applyNumberFormat="1" applyFont="1" applyFill="1" applyBorder="1" applyAlignment="1">
      <alignment wrapText="1"/>
    </xf>
    <xf numFmtId="167" fontId="7" fillId="0" borderId="1" xfId="11" applyNumberFormat="1" applyFont="1" applyFill="1" applyBorder="1" applyAlignment="1">
      <alignment horizontal="right" wrapText="1"/>
    </xf>
  </cellXfs>
  <cellStyles count="12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" xfId="11" builtinId="5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XEU275"/>
  <sheetViews>
    <sheetView showGridLines="0" tabSelected="1" workbookViewId="0">
      <selection sqref="A1:I2"/>
    </sheetView>
  </sheetViews>
  <sheetFormatPr baseColWidth="10" defaultColWidth="11.3984375" defaultRowHeight="14.4" x14ac:dyDescent="0.3"/>
  <cols>
    <col min="1" max="1" width="47" style="7" customWidth="1"/>
    <col min="2" max="3" width="9.69921875" style="7" customWidth="1"/>
    <col min="4" max="4" width="1.69921875" style="7" customWidth="1"/>
    <col min="5" max="6" width="9.69921875" style="7" customWidth="1"/>
    <col min="7" max="7" width="1.8984375" style="7" customWidth="1"/>
    <col min="8" max="9" width="9.69921875" style="7" customWidth="1"/>
    <col min="10" max="16384" width="11.3984375" style="7"/>
  </cols>
  <sheetData>
    <row r="1" spans="1:16375" s="2" customFormat="1" ht="15" customHeight="1" x14ac:dyDescent="0.25">
      <c r="A1" s="20" t="s">
        <v>18</v>
      </c>
      <c r="B1" s="20"/>
      <c r="C1" s="20"/>
      <c r="D1" s="20"/>
      <c r="E1" s="20"/>
      <c r="F1" s="20"/>
      <c r="G1" s="20"/>
      <c r="H1" s="20"/>
      <c r="I1" s="20"/>
    </row>
    <row r="2" spans="1:16375" s="2" customFormat="1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16375" s="2" customFormat="1" ht="9.1" customHeight="1" x14ac:dyDescent="0.3">
      <c r="A3" s="8"/>
      <c r="B3" s="8"/>
      <c r="C3" s="8"/>
      <c r="D3" s="8"/>
      <c r="E3" s="8"/>
      <c r="F3" s="8"/>
      <c r="G3" s="8"/>
      <c r="H3" s="8"/>
      <c r="I3" s="8"/>
    </row>
    <row r="4" spans="1:16375" s="10" customFormat="1" ht="13.55" customHeight="1" x14ac:dyDescent="0.25">
      <c r="A4" s="11"/>
      <c r="B4" s="19">
        <v>2021</v>
      </c>
      <c r="C4" s="19"/>
      <c r="D4" s="17"/>
      <c r="E4" s="19">
        <v>2022</v>
      </c>
      <c r="F4" s="19"/>
      <c r="G4" s="17"/>
      <c r="H4" s="19">
        <v>2023</v>
      </c>
      <c r="I4" s="19"/>
    </row>
    <row r="5" spans="1:16375" s="3" customFormat="1" ht="12.85" customHeight="1" x14ac:dyDescent="0.3">
      <c r="A5" s="1" t="s">
        <v>6</v>
      </c>
      <c r="B5" s="2" t="s">
        <v>1</v>
      </c>
      <c r="C5" s="2" t="s">
        <v>20</v>
      </c>
      <c r="D5" s="2"/>
      <c r="E5" s="2" t="s">
        <v>1</v>
      </c>
      <c r="F5" s="2" t="s">
        <v>20</v>
      </c>
      <c r="G5" s="2"/>
      <c r="H5" s="2" t="s">
        <v>1</v>
      </c>
      <c r="I5" s="2" t="s">
        <v>20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</row>
    <row r="6" spans="1:16375" s="3" customFormat="1" ht="9.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</row>
    <row r="7" spans="1:16375" s="5" customFormat="1" ht="12.85" customHeight="1" x14ac:dyDescent="0.3">
      <c r="A7" s="4" t="s">
        <v>0</v>
      </c>
      <c r="B7" s="6">
        <f>SUM(B9:B21)</f>
        <v>59</v>
      </c>
      <c r="C7" s="9">
        <f>B7/B$7*100</f>
        <v>100</v>
      </c>
      <c r="E7" s="13">
        <f>SUM(E9:E21)</f>
        <v>491</v>
      </c>
      <c r="F7" s="9">
        <f>E7/E$7*100</f>
        <v>100</v>
      </c>
      <c r="H7" s="13">
        <f>SUM(H9:H21)</f>
        <v>227</v>
      </c>
      <c r="I7" s="9">
        <f>H7/H$7*100</f>
        <v>100</v>
      </c>
    </row>
    <row r="8" spans="1:16375" s="5" customFormat="1" ht="9.1" customHeight="1" x14ac:dyDescent="0.3">
      <c r="A8" s="4"/>
      <c r="B8" s="12"/>
      <c r="C8" s="12"/>
      <c r="E8" s="13"/>
      <c r="F8" s="12"/>
      <c r="H8" s="13"/>
      <c r="I8" s="12"/>
    </row>
    <row r="9" spans="1:16375" ht="12.85" customHeight="1" x14ac:dyDescent="0.3">
      <c r="A9" s="4" t="s">
        <v>14</v>
      </c>
      <c r="B9" s="13">
        <v>35</v>
      </c>
      <c r="C9" s="15">
        <f>B9/B$7*100</f>
        <v>59.322033898305079</v>
      </c>
      <c r="D9" s="16"/>
      <c r="E9" s="13">
        <v>123</v>
      </c>
      <c r="F9" s="15">
        <f>E9/E$7*100</f>
        <v>25.050916496945007</v>
      </c>
      <c r="G9" s="16"/>
      <c r="H9" s="13">
        <v>84</v>
      </c>
      <c r="I9" s="21">
        <f>+(H9/$H$7)*100</f>
        <v>37.004405286343612</v>
      </c>
    </row>
    <row r="10" spans="1:16375" ht="12.85" customHeight="1" x14ac:dyDescent="0.3">
      <c r="A10" s="4" t="s">
        <v>3</v>
      </c>
      <c r="B10" s="13">
        <v>2</v>
      </c>
      <c r="C10" s="15">
        <f>B10/B$7*100</f>
        <v>3.3898305084745761</v>
      </c>
      <c r="D10" s="16"/>
      <c r="E10" s="13" t="s">
        <v>17</v>
      </c>
      <c r="F10" s="13" t="s">
        <v>17</v>
      </c>
      <c r="G10" s="16"/>
      <c r="H10" s="13">
        <v>3</v>
      </c>
      <c r="I10" s="21">
        <f t="shared" ref="I10:I20" si="0">+(H10/$H$7)*100</f>
        <v>1.3215859030837005</v>
      </c>
    </row>
    <row r="11" spans="1:16375" ht="12.85" customHeight="1" x14ac:dyDescent="0.3">
      <c r="A11" s="4" t="s">
        <v>4</v>
      </c>
      <c r="B11" s="13">
        <v>8</v>
      </c>
      <c r="C11" s="15">
        <f>B11/B$7*100</f>
        <v>13.559322033898304</v>
      </c>
      <c r="D11" s="16"/>
      <c r="E11" s="13">
        <v>22</v>
      </c>
      <c r="F11" s="15">
        <f t="shared" ref="F11" si="1">E11/E$7*100</f>
        <v>4.4806517311608962</v>
      </c>
      <c r="G11" s="16"/>
      <c r="H11" s="13">
        <v>16</v>
      </c>
      <c r="I11" s="21">
        <f t="shared" si="0"/>
        <v>7.0484581497797363</v>
      </c>
    </row>
    <row r="12" spans="1:16375" ht="12.85" customHeight="1" x14ac:dyDescent="0.3">
      <c r="A12" s="4" t="s">
        <v>5</v>
      </c>
      <c r="B12" s="13">
        <v>2</v>
      </c>
      <c r="C12" s="15">
        <f>B12/B$7*100</f>
        <v>3.3898305084745761</v>
      </c>
      <c r="D12" s="16"/>
      <c r="E12" s="13" t="s">
        <v>17</v>
      </c>
      <c r="F12" s="13" t="s">
        <v>17</v>
      </c>
      <c r="G12" s="16"/>
      <c r="H12" s="13">
        <v>24</v>
      </c>
      <c r="I12" s="21">
        <f t="shared" si="0"/>
        <v>10.572687224669604</v>
      </c>
    </row>
    <row r="13" spans="1:16375" ht="12.85" customHeight="1" x14ac:dyDescent="0.3">
      <c r="A13" s="4" t="s">
        <v>2</v>
      </c>
      <c r="B13" s="13" t="s">
        <v>17</v>
      </c>
      <c r="C13" s="13" t="s">
        <v>17</v>
      </c>
      <c r="D13" s="16"/>
      <c r="E13" s="13">
        <v>3</v>
      </c>
      <c r="F13" s="15">
        <f t="shared" ref="F13:F15" si="2">E13/E$7*100</f>
        <v>0.61099796334012213</v>
      </c>
      <c r="G13" s="16"/>
      <c r="H13" s="13">
        <v>1</v>
      </c>
      <c r="I13" s="21">
        <f t="shared" si="0"/>
        <v>0.44052863436123352</v>
      </c>
    </row>
    <row r="14" spans="1:16375" ht="12.85" customHeight="1" x14ac:dyDescent="0.3">
      <c r="A14" s="4" t="s">
        <v>10</v>
      </c>
      <c r="B14" s="13">
        <v>4</v>
      </c>
      <c r="C14" s="15">
        <f>B14/B$7*100</f>
        <v>6.7796610169491522</v>
      </c>
      <c r="D14" s="16"/>
      <c r="E14" s="13">
        <v>116</v>
      </c>
      <c r="F14" s="15">
        <f t="shared" si="2"/>
        <v>23.625254582484725</v>
      </c>
      <c r="G14" s="16"/>
      <c r="H14" s="13">
        <v>47</v>
      </c>
      <c r="I14" s="21">
        <f t="shared" si="0"/>
        <v>20.704845814977972</v>
      </c>
    </row>
    <row r="15" spans="1:16375" ht="12.85" customHeight="1" x14ac:dyDescent="0.3">
      <c r="A15" s="18" t="s">
        <v>19</v>
      </c>
      <c r="B15" s="13"/>
      <c r="C15" s="14"/>
      <c r="D15" s="16"/>
      <c r="E15" s="13"/>
      <c r="F15" s="15">
        <f t="shared" si="2"/>
        <v>0</v>
      </c>
      <c r="G15" s="16"/>
      <c r="H15" s="13">
        <v>1</v>
      </c>
      <c r="I15" s="21">
        <f t="shared" si="0"/>
        <v>0.44052863436123352</v>
      </c>
    </row>
    <row r="16" spans="1:16375" ht="12.85" customHeight="1" x14ac:dyDescent="0.3">
      <c r="A16" s="18"/>
      <c r="B16" s="13" t="s">
        <v>17</v>
      </c>
      <c r="C16" s="13" t="s">
        <v>17</v>
      </c>
      <c r="D16" s="16"/>
      <c r="E16" s="13" t="s">
        <v>17</v>
      </c>
      <c r="F16" s="13" t="s">
        <v>17</v>
      </c>
      <c r="G16" s="16"/>
      <c r="H16" s="13" t="s">
        <v>17</v>
      </c>
      <c r="I16" s="22" t="s">
        <v>17</v>
      </c>
    </row>
    <row r="17" spans="1:10" ht="12.85" customHeight="1" x14ac:dyDescent="0.3">
      <c r="A17" s="4" t="s">
        <v>11</v>
      </c>
      <c r="B17" s="13" t="s">
        <v>17</v>
      </c>
      <c r="C17" s="13" t="s">
        <v>17</v>
      </c>
      <c r="D17" s="16"/>
      <c r="E17" s="13" t="s">
        <v>17</v>
      </c>
      <c r="F17" s="13" t="s">
        <v>17</v>
      </c>
      <c r="G17" s="16"/>
      <c r="H17" s="13">
        <v>1</v>
      </c>
      <c r="I17" s="21">
        <f t="shared" si="0"/>
        <v>0.44052863436123352</v>
      </c>
    </row>
    <row r="18" spans="1:10" ht="12.85" customHeight="1" x14ac:dyDescent="0.3">
      <c r="A18" s="4" t="s">
        <v>12</v>
      </c>
      <c r="B18" s="13" t="s">
        <v>17</v>
      </c>
      <c r="C18" s="13" t="s">
        <v>17</v>
      </c>
      <c r="D18" s="16"/>
      <c r="E18" s="13">
        <v>8</v>
      </c>
      <c r="F18" s="15">
        <f t="shared" ref="F18" si="3">E18/E$7*100</f>
        <v>1.6293279022403258</v>
      </c>
      <c r="G18" s="16"/>
      <c r="H18" s="13">
        <v>4</v>
      </c>
      <c r="I18" s="21">
        <f t="shared" si="0"/>
        <v>1.7621145374449341</v>
      </c>
    </row>
    <row r="19" spans="1:10" ht="12.85" customHeight="1" x14ac:dyDescent="0.3">
      <c r="A19" s="4" t="s">
        <v>8</v>
      </c>
      <c r="B19" s="13" t="s">
        <v>17</v>
      </c>
      <c r="C19" s="13" t="s">
        <v>17</v>
      </c>
      <c r="D19" s="16"/>
      <c r="E19" s="13" t="s">
        <v>17</v>
      </c>
      <c r="F19" s="13" t="s">
        <v>17</v>
      </c>
      <c r="G19" s="16"/>
      <c r="H19" s="13" t="s">
        <v>17</v>
      </c>
      <c r="I19" s="22" t="s">
        <v>17</v>
      </c>
      <c r="J19" s="4"/>
    </row>
    <row r="20" spans="1:10" ht="12.85" customHeight="1" x14ac:dyDescent="0.3">
      <c r="A20" s="4" t="s">
        <v>13</v>
      </c>
      <c r="B20" s="13">
        <v>8</v>
      </c>
      <c r="C20" s="15">
        <f>B20/B$7*100</f>
        <v>13.559322033898304</v>
      </c>
      <c r="D20" s="16"/>
      <c r="E20" s="13">
        <v>219</v>
      </c>
      <c r="F20" s="15">
        <f t="shared" ref="F20" si="4">E20/E$7*100</f>
        <v>44.602851323828915</v>
      </c>
      <c r="G20" s="16"/>
      <c r="H20" s="13">
        <v>46</v>
      </c>
      <c r="I20" s="21">
        <f t="shared" si="0"/>
        <v>20.264317180616739</v>
      </c>
    </row>
    <row r="21" spans="1:10" ht="12.85" customHeight="1" x14ac:dyDescent="0.3">
      <c r="A21" s="4" t="s">
        <v>9</v>
      </c>
      <c r="B21" s="13" t="s">
        <v>17</v>
      </c>
      <c r="C21" s="13" t="s">
        <v>17</v>
      </c>
      <c r="D21" s="16"/>
      <c r="E21" s="13" t="s">
        <v>17</v>
      </c>
      <c r="F21" s="13" t="s">
        <v>17</v>
      </c>
      <c r="G21" s="16"/>
      <c r="H21" s="13" t="s">
        <v>17</v>
      </c>
      <c r="I21" s="14" t="s">
        <v>17</v>
      </c>
    </row>
    <row r="22" spans="1:10" ht="9.1" customHeight="1" x14ac:dyDescent="0.3">
      <c r="A22" s="4"/>
      <c r="B22" s="4"/>
      <c r="C22" s="9"/>
      <c r="D22" s="4"/>
      <c r="E22" s="4"/>
      <c r="F22" s="4"/>
      <c r="G22" s="4"/>
    </row>
    <row r="23" spans="1:10" ht="12.85" customHeight="1" x14ac:dyDescent="0.3">
      <c r="A23" s="18" t="s">
        <v>7</v>
      </c>
      <c r="B23" s="18"/>
      <c r="C23" s="18"/>
      <c r="D23" s="18"/>
      <c r="E23" s="18"/>
      <c r="F23" s="18"/>
      <c r="G23" s="18"/>
      <c r="H23" s="18"/>
      <c r="I23" s="18"/>
    </row>
    <row r="24" spans="1:10" ht="12.85" customHeight="1" x14ac:dyDescent="0.3">
      <c r="A24" s="18" t="s">
        <v>15</v>
      </c>
      <c r="B24" s="18"/>
      <c r="C24" s="18"/>
      <c r="D24" s="18"/>
      <c r="E24" s="18"/>
      <c r="F24" s="18"/>
      <c r="G24" s="18"/>
      <c r="H24" s="18"/>
      <c r="I24" s="18"/>
    </row>
    <row r="25" spans="1:10" ht="12.85" customHeight="1" x14ac:dyDescent="0.3">
      <c r="A25" s="18" t="s">
        <v>16</v>
      </c>
      <c r="B25" s="18"/>
      <c r="C25" s="18"/>
      <c r="D25" s="18"/>
      <c r="E25" s="18"/>
      <c r="F25" s="18"/>
      <c r="G25" s="18"/>
      <c r="H25" s="18"/>
      <c r="I25" s="18"/>
    </row>
    <row r="26" spans="1:10" ht="12.85" customHeight="1" x14ac:dyDescent="0.3">
      <c r="A26" s="18" t="s">
        <v>21</v>
      </c>
      <c r="B26" s="18"/>
      <c r="C26" s="18"/>
      <c r="D26" s="18"/>
      <c r="E26" s="18"/>
      <c r="F26" s="18"/>
      <c r="G26" s="18"/>
      <c r="H26" s="18"/>
      <c r="I26" s="18"/>
    </row>
    <row r="27" spans="1:10" ht="9.1" customHeight="1" x14ac:dyDescent="0.3"/>
    <row r="28" spans="1:10" ht="12.85" customHeight="1" x14ac:dyDescent="0.3"/>
    <row r="29" spans="1:10" ht="12.85" customHeight="1" x14ac:dyDescent="0.3"/>
    <row r="30" spans="1:10" ht="12.85" customHeight="1" x14ac:dyDescent="0.3"/>
    <row r="31" spans="1:10" ht="12.85" customHeight="1" x14ac:dyDescent="0.3"/>
    <row r="32" spans="1:10" ht="12.85" customHeight="1" x14ac:dyDescent="0.3"/>
    <row r="33" ht="12.85" customHeight="1" x14ac:dyDescent="0.3"/>
    <row r="34" ht="12.85" customHeight="1" x14ac:dyDescent="0.3"/>
    <row r="35" ht="12.85" customHeight="1" x14ac:dyDescent="0.3"/>
    <row r="36" ht="12.85" customHeight="1" x14ac:dyDescent="0.3"/>
    <row r="37" ht="12.85" customHeight="1" x14ac:dyDescent="0.3"/>
    <row r="38" ht="12.85" customHeight="1" x14ac:dyDescent="0.3"/>
    <row r="39" ht="12.85" customHeight="1" x14ac:dyDescent="0.3"/>
    <row r="40" ht="12.85" customHeight="1" x14ac:dyDescent="0.3"/>
    <row r="41" ht="12.85" customHeight="1" x14ac:dyDescent="0.3"/>
    <row r="42" ht="12.85" customHeight="1" x14ac:dyDescent="0.3"/>
    <row r="43" ht="12.85" customHeight="1" x14ac:dyDescent="0.3"/>
    <row r="44" ht="12.85" customHeight="1" x14ac:dyDescent="0.3"/>
    <row r="45" ht="12.85" customHeight="1" x14ac:dyDescent="0.3"/>
    <row r="46" ht="12.85" customHeight="1" x14ac:dyDescent="0.3"/>
    <row r="47" ht="12.85" customHeight="1" x14ac:dyDescent="0.3"/>
    <row r="48" ht="12.85" customHeight="1" x14ac:dyDescent="0.3"/>
    <row r="49" ht="12.85" customHeight="1" x14ac:dyDescent="0.3"/>
    <row r="50" ht="12.85" customHeight="1" x14ac:dyDescent="0.3"/>
    <row r="51" ht="12.85" customHeight="1" x14ac:dyDescent="0.3"/>
    <row r="52" ht="12.85" customHeight="1" x14ac:dyDescent="0.3"/>
    <row r="53" ht="12.85" customHeight="1" x14ac:dyDescent="0.3"/>
    <row r="54" ht="12.85" customHeight="1" x14ac:dyDescent="0.3"/>
    <row r="55" ht="12.85" customHeight="1" x14ac:dyDescent="0.3"/>
    <row r="56" ht="12.85" customHeight="1" x14ac:dyDescent="0.3"/>
    <row r="57" ht="12.85" customHeight="1" x14ac:dyDescent="0.3"/>
    <row r="58" ht="12.85" customHeight="1" x14ac:dyDescent="0.3"/>
    <row r="59" ht="12.85" customHeight="1" x14ac:dyDescent="0.3"/>
    <row r="60" ht="12.85" customHeight="1" x14ac:dyDescent="0.3"/>
    <row r="61" ht="12.85" customHeight="1" x14ac:dyDescent="0.3"/>
    <row r="62" ht="12.85" customHeight="1" x14ac:dyDescent="0.3"/>
    <row r="63" ht="12.85" customHeight="1" x14ac:dyDescent="0.3"/>
    <row r="64" ht="12.85" customHeight="1" x14ac:dyDescent="0.3"/>
    <row r="65" ht="12.85" customHeight="1" x14ac:dyDescent="0.3"/>
    <row r="66" ht="12.85" customHeight="1" x14ac:dyDescent="0.3"/>
    <row r="67" ht="12.85" customHeight="1" x14ac:dyDescent="0.3"/>
    <row r="68" ht="12.85" customHeight="1" x14ac:dyDescent="0.3"/>
    <row r="69" ht="12.85" customHeight="1" x14ac:dyDescent="0.3"/>
    <row r="70" ht="12.85" customHeight="1" x14ac:dyDescent="0.3"/>
    <row r="71" ht="12.85" customHeight="1" x14ac:dyDescent="0.3"/>
    <row r="72" ht="12.85" customHeight="1" x14ac:dyDescent="0.3"/>
    <row r="73" ht="12.85" customHeight="1" x14ac:dyDescent="0.3"/>
    <row r="74" ht="12.85" customHeight="1" x14ac:dyDescent="0.3"/>
    <row r="75" ht="12.85" customHeight="1" x14ac:dyDescent="0.3"/>
    <row r="76" ht="12.85" customHeight="1" x14ac:dyDescent="0.3"/>
    <row r="77" ht="12.85" customHeight="1" x14ac:dyDescent="0.3"/>
    <row r="78" ht="12.85" customHeight="1" x14ac:dyDescent="0.3"/>
    <row r="79" ht="12.85" customHeight="1" x14ac:dyDescent="0.3"/>
    <row r="80" ht="12.85" customHeight="1" x14ac:dyDescent="0.3"/>
    <row r="81" ht="12.85" customHeight="1" x14ac:dyDescent="0.3"/>
    <row r="82" ht="12.85" customHeight="1" x14ac:dyDescent="0.3"/>
    <row r="83" ht="12.85" customHeight="1" x14ac:dyDescent="0.3"/>
    <row r="84" ht="12.85" customHeight="1" x14ac:dyDescent="0.3"/>
    <row r="85" ht="12.85" customHeight="1" x14ac:dyDescent="0.3"/>
    <row r="86" ht="12.85" customHeight="1" x14ac:dyDescent="0.3"/>
    <row r="87" ht="12.85" customHeight="1" x14ac:dyDescent="0.3"/>
    <row r="88" ht="12.85" customHeight="1" x14ac:dyDescent="0.3"/>
    <row r="89" ht="12.85" customHeight="1" x14ac:dyDescent="0.3"/>
    <row r="90" ht="12.85" customHeight="1" x14ac:dyDescent="0.3"/>
    <row r="91" ht="12.85" customHeight="1" x14ac:dyDescent="0.3"/>
    <row r="92" ht="12.85" customHeight="1" x14ac:dyDescent="0.3"/>
    <row r="93" ht="12.85" customHeight="1" x14ac:dyDescent="0.3"/>
    <row r="94" ht="12.85" customHeight="1" x14ac:dyDescent="0.3"/>
    <row r="95" ht="12.85" customHeight="1" x14ac:dyDescent="0.3"/>
    <row r="96" ht="12.85" customHeight="1" x14ac:dyDescent="0.3"/>
    <row r="97" ht="12.85" customHeight="1" x14ac:dyDescent="0.3"/>
    <row r="98" ht="12.85" customHeight="1" x14ac:dyDescent="0.3"/>
    <row r="99" ht="12.85" customHeight="1" x14ac:dyDescent="0.3"/>
    <row r="100" ht="12.85" customHeight="1" x14ac:dyDescent="0.3"/>
    <row r="101" ht="12.85" customHeight="1" x14ac:dyDescent="0.3"/>
    <row r="102" ht="12.85" customHeight="1" x14ac:dyDescent="0.3"/>
    <row r="103" ht="12.85" customHeight="1" x14ac:dyDescent="0.3"/>
    <row r="104" ht="12.85" customHeight="1" x14ac:dyDescent="0.3"/>
    <row r="105" ht="12.85" customHeight="1" x14ac:dyDescent="0.3"/>
    <row r="106" ht="12.85" customHeight="1" x14ac:dyDescent="0.3"/>
    <row r="107" ht="12.85" customHeight="1" x14ac:dyDescent="0.3"/>
    <row r="108" ht="12.85" customHeight="1" x14ac:dyDescent="0.3"/>
    <row r="109" ht="12.85" customHeight="1" x14ac:dyDescent="0.3"/>
    <row r="110" ht="12.85" customHeight="1" x14ac:dyDescent="0.3"/>
    <row r="111" ht="12.85" customHeight="1" x14ac:dyDescent="0.3"/>
    <row r="112" ht="12.85" customHeight="1" x14ac:dyDescent="0.3"/>
    <row r="113" ht="12.85" customHeight="1" x14ac:dyDescent="0.3"/>
    <row r="114" ht="12.85" customHeight="1" x14ac:dyDescent="0.3"/>
    <row r="115" ht="12.85" customHeight="1" x14ac:dyDescent="0.3"/>
    <row r="116" ht="12.85" customHeight="1" x14ac:dyDescent="0.3"/>
    <row r="117" ht="12.85" customHeight="1" x14ac:dyDescent="0.3"/>
    <row r="118" ht="12.85" customHeight="1" x14ac:dyDescent="0.3"/>
    <row r="119" ht="12.85" customHeight="1" x14ac:dyDescent="0.3"/>
    <row r="120" ht="12.85" customHeight="1" x14ac:dyDescent="0.3"/>
    <row r="121" ht="12.85" customHeight="1" x14ac:dyDescent="0.3"/>
    <row r="122" ht="12.85" customHeight="1" x14ac:dyDescent="0.3"/>
    <row r="123" ht="12.85" customHeight="1" x14ac:dyDescent="0.3"/>
    <row r="124" ht="12.85" customHeight="1" x14ac:dyDescent="0.3"/>
    <row r="125" ht="12.85" customHeight="1" x14ac:dyDescent="0.3"/>
    <row r="126" ht="12.85" customHeight="1" x14ac:dyDescent="0.3"/>
    <row r="127" ht="12.85" customHeight="1" x14ac:dyDescent="0.3"/>
    <row r="128" ht="12.85" customHeight="1" x14ac:dyDescent="0.3"/>
    <row r="129" ht="12.85" customHeight="1" x14ac:dyDescent="0.3"/>
    <row r="130" ht="12.85" customHeight="1" x14ac:dyDescent="0.3"/>
    <row r="131" ht="12.85" customHeight="1" x14ac:dyDescent="0.3"/>
    <row r="132" ht="12.85" customHeight="1" x14ac:dyDescent="0.3"/>
    <row r="133" ht="12.85" customHeight="1" x14ac:dyDescent="0.3"/>
    <row r="134" ht="12.85" customHeight="1" x14ac:dyDescent="0.3"/>
    <row r="135" ht="12.85" customHeight="1" x14ac:dyDescent="0.3"/>
    <row r="136" ht="12.85" customHeight="1" x14ac:dyDescent="0.3"/>
    <row r="137" ht="12.85" customHeight="1" x14ac:dyDescent="0.3"/>
    <row r="138" ht="12.85" customHeight="1" x14ac:dyDescent="0.3"/>
    <row r="139" ht="12.85" customHeight="1" x14ac:dyDescent="0.3"/>
    <row r="140" ht="12.85" customHeight="1" x14ac:dyDescent="0.3"/>
    <row r="141" ht="12.85" customHeight="1" x14ac:dyDescent="0.3"/>
    <row r="142" ht="12.85" customHeight="1" x14ac:dyDescent="0.3"/>
    <row r="143" ht="12.85" customHeight="1" x14ac:dyDescent="0.3"/>
    <row r="144" ht="12.85" customHeight="1" x14ac:dyDescent="0.3"/>
    <row r="145" ht="12.85" customHeight="1" x14ac:dyDescent="0.3"/>
    <row r="146" ht="12.85" customHeight="1" x14ac:dyDescent="0.3"/>
    <row r="147" ht="12.85" customHeight="1" x14ac:dyDescent="0.3"/>
    <row r="148" ht="12.85" customHeight="1" x14ac:dyDescent="0.3"/>
    <row r="149" ht="12.85" customHeight="1" x14ac:dyDescent="0.3"/>
    <row r="150" ht="12.85" customHeight="1" x14ac:dyDescent="0.3"/>
    <row r="151" ht="12.85" customHeight="1" x14ac:dyDescent="0.3"/>
    <row r="152" ht="12.85" customHeight="1" x14ac:dyDescent="0.3"/>
    <row r="153" ht="12.85" customHeight="1" x14ac:dyDescent="0.3"/>
    <row r="154" ht="12.85" customHeight="1" x14ac:dyDescent="0.3"/>
    <row r="155" ht="12.85" customHeight="1" x14ac:dyDescent="0.3"/>
    <row r="156" ht="12.85" customHeight="1" x14ac:dyDescent="0.3"/>
    <row r="157" ht="12.85" customHeight="1" x14ac:dyDescent="0.3"/>
    <row r="158" ht="12.85" customHeight="1" x14ac:dyDescent="0.3"/>
    <row r="159" ht="12.85" customHeight="1" x14ac:dyDescent="0.3"/>
    <row r="160" ht="12.85" customHeight="1" x14ac:dyDescent="0.3"/>
    <row r="161" ht="12.85" customHeight="1" x14ac:dyDescent="0.3"/>
    <row r="162" ht="12.85" customHeight="1" x14ac:dyDescent="0.3"/>
    <row r="163" ht="12.85" customHeight="1" x14ac:dyDescent="0.3"/>
    <row r="164" ht="12.85" customHeight="1" x14ac:dyDescent="0.3"/>
    <row r="165" ht="12.85" customHeight="1" x14ac:dyDescent="0.3"/>
    <row r="166" ht="12.85" customHeight="1" x14ac:dyDescent="0.3"/>
    <row r="167" ht="12.85" customHeight="1" x14ac:dyDescent="0.3"/>
    <row r="168" ht="12.85" customHeight="1" x14ac:dyDescent="0.3"/>
    <row r="169" ht="12.85" customHeight="1" x14ac:dyDescent="0.3"/>
    <row r="170" ht="12.85" customHeight="1" x14ac:dyDescent="0.3"/>
    <row r="171" ht="12.85" customHeight="1" x14ac:dyDescent="0.3"/>
    <row r="172" ht="12.85" customHeight="1" x14ac:dyDescent="0.3"/>
    <row r="173" ht="12.85" customHeight="1" x14ac:dyDescent="0.3"/>
    <row r="174" ht="12.85" customHeight="1" x14ac:dyDescent="0.3"/>
    <row r="175" ht="12.85" customHeight="1" x14ac:dyDescent="0.3"/>
    <row r="176" ht="12.85" customHeight="1" x14ac:dyDescent="0.3"/>
    <row r="177" ht="12.85" customHeight="1" x14ac:dyDescent="0.3"/>
    <row r="178" ht="12.85" customHeight="1" x14ac:dyDescent="0.3"/>
    <row r="179" ht="12.85" customHeight="1" x14ac:dyDescent="0.3"/>
    <row r="180" ht="12.85" customHeight="1" x14ac:dyDescent="0.3"/>
    <row r="181" ht="12.85" customHeight="1" x14ac:dyDescent="0.3"/>
    <row r="182" ht="12.85" customHeight="1" x14ac:dyDescent="0.3"/>
    <row r="183" ht="12.85" customHeight="1" x14ac:dyDescent="0.3"/>
    <row r="184" ht="12.85" customHeight="1" x14ac:dyDescent="0.3"/>
    <row r="185" ht="12.85" customHeight="1" x14ac:dyDescent="0.3"/>
    <row r="186" ht="12.85" customHeight="1" x14ac:dyDescent="0.3"/>
    <row r="187" ht="12.85" customHeight="1" x14ac:dyDescent="0.3"/>
    <row r="188" ht="12.85" customHeight="1" x14ac:dyDescent="0.3"/>
    <row r="189" ht="12.85" customHeight="1" x14ac:dyDescent="0.3"/>
    <row r="190" ht="12.85" customHeight="1" x14ac:dyDescent="0.3"/>
    <row r="191" ht="12.85" customHeight="1" x14ac:dyDescent="0.3"/>
    <row r="192" ht="12.85" customHeight="1" x14ac:dyDescent="0.3"/>
    <row r="193" ht="12.85" customHeight="1" x14ac:dyDescent="0.3"/>
    <row r="194" ht="12.85" customHeight="1" x14ac:dyDescent="0.3"/>
    <row r="195" ht="12.85" customHeight="1" x14ac:dyDescent="0.3"/>
    <row r="196" ht="12.85" customHeight="1" x14ac:dyDescent="0.3"/>
    <row r="197" ht="12.85" customHeight="1" x14ac:dyDescent="0.3"/>
    <row r="198" ht="12.85" customHeight="1" x14ac:dyDescent="0.3"/>
    <row r="199" ht="12.85" customHeight="1" x14ac:dyDescent="0.3"/>
    <row r="200" ht="12.85" customHeight="1" x14ac:dyDescent="0.3"/>
    <row r="201" ht="12.85" customHeight="1" x14ac:dyDescent="0.3"/>
    <row r="202" ht="12.85" customHeight="1" x14ac:dyDescent="0.3"/>
    <row r="203" ht="12.85" customHeight="1" x14ac:dyDescent="0.3"/>
    <row r="204" ht="12.85" customHeight="1" x14ac:dyDescent="0.3"/>
    <row r="205" ht="12.85" customHeight="1" x14ac:dyDescent="0.3"/>
    <row r="206" ht="12.85" customHeight="1" x14ac:dyDescent="0.3"/>
    <row r="207" ht="12.85" customHeight="1" x14ac:dyDescent="0.3"/>
    <row r="208" ht="12.85" customHeight="1" x14ac:dyDescent="0.3"/>
    <row r="209" ht="12.85" customHeight="1" x14ac:dyDescent="0.3"/>
    <row r="210" ht="12.85" customHeight="1" x14ac:dyDescent="0.3"/>
    <row r="211" ht="12.85" customHeight="1" x14ac:dyDescent="0.3"/>
    <row r="212" ht="12.85" customHeight="1" x14ac:dyDescent="0.3"/>
    <row r="213" ht="12.85" customHeight="1" x14ac:dyDescent="0.3"/>
    <row r="214" ht="12.85" customHeight="1" x14ac:dyDescent="0.3"/>
    <row r="215" ht="12.85" customHeight="1" x14ac:dyDescent="0.3"/>
    <row r="216" ht="12.85" customHeight="1" x14ac:dyDescent="0.3"/>
    <row r="217" ht="12.85" customHeight="1" x14ac:dyDescent="0.3"/>
    <row r="218" ht="12.85" customHeight="1" x14ac:dyDescent="0.3"/>
    <row r="219" ht="12.85" customHeight="1" x14ac:dyDescent="0.3"/>
    <row r="220" ht="12.85" customHeight="1" x14ac:dyDescent="0.3"/>
    <row r="221" ht="12.85" customHeight="1" x14ac:dyDescent="0.3"/>
    <row r="222" ht="12.85" customHeight="1" x14ac:dyDescent="0.3"/>
    <row r="223" ht="12.85" customHeight="1" x14ac:dyDescent="0.3"/>
    <row r="224" ht="12.85" customHeight="1" x14ac:dyDescent="0.3"/>
    <row r="225" ht="12.85" customHeight="1" x14ac:dyDescent="0.3"/>
    <row r="226" ht="12.85" customHeight="1" x14ac:dyDescent="0.3"/>
    <row r="227" ht="12.85" customHeight="1" x14ac:dyDescent="0.3"/>
    <row r="228" ht="12.85" customHeight="1" x14ac:dyDescent="0.3"/>
    <row r="229" ht="12.85" customHeight="1" x14ac:dyDescent="0.3"/>
    <row r="230" ht="12.85" customHeight="1" x14ac:dyDescent="0.3"/>
    <row r="231" ht="12.85" customHeight="1" x14ac:dyDescent="0.3"/>
    <row r="232" ht="12.85" customHeight="1" x14ac:dyDescent="0.3"/>
    <row r="233" ht="12.85" customHeight="1" x14ac:dyDescent="0.3"/>
    <row r="234" ht="12.85" customHeight="1" x14ac:dyDescent="0.3"/>
    <row r="235" ht="12.85" customHeight="1" x14ac:dyDescent="0.3"/>
    <row r="236" ht="12.85" customHeight="1" x14ac:dyDescent="0.3"/>
    <row r="237" ht="12.85" customHeight="1" x14ac:dyDescent="0.3"/>
    <row r="238" ht="12.85" customHeight="1" x14ac:dyDescent="0.3"/>
    <row r="239" ht="12.85" customHeight="1" x14ac:dyDescent="0.3"/>
    <row r="240" ht="12.85" customHeight="1" x14ac:dyDescent="0.3"/>
    <row r="241" ht="12.85" customHeight="1" x14ac:dyDescent="0.3"/>
    <row r="242" ht="12.85" customHeight="1" x14ac:dyDescent="0.3"/>
    <row r="243" ht="12.85" customHeight="1" x14ac:dyDescent="0.3"/>
    <row r="244" ht="12.85" customHeight="1" x14ac:dyDescent="0.3"/>
    <row r="245" ht="12.85" customHeight="1" x14ac:dyDescent="0.3"/>
    <row r="246" ht="12.85" customHeight="1" x14ac:dyDescent="0.3"/>
    <row r="247" ht="12.85" customHeight="1" x14ac:dyDescent="0.3"/>
    <row r="248" ht="12.85" customHeight="1" x14ac:dyDescent="0.3"/>
    <row r="249" ht="12.85" customHeight="1" x14ac:dyDescent="0.3"/>
    <row r="250" ht="12.85" customHeight="1" x14ac:dyDescent="0.3"/>
    <row r="251" ht="12.85" customHeight="1" x14ac:dyDescent="0.3"/>
    <row r="252" ht="12.85" customHeight="1" x14ac:dyDescent="0.3"/>
    <row r="253" ht="12.85" customHeight="1" x14ac:dyDescent="0.3"/>
    <row r="254" ht="12.85" customHeight="1" x14ac:dyDescent="0.3"/>
    <row r="255" ht="12.85" customHeight="1" x14ac:dyDescent="0.3"/>
    <row r="256" ht="12.85" customHeight="1" x14ac:dyDescent="0.3"/>
    <row r="257" ht="12.85" customHeight="1" x14ac:dyDescent="0.3"/>
    <row r="258" ht="12.85" customHeight="1" x14ac:dyDescent="0.3"/>
    <row r="259" ht="12.85" customHeight="1" x14ac:dyDescent="0.3"/>
    <row r="260" ht="12.85" customHeight="1" x14ac:dyDescent="0.3"/>
    <row r="261" ht="12.85" customHeight="1" x14ac:dyDescent="0.3"/>
    <row r="262" ht="12.85" customHeight="1" x14ac:dyDescent="0.3"/>
    <row r="263" ht="12.85" customHeight="1" x14ac:dyDescent="0.3"/>
    <row r="264" ht="12.85" customHeight="1" x14ac:dyDescent="0.3"/>
    <row r="265" ht="12.85" customHeight="1" x14ac:dyDescent="0.3"/>
    <row r="266" ht="12.85" customHeight="1" x14ac:dyDescent="0.3"/>
    <row r="267" ht="12.85" customHeight="1" x14ac:dyDescent="0.3"/>
    <row r="268" ht="12.85" customHeight="1" x14ac:dyDescent="0.3"/>
    <row r="269" ht="12.85" customHeight="1" x14ac:dyDescent="0.3"/>
    <row r="270" ht="12.85" customHeight="1" x14ac:dyDescent="0.3"/>
    <row r="271" ht="12.85" customHeight="1" x14ac:dyDescent="0.3"/>
    <row r="272" ht="12.85" customHeight="1" x14ac:dyDescent="0.3"/>
    <row r="273" ht="12.85" customHeight="1" x14ac:dyDescent="0.3"/>
    <row r="274" ht="12.85" customHeight="1" x14ac:dyDescent="0.3"/>
    <row r="275" ht="12.85" customHeight="1" x14ac:dyDescent="0.3"/>
  </sheetData>
  <mergeCells count="9">
    <mergeCell ref="A25:I25"/>
    <mergeCell ref="A26:I26"/>
    <mergeCell ref="E4:F4"/>
    <mergeCell ref="H4:I4"/>
    <mergeCell ref="A1:I2"/>
    <mergeCell ref="B4:C4"/>
    <mergeCell ref="A23:I23"/>
    <mergeCell ref="A15:A16"/>
    <mergeCell ref="A24:I24"/>
  </mergeCells>
  <pageMargins left="0.70866141732283472" right="0.31496062992125984" top="0.55118110236220474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3.6.9</vt:lpstr>
      <vt:lpstr>'3.6.9'!Área_de_impresión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2022-08-19T17:49:14Z</cp:lastPrinted>
  <dcterms:created xsi:type="dcterms:W3CDTF">2016-08-23T21:24:31Z</dcterms:created>
  <dcterms:modified xsi:type="dcterms:W3CDTF">2025-08-22T20:01:03Z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46961bb6-82cc-4753-ab78-3b3dd9b96af4</vt:lpwstr>
  </property>
</Properties>
</file>