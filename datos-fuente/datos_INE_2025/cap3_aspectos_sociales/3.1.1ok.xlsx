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0496" windowHeight="7128"/>
  </bookViews>
  <sheets>
    <sheet name="3.1.1" sheetId="1" r:id="rId1"/>
    <sheet name="Serie histórica" sheetId="2" r:id="rId2"/>
  </sheets>
  <definedNames>
    <definedName name="_Regression_Int" localSheetId="0" hidden="1">1</definedName>
    <definedName name="_xlnm.Print_Area" localSheetId="0">'3.1.1'!$A$1:$L$60</definedName>
    <definedName name="Imprimir_área_IM" localSheetId="0">'3.1.1'!$A$1:$L$31</definedName>
  </definedNames>
  <calcPr calcId="145621"/>
</workbook>
</file>

<file path=xl/calcChain.xml><?xml version="1.0" encoding="utf-8"?>
<calcChain xmlns="http://schemas.openxmlformats.org/spreadsheetml/2006/main">
  <c r="L37" i="1" l="1"/>
  <c r="K37" i="1"/>
  <c r="I37" i="1"/>
  <c r="H37" i="1"/>
  <c r="F37" i="1"/>
  <c r="E37" i="1"/>
  <c r="C37" i="1"/>
  <c r="B37" i="1"/>
  <c r="L183" i="2" l="1"/>
  <c r="K183" i="2"/>
  <c r="I183" i="2"/>
  <c r="H183" i="2"/>
  <c r="F183" i="2"/>
  <c r="E183" i="2"/>
  <c r="C183" i="2"/>
  <c r="B183" i="2"/>
  <c r="C34" i="1"/>
  <c r="E34" i="1"/>
  <c r="F34" i="1"/>
  <c r="H34" i="1"/>
  <c r="L34" i="1"/>
  <c r="L12" i="1"/>
  <c r="K12" i="1"/>
  <c r="I12" i="1"/>
  <c r="H12" i="1"/>
  <c r="H9" i="1" s="1"/>
  <c r="F12" i="1"/>
  <c r="F9" i="1" s="1"/>
  <c r="E12" i="1"/>
  <c r="C12" i="1"/>
  <c r="B12" i="1"/>
  <c r="L9" i="1"/>
  <c r="K9" i="1"/>
  <c r="I9" i="1"/>
  <c r="E9" i="1"/>
  <c r="C9" i="1"/>
  <c r="B9" i="1"/>
  <c r="B34" i="1"/>
  <c r="I34" i="1"/>
  <c r="K34" i="1"/>
  <c r="L161" i="2" l="1"/>
  <c r="L158" i="2" s="1"/>
  <c r="K161" i="2"/>
  <c r="I161" i="2"/>
  <c r="I158" i="2" s="1"/>
  <c r="H161" i="2"/>
  <c r="H158" i="2" s="1"/>
  <c r="F161" i="2"/>
  <c r="F158" i="2" s="1"/>
  <c r="E161" i="2"/>
  <c r="E158" i="2" s="1"/>
  <c r="C161" i="2"/>
  <c r="C158" i="2" s="1"/>
  <c r="B161" i="2"/>
  <c r="B158" i="2" s="1"/>
  <c r="K158" i="2"/>
  <c r="L136" i="2" l="1"/>
  <c r="L133" i="2" s="1"/>
  <c r="K136" i="2"/>
  <c r="K133" i="2" s="1"/>
  <c r="I136" i="2"/>
  <c r="I133" i="2" s="1"/>
  <c r="H136" i="2"/>
  <c r="H133" i="2" s="1"/>
  <c r="F136" i="2"/>
  <c r="F133" i="2" s="1"/>
  <c r="E136" i="2"/>
  <c r="E133" i="2" s="1"/>
  <c r="C136" i="2"/>
  <c r="C133" i="2" s="1"/>
  <c r="B136" i="2"/>
  <c r="B133" i="2" s="1"/>
  <c r="L86" i="2" l="1"/>
  <c r="L83" i="2" s="1"/>
  <c r="K86" i="2"/>
  <c r="K83" i="2" s="1"/>
  <c r="I86" i="2"/>
  <c r="I83" i="2" s="1"/>
  <c r="H86" i="2"/>
  <c r="H83" i="2" s="1"/>
  <c r="F86" i="2"/>
  <c r="E86" i="2"/>
  <c r="C86" i="2"/>
  <c r="C83" i="2" s="1"/>
  <c r="B86" i="2"/>
  <c r="B83" i="2" s="1"/>
  <c r="F83" i="2"/>
  <c r="E83" i="2"/>
  <c r="L61" i="2" l="1"/>
  <c r="L58" i="2" s="1"/>
  <c r="K61" i="2"/>
  <c r="K58" i="2" s="1"/>
  <c r="I61" i="2"/>
  <c r="H61" i="2"/>
  <c r="H58" i="2" s="1"/>
  <c r="F61" i="2"/>
  <c r="F58" i="2" s="1"/>
  <c r="E61" i="2"/>
  <c r="E58" i="2" s="1"/>
  <c r="C61" i="2"/>
  <c r="C58" i="2" s="1"/>
  <c r="B61" i="2"/>
  <c r="B58" i="2" s="1"/>
  <c r="I58" i="2"/>
  <c r="B11" i="2" l="1"/>
  <c r="B8" i="2" s="1"/>
  <c r="C11" i="2"/>
  <c r="C8" i="2" s="1"/>
  <c r="E11" i="2"/>
  <c r="E8" i="2" s="1"/>
  <c r="F11" i="2"/>
  <c r="F8" i="2" s="1"/>
  <c r="H11" i="2"/>
  <c r="H8" i="2" s="1"/>
  <c r="I11" i="2"/>
  <c r="I8" i="2" s="1"/>
  <c r="K11" i="2"/>
  <c r="K8" i="2" s="1"/>
  <c r="L11" i="2"/>
  <c r="L8" i="2" s="1"/>
  <c r="L36" i="2"/>
  <c r="L33" i="2" s="1"/>
  <c r="K36" i="2"/>
  <c r="K33" i="2" s="1"/>
  <c r="I36" i="2"/>
  <c r="H36" i="2"/>
  <c r="H33" i="2" s="1"/>
  <c r="F36" i="2"/>
  <c r="F33" i="2" s="1"/>
  <c r="E36" i="2"/>
  <c r="E33" i="2" s="1"/>
  <c r="C36" i="2"/>
  <c r="C33" i="2" s="1"/>
  <c r="B36" i="2"/>
  <c r="B33" i="2" s="1"/>
  <c r="I33" i="2"/>
</calcChain>
</file>

<file path=xl/sharedStrings.xml><?xml version="1.0" encoding="utf-8"?>
<sst xmlns="http://schemas.openxmlformats.org/spreadsheetml/2006/main" count="307" uniqueCount="38">
  <si>
    <t>Total País</t>
  </si>
  <si>
    <t>Montevideo</t>
  </si>
  <si>
    <t>Resto del País</t>
  </si>
  <si>
    <t>INAU</t>
  </si>
  <si>
    <t>Establecimientos</t>
  </si>
  <si>
    <t>Estudiantes</t>
  </si>
  <si>
    <t xml:space="preserve">  Artigas</t>
  </si>
  <si>
    <t xml:space="preserve"> Canelones</t>
  </si>
  <si>
    <t xml:space="preserve"> Cerro Largo</t>
  </si>
  <si>
    <t xml:space="preserve"> Colonia</t>
  </si>
  <si>
    <t xml:space="preserve"> Durazno</t>
  </si>
  <si>
    <t xml:space="preserve"> Flores</t>
  </si>
  <si>
    <t xml:space="preserve"> Florida</t>
  </si>
  <si>
    <t xml:space="preserve"> Lavalleja</t>
  </si>
  <si>
    <t xml:space="preserve"> Maldonado</t>
  </si>
  <si>
    <t xml:space="preserve"> Paysandú</t>
  </si>
  <si>
    <t xml:space="preserve"> Río Negro</t>
  </si>
  <si>
    <t xml:space="preserve"> Rivera</t>
  </si>
  <si>
    <t xml:space="preserve"> Rocha</t>
  </si>
  <si>
    <t xml:space="preserve"> Soriano</t>
  </si>
  <si>
    <t xml:space="preserve"> Salto</t>
  </si>
  <si>
    <t xml:space="preserve"> San José</t>
  </si>
  <si>
    <t xml:space="preserve"> Tacuarembó</t>
  </si>
  <si>
    <t xml:space="preserve"> Treinta y Tres</t>
  </si>
  <si>
    <t>-</t>
  </si>
  <si>
    <t xml:space="preserve">3.1.1 - Cantidad de establecimientos y estudiantes de Educación Inicial, por forma de administración, según año y departamento </t>
  </si>
  <si>
    <t>departamento</t>
  </si>
  <si>
    <t xml:space="preserve">Año y </t>
  </si>
  <si>
    <t>DGEIP Públicos</t>
  </si>
  <si>
    <t>DGEIP Privados</t>
  </si>
  <si>
    <t>Nota 1: DGEIP Privados incluye Centros educativos de Primera Infancia e Inicial en Establecimientos Privados Habilitados y Supervisados por ANEP.</t>
  </si>
  <si>
    <t>Nota 2: La disminución de instituciones, niños y niñas que asistieron a Centros de Primera Infancia supervisados por el MEC en 2019 puede explicarse porque los relevamientos de información se realizan a año vencido y debido a la pandemia de COVID-19, algunas de estas instituciones reportaron cierre.</t>
  </si>
  <si>
    <t xml:space="preserve">Nota 3: Los datos de Centros de Primera Infancia Privados supervisados por INAU corresponden a los Centros Privados supervisados por el MEC del año 2020. </t>
  </si>
  <si>
    <t>…</t>
  </si>
  <si>
    <t>Fuente: Ministerio de Educación y Cultura (MEC) - Dirección Nacional de Educación - División de Investigación y Estadística con información proporcionada por: Departamento de Estadística de la Dirección General de Educación Inicial y Primaria, Registro Nacional de Centros de Educación Infantil Privados del MEC y SIPI del INAU.</t>
  </si>
  <si>
    <t xml:space="preserve">Centros de Primera Infancia Privados supervisados por INAU </t>
  </si>
  <si>
    <t>Nota: DGEIP Privados incluye Centros educativos de Primera Infancia e Inicial en Establecimientos Privados Habilitados y Supervisados por ANEP.</t>
  </si>
  <si>
    <t>Año y departamento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</si>
</sst>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_);_(* \(#,##0.00\);_(* &quot;-&quot;??_);_(@_)"/>
    <numFmt numFmtId="165" formatCode="_(* #,##0_);_(* \(#,##0\);_(* &quot;-&quot;??_);_(@_)"/>
    <numFmt numFmtId="166" formatCode="0_);\(0\)"/>
  </numFmts>
  <fonts count="8" x14ac:knownFonts="1">
    <font>
      <sz val="10"/>
      <name val="Courier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i/>
      <sz val="1"/>
      <color indexed="8"/>
      <name val="Courier"/>
      <family val="3"/>
    </font>
    <font>
      <b/>
      <sz val="9"/>
      <name val="Arial"/>
      <family val="2"/>
    </font>
    <font>
      <sz val="9"/>
      <name val="Arial"/>
      <family val="2"/>
    </font>
    <font>
      <b/>
      <sz val="12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406B9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0" fontId="3" fillId="0" borderId="0">
      <protection locked="0"/>
    </xf>
    <xf numFmtId="0" fontId="2" fillId="0" borderId="0">
      <protection locked="0"/>
    </xf>
    <xf numFmtId="0" fontId="4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4" fillId="0" borderId="0">
      <protection locked="0"/>
    </xf>
    <xf numFmtId="164" fontId="1" fillId="0" borderId="0" applyFont="0" applyFill="0" applyBorder="0" applyAlignment="0" applyProtection="0"/>
  </cellStyleXfs>
  <cellXfs count="27">
    <xf numFmtId="0" fontId="0" fillId="0" borderId="0" xfId="0"/>
    <xf numFmtId="0" fontId="5" fillId="2" borderId="0" xfId="0" applyFont="1" applyFill="1" applyBorder="1"/>
    <xf numFmtId="0" fontId="5" fillId="2" borderId="0" xfId="0" applyFont="1" applyFill="1" applyBorder="1" applyAlignment="1" applyProtection="1">
      <alignment horizontal="center"/>
    </xf>
    <xf numFmtId="0" fontId="6" fillId="2" borderId="0" xfId="0" applyFont="1" applyFill="1" applyBorder="1"/>
    <xf numFmtId="165" fontId="6" fillId="2" borderId="0" xfId="8" applyNumberFormat="1" applyFont="1" applyFill="1" applyBorder="1" applyAlignment="1" applyProtection="1"/>
    <xf numFmtId="0" fontId="5" fillId="2" borderId="0" xfId="0" applyFont="1" applyFill="1" applyBorder="1" applyAlignment="1">
      <alignment horizontal="right"/>
    </xf>
    <xf numFmtId="3" fontId="6" fillId="2" borderId="0" xfId="0" applyNumberFormat="1" applyFont="1" applyFill="1" applyBorder="1" applyAlignment="1">
      <alignment horizontal="right"/>
    </xf>
    <xf numFmtId="3" fontId="5" fillId="2" borderId="0" xfId="0" applyNumberFormat="1" applyFont="1" applyFill="1" applyBorder="1" applyAlignment="1">
      <alignment horizontal="right"/>
    </xf>
    <xf numFmtId="0" fontId="5" fillId="2" borderId="0" xfId="0" applyFont="1" applyFill="1" applyBorder="1" applyAlignment="1" applyProtection="1"/>
    <xf numFmtId="0" fontId="5" fillId="2" borderId="0" xfId="0" applyFont="1" applyFill="1" applyBorder="1" applyAlignment="1" applyProtection="1">
      <alignment horizontal="center" vertical="center" wrapText="1"/>
    </xf>
    <xf numFmtId="0" fontId="5" fillId="2" borderId="0" xfId="0" applyFont="1" applyFill="1" applyBorder="1" applyAlignment="1">
      <alignment horizontal="left"/>
    </xf>
    <xf numFmtId="37" fontId="5" fillId="2" borderId="0" xfId="0" applyNumberFormat="1" applyFont="1" applyFill="1" applyBorder="1" applyAlignment="1" applyProtection="1">
      <alignment horizontal="right"/>
    </xf>
    <xf numFmtId="37" fontId="6" fillId="2" borderId="0" xfId="0" applyNumberFormat="1" applyFont="1" applyFill="1" applyBorder="1" applyAlignment="1" applyProtection="1">
      <alignment horizontal="right"/>
    </xf>
    <xf numFmtId="166" fontId="7" fillId="3" borderId="0" xfId="0" applyNumberFormat="1" applyFont="1" applyFill="1" applyBorder="1" applyAlignment="1" applyProtection="1">
      <alignment horizontal="left"/>
    </xf>
    <xf numFmtId="166" fontId="7" fillId="3" borderId="0" xfId="0" applyNumberFormat="1" applyFont="1" applyFill="1" applyBorder="1" applyAlignment="1">
      <alignment horizontal="left"/>
    </xf>
    <xf numFmtId="0" fontId="5" fillId="2" borderId="0" xfId="0" applyFont="1" applyFill="1" applyBorder="1" applyAlignment="1" applyProtection="1">
      <alignment horizontal="right" vertical="center" wrapText="1"/>
    </xf>
    <xf numFmtId="0" fontId="6" fillId="2" borderId="0" xfId="0" applyFont="1" applyFill="1" applyBorder="1" applyAlignment="1">
      <alignment horizontal="right"/>
    </xf>
    <xf numFmtId="3" fontId="6" fillId="2" borderId="0" xfId="0" quotePrefix="1" applyNumberFormat="1" applyFont="1" applyFill="1" applyBorder="1" applyAlignment="1" applyProtection="1">
      <alignment horizontal="right"/>
    </xf>
    <xf numFmtId="3" fontId="5" fillId="2" borderId="0" xfId="0" applyNumberFormat="1" applyFont="1" applyFill="1" applyBorder="1" applyAlignment="1" applyProtection="1">
      <alignment horizontal="right"/>
    </xf>
    <xf numFmtId="3" fontId="6" fillId="2" borderId="0" xfId="0" applyNumberFormat="1" applyFont="1" applyFill="1" applyBorder="1" applyAlignment="1" applyProtection="1">
      <alignment horizontal="right"/>
    </xf>
    <xf numFmtId="0" fontId="5" fillId="2" borderId="0" xfId="0" applyFont="1" applyFill="1" applyBorder="1" applyAlignment="1"/>
    <xf numFmtId="0" fontId="5" fillId="2" borderId="0" xfId="0" applyFont="1" applyFill="1" applyBorder="1" applyAlignment="1" applyProtection="1">
      <alignment horizontal="center" wrapText="1"/>
    </xf>
    <xf numFmtId="0" fontId="5" fillId="2" borderId="0" xfId="0" applyFont="1" applyFill="1" applyBorder="1" applyAlignment="1" applyProtection="1">
      <alignment horizontal="left" wrapText="1"/>
    </xf>
    <xf numFmtId="166" fontId="7" fillId="3" borderId="0" xfId="0" applyNumberFormat="1" applyFont="1" applyFill="1" applyBorder="1" applyAlignment="1" applyProtection="1">
      <alignment horizontal="left" wrapText="1"/>
    </xf>
    <xf numFmtId="0" fontId="5" fillId="2" borderId="1" xfId="0" applyFont="1" applyFill="1" applyBorder="1" applyAlignment="1" applyProtection="1">
      <alignment horizontal="center" wrapText="1"/>
    </xf>
    <xf numFmtId="0" fontId="5" fillId="2" borderId="0" xfId="0" applyFont="1" applyFill="1" applyBorder="1" applyAlignment="1" applyProtection="1">
      <alignment horizontal="left" vertical="center" wrapText="1"/>
    </xf>
    <xf numFmtId="0" fontId="5" fillId="2" borderId="1" xfId="0" applyFont="1" applyFill="1" applyBorder="1" applyAlignment="1" applyProtection="1">
      <alignment horizontal="center" vertical="center" wrapText="1"/>
    </xf>
  </cellXfs>
  <cellStyles count="9">
    <cellStyle name="F2" xfId="1"/>
    <cellStyle name="F3" xfId="2"/>
    <cellStyle name="F4" xfId="3"/>
    <cellStyle name="F5" xfId="4"/>
    <cellStyle name="F6" xfId="5"/>
    <cellStyle name="F7" xfId="6"/>
    <cellStyle name="F8" xfId="7"/>
    <cellStyle name="Millares" xfId="8" builtinId="3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>
    <pageSetUpPr fitToPage="1"/>
  </sheetPr>
  <dimension ref="A1:L61"/>
  <sheetViews>
    <sheetView showGridLines="0" tabSelected="1" zoomScaleNormal="100" workbookViewId="0">
      <selection sqref="A1:L2"/>
    </sheetView>
  </sheetViews>
  <sheetFormatPr baseColWidth="10" defaultColWidth="9.6640625" defaultRowHeight="12" x14ac:dyDescent="0.25"/>
  <cols>
    <col min="1" max="1" width="17.6640625" style="3" customWidth="1"/>
    <col min="2" max="2" width="14.77734375" style="3" customWidth="1"/>
    <col min="3" max="3" width="11.109375" style="2" bestFit="1" customWidth="1"/>
    <col min="4" max="4" width="1.6640625" style="2" customWidth="1"/>
    <col min="5" max="5" width="14.88671875" style="2" customWidth="1"/>
    <col min="6" max="6" width="11.109375" style="2" bestFit="1" customWidth="1"/>
    <col min="7" max="7" width="1.6640625" style="2" customWidth="1"/>
    <col min="8" max="8" width="14.109375" style="2" customWidth="1"/>
    <col min="9" max="9" width="11.109375" style="2" bestFit="1" customWidth="1"/>
    <col min="10" max="10" width="1.6640625" style="2" customWidth="1"/>
    <col min="11" max="11" width="13.44140625" style="2" customWidth="1"/>
    <col min="12" max="12" width="11.109375" style="2" bestFit="1" customWidth="1"/>
    <col min="13" max="16384" width="9.6640625" style="3"/>
  </cols>
  <sheetData>
    <row r="1" spans="1:12" ht="15" customHeight="1" x14ac:dyDescent="0.2">
      <c r="A1" s="23" t="s">
        <v>25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2" ht="15" customHeight="1" x14ac:dyDescent="0.2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12" ht="9.15" customHeight="1" x14ac:dyDescent="0.3">
      <c r="A3" s="13"/>
      <c r="B3" s="13"/>
      <c r="C3" s="13"/>
      <c r="D3" s="13"/>
      <c r="E3" s="14"/>
      <c r="F3" s="13"/>
      <c r="G3" s="13"/>
      <c r="H3" s="13"/>
      <c r="I3" s="13"/>
      <c r="J3" s="14"/>
      <c r="K3" s="13"/>
      <c r="L3" s="13"/>
    </row>
    <row r="4" spans="1:12" s="20" customFormat="1" ht="38.4" customHeight="1" x14ac:dyDescent="0.25">
      <c r="A4" s="25" t="s">
        <v>37</v>
      </c>
      <c r="B4" s="24" t="s">
        <v>28</v>
      </c>
      <c r="C4" s="24"/>
      <c r="D4" s="21"/>
      <c r="E4" s="24" t="s">
        <v>29</v>
      </c>
      <c r="F4" s="24"/>
      <c r="G4" s="21"/>
      <c r="H4" s="24" t="s">
        <v>3</v>
      </c>
      <c r="I4" s="24"/>
      <c r="J4" s="21"/>
      <c r="K4" s="24" t="s">
        <v>35</v>
      </c>
      <c r="L4" s="24"/>
    </row>
    <row r="5" spans="1:12" s="1" customFormat="1" ht="12.75" customHeight="1" x14ac:dyDescent="0.25">
      <c r="A5" s="25"/>
      <c r="B5" s="5" t="s">
        <v>4</v>
      </c>
      <c r="C5" s="15" t="s">
        <v>5</v>
      </c>
      <c r="D5" s="15"/>
      <c r="E5" s="5" t="s">
        <v>4</v>
      </c>
      <c r="F5" s="15" t="s">
        <v>5</v>
      </c>
      <c r="G5" s="15"/>
      <c r="H5" s="5" t="s">
        <v>4</v>
      </c>
      <c r="I5" s="15" t="s">
        <v>5</v>
      </c>
      <c r="J5" s="15"/>
      <c r="K5" s="5" t="s">
        <v>4</v>
      </c>
      <c r="L5" s="15" t="s">
        <v>5</v>
      </c>
    </row>
    <row r="6" spans="1:12" ht="9.15" customHeight="1" x14ac:dyDescent="0.25">
      <c r="A6" s="8"/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spans="1:12" x14ac:dyDescent="0.25">
      <c r="A7" s="10">
        <v>2023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spans="1:12" ht="9.15" customHeight="1" x14ac:dyDescent="0.25">
      <c r="A8" s="10"/>
      <c r="B8" s="6"/>
      <c r="C8" s="6"/>
      <c r="D8" s="6"/>
      <c r="E8" s="6"/>
      <c r="F8" s="6"/>
      <c r="G8" s="6"/>
      <c r="H8" s="6"/>
      <c r="I8" s="6"/>
      <c r="J8" s="6"/>
      <c r="K8" s="6"/>
      <c r="L8" s="6"/>
    </row>
    <row r="9" spans="1:12" x14ac:dyDescent="0.25">
      <c r="A9" s="1" t="s">
        <v>0</v>
      </c>
      <c r="B9" s="7">
        <f>SUM(B11:B12)</f>
        <v>231</v>
      </c>
      <c r="C9" s="7">
        <f>SUM(C11:C12)</f>
        <v>77664</v>
      </c>
      <c r="D9" s="7"/>
      <c r="E9" s="7">
        <f>SUM(E11:E12)</f>
        <v>352</v>
      </c>
      <c r="F9" s="7">
        <f>SUM(F11:F12)</f>
        <v>18045</v>
      </c>
      <c r="G9" s="7"/>
      <c r="H9" s="7">
        <f t="shared" ref="H9:I9" si="0">SUM(H11:H12)</f>
        <v>525</v>
      </c>
      <c r="I9" s="7">
        <f t="shared" si="0"/>
        <v>60797</v>
      </c>
      <c r="J9" s="7"/>
      <c r="K9" s="7">
        <f t="shared" ref="K9:L9" si="1">SUM(K11:K12)</f>
        <v>212</v>
      </c>
      <c r="L9" s="7">
        <f t="shared" si="1"/>
        <v>10679</v>
      </c>
    </row>
    <row r="10" spans="1:12" ht="9.15" customHeight="1" x14ac:dyDescent="0.25">
      <c r="A10" s="8"/>
      <c r="B10" s="6"/>
      <c r="C10" s="6"/>
      <c r="D10" s="6"/>
      <c r="E10" s="19"/>
      <c r="F10" s="19"/>
      <c r="G10" s="6"/>
      <c r="H10" s="17"/>
      <c r="I10" s="17"/>
      <c r="J10" s="17"/>
      <c r="K10" s="19"/>
      <c r="L10" s="19"/>
    </row>
    <row r="11" spans="1:12" x14ac:dyDescent="0.25">
      <c r="A11" s="1" t="s">
        <v>1</v>
      </c>
      <c r="B11" s="6">
        <v>79</v>
      </c>
      <c r="C11" s="6">
        <v>22903</v>
      </c>
      <c r="D11" s="6"/>
      <c r="E11" s="19">
        <v>167</v>
      </c>
      <c r="F11" s="19">
        <v>10476</v>
      </c>
      <c r="G11" s="6"/>
      <c r="H11" s="3">
        <v>146</v>
      </c>
      <c r="I11" s="6">
        <v>16761</v>
      </c>
      <c r="J11" s="6"/>
      <c r="K11" s="19">
        <v>119</v>
      </c>
      <c r="L11" s="19">
        <v>6376</v>
      </c>
    </row>
    <row r="12" spans="1:12" x14ac:dyDescent="0.25">
      <c r="A12" s="1" t="s">
        <v>2</v>
      </c>
      <c r="B12" s="6">
        <f>SUM(B13:B30)</f>
        <v>152</v>
      </c>
      <c r="C12" s="6">
        <f t="shared" ref="C12" si="2">SUM(C13:C30)</f>
        <v>54761</v>
      </c>
      <c r="D12" s="6"/>
      <c r="E12" s="6">
        <f t="shared" ref="E12:F12" si="3">SUM(E13:E30)</f>
        <v>185</v>
      </c>
      <c r="F12" s="6">
        <f t="shared" si="3"/>
        <v>7569</v>
      </c>
      <c r="G12" s="6"/>
      <c r="H12" s="6">
        <f t="shared" ref="H12:I12" si="4">SUM(H13:H30)</f>
        <v>379</v>
      </c>
      <c r="I12" s="6">
        <f t="shared" si="4"/>
        <v>44036</v>
      </c>
      <c r="J12" s="6"/>
      <c r="K12" s="6">
        <f t="shared" ref="K12:L12" si="5">SUM(K13:K30)</f>
        <v>93</v>
      </c>
      <c r="L12" s="6">
        <f t="shared" si="5"/>
        <v>4303</v>
      </c>
    </row>
    <row r="13" spans="1:12" x14ac:dyDescent="0.25">
      <c r="A13" s="1" t="s">
        <v>6</v>
      </c>
      <c r="B13" s="6">
        <v>5</v>
      </c>
      <c r="C13" s="6">
        <v>2438</v>
      </c>
      <c r="D13" s="6"/>
      <c r="E13" s="19">
        <v>3</v>
      </c>
      <c r="F13" s="19">
        <v>206</v>
      </c>
      <c r="G13" s="6"/>
      <c r="H13" s="3">
        <v>21</v>
      </c>
      <c r="I13" s="6">
        <v>2611</v>
      </c>
      <c r="J13" s="6"/>
      <c r="K13" s="19">
        <v>3</v>
      </c>
      <c r="L13" s="19">
        <v>89</v>
      </c>
    </row>
    <row r="14" spans="1:12" x14ac:dyDescent="0.25">
      <c r="A14" s="1" t="s">
        <v>7</v>
      </c>
      <c r="B14" s="6">
        <v>43</v>
      </c>
      <c r="C14" s="6">
        <v>13549</v>
      </c>
      <c r="D14" s="6"/>
      <c r="E14" s="19">
        <v>65</v>
      </c>
      <c r="F14" s="19">
        <v>2417</v>
      </c>
      <c r="G14" s="6"/>
      <c r="H14" s="3">
        <v>76</v>
      </c>
      <c r="I14" s="6">
        <v>9505</v>
      </c>
      <c r="J14" s="6"/>
      <c r="K14" s="19">
        <v>41</v>
      </c>
      <c r="L14" s="19">
        <v>1819</v>
      </c>
    </row>
    <row r="15" spans="1:12" x14ac:dyDescent="0.25">
      <c r="A15" s="1" t="s">
        <v>8</v>
      </c>
      <c r="B15" s="6">
        <v>7</v>
      </c>
      <c r="C15" s="6">
        <v>2593</v>
      </c>
      <c r="D15" s="6"/>
      <c r="E15" s="19">
        <v>6</v>
      </c>
      <c r="F15" s="19">
        <v>96</v>
      </c>
      <c r="G15" s="6"/>
      <c r="H15" s="3">
        <v>21</v>
      </c>
      <c r="I15" s="6">
        <v>2930</v>
      </c>
      <c r="J15" s="6"/>
      <c r="K15" s="19" t="s">
        <v>24</v>
      </c>
      <c r="L15" s="19" t="s">
        <v>24</v>
      </c>
    </row>
    <row r="16" spans="1:12" x14ac:dyDescent="0.25">
      <c r="A16" s="1" t="s">
        <v>9</v>
      </c>
      <c r="B16" s="6">
        <v>7</v>
      </c>
      <c r="C16" s="6">
        <v>3344</v>
      </c>
      <c r="D16" s="6"/>
      <c r="E16" s="19">
        <v>12</v>
      </c>
      <c r="F16" s="19">
        <v>382</v>
      </c>
      <c r="G16" s="6"/>
      <c r="H16" s="3">
        <v>19</v>
      </c>
      <c r="I16" s="6">
        <v>2100</v>
      </c>
      <c r="J16" s="6"/>
      <c r="K16" s="19">
        <v>5</v>
      </c>
      <c r="L16" s="19">
        <v>273</v>
      </c>
    </row>
    <row r="17" spans="1:12" x14ac:dyDescent="0.25">
      <c r="A17" s="1" t="s">
        <v>10</v>
      </c>
      <c r="B17" s="6">
        <v>5</v>
      </c>
      <c r="C17" s="6">
        <v>1483</v>
      </c>
      <c r="D17" s="6"/>
      <c r="E17" s="19">
        <v>3</v>
      </c>
      <c r="F17" s="19">
        <v>103</v>
      </c>
      <c r="G17" s="6"/>
      <c r="H17" s="3">
        <v>19</v>
      </c>
      <c r="I17" s="6">
        <v>1782</v>
      </c>
      <c r="J17" s="6"/>
      <c r="K17" s="19">
        <v>2</v>
      </c>
      <c r="L17" s="19">
        <v>154</v>
      </c>
    </row>
    <row r="18" spans="1:12" x14ac:dyDescent="0.25">
      <c r="A18" s="1" t="s">
        <v>11</v>
      </c>
      <c r="B18" s="6">
        <v>2</v>
      </c>
      <c r="C18" s="6">
        <v>582</v>
      </c>
      <c r="D18" s="6"/>
      <c r="E18" s="19">
        <v>3</v>
      </c>
      <c r="F18" s="19">
        <v>95</v>
      </c>
      <c r="G18" s="6"/>
      <c r="H18" s="3">
        <v>9</v>
      </c>
      <c r="I18" s="6">
        <v>732</v>
      </c>
      <c r="J18" s="6"/>
      <c r="K18" s="19">
        <v>1</v>
      </c>
      <c r="L18" s="19">
        <v>78</v>
      </c>
    </row>
    <row r="19" spans="1:12" x14ac:dyDescent="0.25">
      <c r="A19" s="1" t="s">
        <v>12</v>
      </c>
      <c r="B19" s="6">
        <v>4</v>
      </c>
      <c r="C19" s="6">
        <v>1704</v>
      </c>
      <c r="D19" s="6"/>
      <c r="E19" s="19">
        <v>3</v>
      </c>
      <c r="F19" s="19">
        <v>68</v>
      </c>
      <c r="G19" s="6"/>
      <c r="H19" s="3">
        <v>15</v>
      </c>
      <c r="I19" s="6">
        <v>1454</v>
      </c>
      <c r="J19" s="6"/>
      <c r="K19" s="19">
        <v>3</v>
      </c>
      <c r="L19" s="19">
        <v>182</v>
      </c>
    </row>
    <row r="20" spans="1:12" x14ac:dyDescent="0.25">
      <c r="A20" s="1" t="s">
        <v>13</v>
      </c>
      <c r="B20" s="6">
        <v>7</v>
      </c>
      <c r="C20" s="6">
        <v>1504</v>
      </c>
      <c r="D20" s="6"/>
      <c r="E20" s="19">
        <v>6</v>
      </c>
      <c r="F20" s="19">
        <v>116</v>
      </c>
      <c r="G20" s="6"/>
      <c r="H20" s="3">
        <v>9</v>
      </c>
      <c r="I20" s="6">
        <v>973</v>
      </c>
      <c r="J20" s="6"/>
      <c r="K20" s="19">
        <v>4</v>
      </c>
      <c r="L20" s="19">
        <v>121</v>
      </c>
    </row>
    <row r="21" spans="1:12" x14ac:dyDescent="0.25">
      <c r="A21" s="1" t="s">
        <v>14</v>
      </c>
      <c r="B21" s="6">
        <v>9</v>
      </c>
      <c r="C21" s="6">
        <v>3968</v>
      </c>
      <c r="D21" s="6"/>
      <c r="E21" s="19">
        <v>30</v>
      </c>
      <c r="F21" s="19">
        <v>1561</v>
      </c>
      <c r="G21" s="6"/>
      <c r="H21" s="3">
        <v>15</v>
      </c>
      <c r="I21" s="6">
        <v>1834</v>
      </c>
      <c r="J21" s="6"/>
      <c r="K21" s="19">
        <v>7</v>
      </c>
      <c r="L21" s="19">
        <v>354</v>
      </c>
    </row>
    <row r="22" spans="1:12" x14ac:dyDescent="0.25">
      <c r="A22" s="1" t="s">
        <v>15</v>
      </c>
      <c r="B22" s="6">
        <v>6</v>
      </c>
      <c r="C22" s="6">
        <v>3235</v>
      </c>
      <c r="D22" s="6"/>
      <c r="E22" s="19">
        <v>9</v>
      </c>
      <c r="F22" s="19">
        <v>428</v>
      </c>
      <c r="G22" s="6"/>
      <c r="H22" s="3">
        <v>27</v>
      </c>
      <c r="I22" s="6">
        <v>3277</v>
      </c>
      <c r="J22" s="6"/>
      <c r="K22" s="19">
        <v>4</v>
      </c>
      <c r="L22" s="19">
        <v>206</v>
      </c>
    </row>
    <row r="23" spans="1:12" x14ac:dyDescent="0.25">
      <c r="A23" s="1" t="s">
        <v>16</v>
      </c>
      <c r="B23" s="6">
        <v>6</v>
      </c>
      <c r="C23" s="6">
        <v>1532</v>
      </c>
      <c r="D23" s="6"/>
      <c r="E23" s="19">
        <v>7</v>
      </c>
      <c r="F23" s="19">
        <v>173</v>
      </c>
      <c r="G23" s="6"/>
      <c r="H23" s="3">
        <v>14</v>
      </c>
      <c r="I23" s="6">
        <v>1458</v>
      </c>
      <c r="J23" s="6"/>
      <c r="K23" s="19">
        <v>2</v>
      </c>
      <c r="L23" s="19">
        <v>71</v>
      </c>
    </row>
    <row r="24" spans="1:12" x14ac:dyDescent="0.25">
      <c r="A24" s="1" t="s">
        <v>17</v>
      </c>
      <c r="B24" s="6">
        <v>8</v>
      </c>
      <c r="C24" s="6">
        <v>3415</v>
      </c>
      <c r="D24" s="6"/>
      <c r="E24" s="19">
        <v>8</v>
      </c>
      <c r="F24" s="19">
        <v>278</v>
      </c>
      <c r="G24" s="6"/>
      <c r="H24" s="3">
        <v>18</v>
      </c>
      <c r="I24" s="6">
        <v>2903</v>
      </c>
      <c r="J24" s="6"/>
      <c r="K24" s="19">
        <v>2</v>
      </c>
      <c r="L24" s="19">
        <v>181</v>
      </c>
    </row>
    <row r="25" spans="1:12" x14ac:dyDescent="0.25">
      <c r="A25" s="1" t="s">
        <v>18</v>
      </c>
      <c r="B25" s="6">
        <v>7</v>
      </c>
      <c r="C25" s="6">
        <v>2007</v>
      </c>
      <c r="D25" s="6"/>
      <c r="E25" s="19">
        <v>4</v>
      </c>
      <c r="F25" s="19">
        <v>157</v>
      </c>
      <c r="G25" s="6"/>
      <c r="H25" s="3">
        <v>18</v>
      </c>
      <c r="I25" s="6">
        <v>2025</v>
      </c>
      <c r="J25" s="6"/>
      <c r="K25" s="19">
        <v>3</v>
      </c>
      <c r="L25" s="19">
        <v>82</v>
      </c>
    </row>
    <row r="26" spans="1:12" x14ac:dyDescent="0.25">
      <c r="A26" s="1" t="s">
        <v>20</v>
      </c>
      <c r="B26" s="6">
        <v>8</v>
      </c>
      <c r="C26" s="6">
        <v>4108</v>
      </c>
      <c r="D26" s="6"/>
      <c r="E26" s="19">
        <v>8</v>
      </c>
      <c r="F26" s="19">
        <v>599</v>
      </c>
      <c r="G26" s="6"/>
      <c r="H26" s="3">
        <v>27</v>
      </c>
      <c r="I26" s="6">
        <v>3516</v>
      </c>
      <c r="J26" s="6"/>
      <c r="K26" s="19">
        <v>2</v>
      </c>
      <c r="L26" s="19">
        <v>89</v>
      </c>
    </row>
    <row r="27" spans="1:12" x14ac:dyDescent="0.25">
      <c r="A27" s="1" t="s">
        <v>21</v>
      </c>
      <c r="B27" s="6">
        <v>7</v>
      </c>
      <c r="C27" s="6">
        <v>3128</v>
      </c>
      <c r="D27" s="6"/>
      <c r="E27" s="19">
        <v>7</v>
      </c>
      <c r="F27" s="19">
        <v>340</v>
      </c>
      <c r="G27" s="6"/>
      <c r="H27" s="3">
        <v>20</v>
      </c>
      <c r="I27" s="6">
        <v>2037</v>
      </c>
      <c r="J27" s="6"/>
      <c r="K27" s="19">
        <v>6</v>
      </c>
      <c r="L27" s="19">
        <v>186</v>
      </c>
    </row>
    <row r="28" spans="1:12" x14ac:dyDescent="0.25">
      <c r="A28" s="1" t="s">
        <v>19</v>
      </c>
      <c r="B28" s="6">
        <v>7</v>
      </c>
      <c r="C28" s="6">
        <v>2296</v>
      </c>
      <c r="D28" s="6"/>
      <c r="E28" s="19">
        <v>3</v>
      </c>
      <c r="F28" s="19">
        <v>173</v>
      </c>
      <c r="G28" s="6"/>
      <c r="H28" s="3">
        <v>18</v>
      </c>
      <c r="I28" s="6">
        <v>1649</v>
      </c>
      <c r="J28" s="6"/>
      <c r="K28" s="19">
        <v>7</v>
      </c>
      <c r="L28" s="19">
        <v>333</v>
      </c>
    </row>
    <row r="29" spans="1:12" x14ac:dyDescent="0.25">
      <c r="A29" s="1" t="s">
        <v>22</v>
      </c>
      <c r="B29" s="6">
        <v>9</v>
      </c>
      <c r="C29" s="6">
        <v>2586</v>
      </c>
      <c r="D29" s="6"/>
      <c r="E29" s="19">
        <v>7</v>
      </c>
      <c r="F29" s="19">
        <v>335</v>
      </c>
      <c r="G29" s="6"/>
      <c r="H29" s="3">
        <v>19</v>
      </c>
      <c r="I29" s="6">
        <v>2005</v>
      </c>
      <c r="J29" s="6"/>
      <c r="K29" s="19">
        <v>1</v>
      </c>
      <c r="L29" s="19">
        <v>85</v>
      </c>
    </row>
    <row r="30" spans="1:12" x14ac:dyDescent="0.25">
      <c r="A30" s="1" t="s">
        <v>23</v>
      </c>
      <c r="B30" s="6">
        <v>5</v>
      </c>
      <c r="C30" s="6">
        <v>1289</v>
      </c>
      <c r="D30" s="6"/>
      <c r="E30" s="19">
        <v>1</v>
      </c>
      <c r="F30" s="19">
        <v>42</v>
      </c>
      <c r="G30" s="6"/>
      <c r="H30" s="3">
        <v>14</v>
      </c>
      <c r="I30" s="6">
        <v>1245</v>
      </c>
      <c r="J30" s="6"/>
      <c r="K30" s="19" t="s">
        <v>24</v>
      </c>
      <c r="L30" s="19" t="s">
        <v>24</v>
      </c>
    </row>
    <row r="31" spans="1:12" ht="9.15" customHeight="1" x14ac:dyDescent="0.25">
      <c r="A31" s="1"/>
      <c r="B31" s="1"/>
      <c r="C31" s="1"/>
      <c r="D31" s="1"/>
      <c r="E31" s="5"/>
      <c r="F31" s="4"/>
      <c r="G31" s="1"/>
      <c r="H31" s="1"/>
      <c r="I31" s="1"/>
      <c r="J31" s="1"/>
      <c r="K31" s="1"/>
      <c r="L31" s="1"/>
    </row>
    <row r="32" spans="1:12" ht="11.55" customHeight="1" x14ac:dyDescent="0.25">
      <c r="A32" s="10">
        <v>2024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  <row r="33" spans="1:12" ht="9.15" customHeight="1" x14ac:dyDescent="0.25">
      <c r="A33" s="10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1:12" x14ac:dyDescent="0.25">
      <c r="A34" s="1" t="s">
        <v>0</v>
      </c>
      <c r="B34" s="7">
        <f>SUM(B36:B37)</f>
        <v>232</v>
      </c>
      <c r="C34" s="7">
        <f>SUM(C36:C37)</f>
        <v>72657</v>
      </c>
      <c r="D34" s="7"/>
      <c r="E34" s="7">
        <f>SUM(E36:E37)</f>
        <v>372</v>
      </c>
      <c r="F34" s="7">
        <f>SUM(F36:F37)</f>
        <v>22123</v>
      </c>
      <c r="G34" s="7"/>
      <c r="H34" s="7">
        <f t="shared" ref="H34:I34" si="6">SUM(H36:H37)</f>
        <v>537</v>
      </c>
      <c r="I34" s="7">
        <f t="shared" si="6"/>
        <v>61281</v>
      </c>
      <c r="J34" s="7"/>
      <c r="K34" s="7">
        <f t="shared" ref="K34:L34" si="7">SUM(K36:K37)</f>
        <v>219</v>
      </c>
      <c r="L34" s="7">
        <f t="shared" si="7"/>
        <v>9937</v>
      </c>
    </row>
    <row r="35" spans="1:12" ht="9.15" customHeight="1" x14ac:dyDescent="0.25">
      <c r="A35" s="8"/>
      <c r="B35" s="6"/>
      <c r="C35" s="6"/>
      <c r="D35" s="6"/>
      <c r="E35" s="19"/>
      <c r="F35" s="19"/>
      <c r="G35" s="6"/>
      <c r="H35" s="17"/>
      <c r="I35" s="17"/>
      <c r="J35" s="17"/>
      <c r="K35" s="19"/>
      <c r="L35" s="19"/>
    </row>
    <row r="36" spans="1:12" x14ac:dyDescent="0.25">
      <c r="A36" s="1" t="s">
        <v>1</v>
      </c>
      <c r="B36" s="6">
        <v>80</v>
      </c>
      <c r="C36" s="6">
        <v>21192</v>
      </c>
      <c r="D36" s="6"/>
      <c r="E36" s="19">
        <v>169</v>
      </c>
      <c r="F36" s="19">
        <v>12218</v>
      </c>
      <c r="G36" s="6"/>
      <c r="H36" s="3">
        <v>149</v>
      </c>
      <c r="I36" s="19">
        <v>16754</v>
      </c>
      <c r="J36" s="6"/>
      <c r="K36" s="19">
        <v>119</v>
      </c>
      <c r="L36" s="19">
        <v>5726</v>
      </c>
    </row>
    <row r="37" spans="1:12" x14ac:dyDescent="0.25">
      <c r="A37" s="1" t="s">
        <v>2</v>
      </c>
      <c r="B37" s="6">
        <f>SUM(B38:B55)</f>
        <v>152</v>
      </c>
      <c r="C37" s="6">
        <f t="shared" ref="C37" si="8">SUM(C38:C55)</f>
        <v>51465</v>
      </c>
      <c r="D37" s="6"/>
      <c r="E37" s="6">
        <f>SUM(E38:E55)</f>
        <v>203</v>
      </c>
      <c r="F37" s="6">
        <f t="shared" ref="F37" si="9">SUM(F38:F55)</f>
        <v>9905</v>
      </c>
      <c r="G37" s="6"/>
      <c r="H37" s="6">
        <f>SUM(H38:H55)</f>
        <v>388</v>
      </c>
      <c r="I37" s="6">
        <f t="shared" ref="I37" si="10">SUM(I38:I55)</f>
        <v>44527</v>
      </c>
      <c r="J37" s="6"/>
      <c r="K37" s="6">
        <f>SUM(K38:K55)</f>
        <v>100</v>
      </c>
      <c r="L37" s="6">
        <f t="shared" ref="L37" si="11">SUM(L38:L55)</f>
        <v>4211</v>
      </c>
    </row>
    <row r="38" spans="1:12" x14ac:dyDescent="0.25">
      <c r="A38" s="1" t="s">
        <v>6</v>
      </c>
      <c r="B38" s="6">
        <v>5</v>
      </c>
      <c r="C38" s="6">
        <v>2370</v>
      </c>
      <c r="D38" s="6"/>
      <c r="E38" s="19">
        <v>3</v>
      </c>
      <c r="F38" s="19">
        <v>243</v>
      </c>
      <c r="G38" s="6"/>
      <c r="H38" s="3">
        <v>21</v>
      </c>
      <c r="I38" s="19">
        <v>2594</v>
      </c>
      <c r="J38" s="6"/>
      <c r="K38" s="19">
        <v>3</v>
      </c>
      <c r="L38" s="19">
        <v>85</v>
      </c>
    </row>
    <row r="39" spans="1:12" x14ac:dyDescent="0.25">
      <c r="A39" s="1" t="s">
        <v>7</v>
      </c>
      <c r="B39" s="6">
        <v>43</v>
      </c>
      <c r="C39" s="6">
        <v>12883</v>
      </c>
      <c r="D39" s="6"/>
      <c r="E39" s="19">
        <v>74</v>
      </c>
      <c r="F39" s="19">
        <v>3049</v>
      </c>
      <c r="G39" s="6"/>
      <c r="H39" s="3">
        <v>78</v>
      </c>
      <c r="I39" s="19">
        <v>9727</v>
      </c>
      <c r="J39" s="6"/>
      <c r="K39" s="19">
        <v>42</v>
      </c>
      <c r="L39" s="19">
        <v>1704</v>
      </c>
    </row>
    <row r="40" spans="1:12" x14ac:dyDescent="0.25">
      <c r="A40" s="1" t="s">
        <v>8</v>
      </c>
      <c r="B40" s="6">
        <v>7</v>
      </c>
      <c r="C40" s="6">
        <v>2430</v>
      </c>
      <c r="D40" s="6"/>
      <c r="E40" s="19">
        <v>6</v>
      </c>
      <c r="F40" s="19">
        <v>134</v>
      </c>
      <c r="G40" s="6"/>
      <c r="H40" s="3">
        <v>21</v>
      </c>
      <c r="I40" s="19">
        <v>2975</v>
      </c>
      <c r="J40" s="6"/>
      <c r="K40" s="19">
        <v>0</v>
      </c>
      <c r="L40" s="19">
        <v>0</v>
      </c>
    </row>
    <row r="41" spans="1:12" x14ac:dyDescent="0.25">
      <c r="A41" s="1" t="s">
        <v>9</v>
      </c>
      <c r="B41" s="6">
        <v>7</v>
      </c>
      <c r="C41" s="6">
        <v>3087</v>
      </c>
      <c r="D41" s="6"/>
      <c r="E41" s="19">
        <v>12</v>
      </c>
      <c r="F41" s="19">
        <v>505</v>
      </c>
      <c r="G41" s="6"/>
      <c r="H41" s="3">
        <v>20</v>
      </c>
      <c r="I41" s="19">
        <v>2063</v>
      </c>
      <c r="J41" s="6"/>
      <c r="K41" s="19">
        <v>5</v>
      </c>
      <c r="L41" s="19">
        <v>239</v>
      </c>
    </row>
    <row r="42" spans="1:12" x14ac:dyDescent="0.25">
      <c r="A42" s="1" t="s">
        <v>10</v>
      </c>
      <c r="B42" s="6">
        <v>5</v>
      </c>
      <c r="C42" s="6">
        <v>1403</v>
      </c>
      <c r="D42" s="6"/>
      <c r="E42" s="19">
        <v>3</v>
      </c>
      <c r="F42" s="19">
        <v>93</v>
      </c>
      <c r="G42" s="6"/>
      <c r="H42" s="3">
        <v>19</v>
      </c>
      <c r="I42" s="19">
        <v>1757</v>
      </c>
      <c r="J42" s="6"/>
      <c r="K42" s="19">
        <v>2</v>
      </c>
      <c r="L42" s="19">
        <v>162</v>
      </c>
    </row>
    <row r="43" spans="1:12" x14ac:dyDescent="0.25">
      <c r="A43" s="1" t="s">
        <v>11</v>
      </c>
      <c r="B43" s="6">
        <v>2</v>
      </c>
      <c r="C43" s="6">
        <v>527</v>
      </c>
      <c r="D43" s="6"/>
      <c r="E43" s="19">
        <v>3</v>
      </c>
      <c r="F43" s="19">
        <v>110</v>
      </c>
      <c r="G43" s="6"/>
      <c r="H43" s="3">
        <v>9</v>
      </c>
      <c r="I43" s="19">
        <v>719</v>
      </c>
      <c r="J43" s="6"/>
      <c r="K43" s="19">
        <v>1</v>
      </c>
      <c r="L43" s="19">
        <v>79</v>
      </c>
    </row>
    <row r="44" spans="1:12" x14ac:dyDescent="0.25">
      <c r="A44" s="1" t="s">
        <v>12</v>
      </c>
      <c r="B44" s="6">
        <v>4</v>
      </c>
      <c r="C44" s="6">
        <v>1671</v>
      </c>
      <c r="D44" s="6"/>
      <c r="E44" s="19">
        <v>4</v>
      </c>
      <c r="F44" s="19">
        <v>163</v>
      </c>
      <c r="G44" s="6"/>
      <c r="H44" s="3">
        <v>15</v>
      </c>
      <c r="I44" s="19">
        <v>1485</v>
      </c>
      <c r="J44" s="6"/>
      <c r="K44" s="19">
        <v>3</v>
      </c>
      <c r="L44" s="19">
        <v>162</v>
      </c>
    </row>
    <row r="45" spans="1:12" x14ac:dyDescent="0.25">
      <c r="A45" s="1" t="s">
        <v>13</v>
      </c>
      <c r="B45" s="6">
        <v>7</v>
      </c>
      <c r="C45" s="6">
        <v>1326</v>
      </c>
      <c r="D45" s="6"/>
      <c r="E45" s="19">
        <v>6</v>
      </c>
      <c r="F45" s="19">
        <v>146</v>
      </c>
      <c r="G45" s="6"/>
      <c r="H45" s="3">
        <v>9</v>
      </c>
      <c r="I45" s="19">
        <v>974</v>
      </c>
      <c r="J45" s="6"/>
      <c r="K45" s="19">
        <v>5</v>
      </c>
      <c r="L45" s="19">
        <v>139</v>
      </c>
    </row>
    <row r="46" spans="1:12" x14ac:dyDescent="0.25">
      <c r="A46" s="1" t="s">
        <v>14</v>
      </c>
      <c r="B46" s="6">
        <v>9</v>
      </c>
      <c r="C46" s="6">
        <v>3904</v>
      </c>
      <c r="D46" s="6"/>
      <c r="E46" s="19">
        <v>36</v>
      </c>
      <c r="F46" s="19">
        <v>2187</v>
      </c>
      <c r="G46" s="6"/>
      <c r="H46" s="3">
        <v>16</v>
      </c>
      <c r="I46" s="19">
        <v>1953</v>
      </c>
      <c r="J46" s="6"/>
      <c r="K46" s="19">
        <v>8</v>
      </c>
      <c r="L46" s="19">
        <v>272</v>
      </c>
    </row>
    <row r="47" spans="1:12" x14ac:dyDescent="0.25">
      <c r="A47" s="1" t="s">
        <v>15</v>
      </c>
      <c r="B47" s="6">
        <v>6</v>
      </c>
      <c r="C47" s="6">
        <v>2997</v>
      </c>
      <c r="D47" s="6"/>
      <c r="E47" s="19">
        <v>8</v>
      </c>
      <c r="F47" s="19">
        <v>560</v>
      </c>
      <c r="G47" s="6"/>
      <c r="H47" s="3">
        <v>27</v>
      </c>
      <c r="I47" s="19">
        <v>3181</v>
      </c>
      <c r="J47" s="6"/>
      <c r="K47" s="19">
        <v>3</v>
      </c>
      <c r="L47" s="19">
        <v>175</v>
      </c>
    </row>
    <row r="48" spans="1:12" x14ac:dyDescent="0.25">
      <c r="A48" s="1" t="s">
        <v>16</v>
      </c>
      <c r="B48" s="6">
        <v>6</v>
      </c>
      <c r="C48" s="6">
        <v>1450</v>
      </c>
      <c r="D48" s="6"/>
      <c r="E48" s="19">
        <v>7</v>
      </c>
      <c r="F48" s="19">
        <v>243</v>
      </c>
      <c r="G48" s="6"/>
      <c r="H48" s="3">
        <v>14</v>
      </c>
      <c r="I48" s="19">
        <v>1388</v>
      </c>
      <c r="J48" s="6"/>
      <c r="K48" s="19">
        <v>2</v>
      </c>
      <c r="L48" s="19">
        <v>76</v>
      </c>
    </row>
    <row r="49" spans="1:12" x14ac:dyDescent="0.25">
      <c r="A49" s="1" t="s">
        <v>17</v>
      </c>
      <c r="B49" s="6">
        <v>8</v>
      </c>
      <c r="C49" s="6">
        <v>3138</v>
      </c>
      <c r="D49" s="6"/>
      <c r="E49" s="19">
        <v>9</v>
      </c>
      <c r="F49" s="19">
        <v>318</v>
      </c>
      <c r="G49" s="6"/>
      <c r="H49" s="3">
        <v>19</v>
      </c>
      <c r="I49" s="19">
        <v>2930</v>
      </c>
      <c r="J49" s="6"/>
      <c r="K49" s="19">
        <v>4</v>
      </c>
      <c r="L49" s="19">
        <v>301</v>
      </c>
    </row>
    <row r="50" spans="1:12" x14ac:dyDescent="0.25">
      <c r="A50" s="1" t="s">
        <v>18</v>
      </c>
      <c r="B50" s="6">
        <v>7</v>
      </c>
      <c r="C50" s="6">
        <v>1811</v>
      </c>
      <c r="D50" s="6"/>
      <c r="E50" s="19">
        <v>5</v>
      </c>
      <c r="F50" s="19">
        <v>170</v>
      </c>
      <c r="G50" s="6"/>
      <c r="H50" s="3">
        <v>19</v>
      </c>
      <c r="I50" s="19">
        <v>2009</v>
      </c>
      <c r="J50" s="6"/>
      <c r="K50" s="19">
        <v>3</v>
      </c>
      <c r="L50" s="19">
        <v>76</v>
      </c>
    </row>
    <row r="51" spans="1:12" x14ac:dyDescent="0.25">
      <c r="A51" s="1" t="s">
        <v>20</v>
      </c>
      <c r="B51" s="6">
        <v>8</v>
      </c>
      <c r="C51" s="6">
        <v>3748</v>
      </c>
      <c r="D51" s="6"/>
      <c r="E51" s="19">
        <v>8</v>
      </c>
      <c r="F51" s="19">
        <v>770</v>
      </c>
      <c r="G51" s="6"/>
      <c r="H51" s="3">
        <v>28</v>
      </c>
      <c r="I51" s="19">
        <v>3591</v>
      </c>
      <c r="J51" s="6"/>
      <c r="K51" s="19">
        <v>3</v>
      </c>
      <c r="L51" s="19">
        <v>78</v>
      </c>
    </row>
    <row r="52" spans="1:12" x14ac:dyDescent="0.25">
      <c r="A52" s="1" t="s">
        <v>21</v>
      </c>
      <c r="B52" s="6">
        <v>7</v>
      </c>
      <c r="C52" s="6">
        <v>2904</v>
      </c>
      <c r="D52" s="6"/>
      <c r="E52" s="19">
        <v>6</v>
      </c>
      <c r="F52" s="19">
        <v>447</v>
      </c>
      <c r="G52" s="6"/>
      <c r="H52" s="3">
        <v>21</v>
      </c>
      <c r="I52" s="19">
        <v>2142</v>
      </c>
      <c r="J52" s="6"/>
      <c r="K52" s="19">
        <v>6</v>
      </c>
      <c r="L52" s="19">
        <v>176</v>
      </c>
    </row>
    <row r="53" spans="1:12" x14ac:dyDescent="0.25">
      <c r="A53" s="1" t="s">
        <v>19</v>
      </c>
      <c r="B53" s="6">
        <v>7</v>
      </c>
      <c r="C53" s="6">
        <v>2130</v>
      </c>
      <c r="D53" s="6"/>
      <c r="E53" s="19">
        <v>3</v>
      </c>
      <c r="F53" s="19">
        <v>200</v>
      </c>
      <c r="G53" s="6"/>
      <c r="H53" s="3">
        <v>18</v>
      </c>
      <c r="I53" s="19">
        <v>1645</v>
      </c>
      <c r="J53" s="6"/>
      <c r="K53" s="19">
        <v>8</v>
      </c>
      <c r="L53" s="19">
        <v>390</v>
      </c>
    </row>
    <row r="54" spans="1:12" x14ac:dyDescent="0.25">
      <c r="A54" s="1" t="s">
        <v>22</v>
      </c>
      <c r="B54" s="6">
        <v>9</v>
      </c>
      <c r="C54" s="6">
        <v>2483</v>
      </c>
      <c r="D54" s="6"/>
      <c r="E54" s="19">
        <v>8</v>
      </c>
      <c r="F54" s="19">
        <v>448</v>
      </c>
      <c r="G54" s="6"/>
      <c r="H54" s="3">
        <v>21</v>
      </c>
      <c r="I54" s="19">
        <v>2198</v>
      </c>
      <c r="J54" s="6"/>
      <c r="K54" s="19">
        <v>1</v>
      </c>
      <c r="L54" s="19">
        <v>81</v>
      </c>
    </row>
    <row r="55" spans="1:12" x14ac:dyDescent="0.25">
      <c r="A55" s="1" t="s">
        <v>23</v>
      </c>
      <c r="B55" s="6">
        <v>5</v>
      </c>
      <c r="C55" s="6">
        <v>1203</v>
      </c>
      <c r="D55" s="6"/>
      <c r="E55" s="19">
        <v>2</v>
      </c>
      <c r="F55" s="19">
        <v>119</v>
      </c>
      <c r="G55" s="6"/>
      <c r="H55" s="3">
        <v>13</v>
      </c>
      <c r="I55" s="19">
        <v>1196</v>
      </c>
      <c r="J55" s="6"/>
      <c r="K55" s="19">
        <v>1</v>
      </c>
      <c r="L55" s="19">
        <v>16</v>
      </c>
    </row>
    <row r="56" spans="1:12" ht="9.15" customHeight="1" x14ac:dyDescent="0.25">
      <c r="A56" s="1"/>
      <c r="B56" s="1"/>
      <c r="C56" s="1"/>
      <c r="D56" s="1"/>
      <c r="E56" s="5"/>
      <c r="F56" s="4"/>
      <c r="G56" s="1"/>
      <c r="H56" s="1"/>
      <c r="I56" s="1"/>
      <c r="J56" s="1"/>
      <c r="K56" s="1"/>
      <c r="L56" s="1"/>
    </row>
    <row r="57" spans="1:12" ht="12" customHeight="1" x14ac:dyDescent="0.2">
      <c r="A57" s="22" t="s">
        <v>34</v>
      </c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</row>
    <row r="58" spans="1:12" ht="12" customHeight="1" x14ac:dyDescent="0.2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</row>
    <row r="59" spans="1:12" ht="11.55" customHeight="1" x14ac:dyDescent="0.2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</row>
    <row r="60" spans="1:12" ht="12" customHeight="1" x14ac:dyDescent="0.25">
      <c r="A60" s="22" t="s">
        <v>36</v>
      </c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</row>
    <row r="61" spans="1:12" ht="9.15" customHeight="1" x14ac:dyDescent="0.25"/>
  </sheetData>
  <mergeCells count="8">
    <mergeCell ref="A60:L60"/>
    <mergeCell ref="A1:L2"/>
    <mergeCell ref="K4:L4"/>
    <mergeCell ref="B4:C4"/>
    <mergeCell ref="E4:F4"/>
    <mergeCell ref="H4:I4"/>
    <mergeCell ref="A4:A5"/>
    <mergeCell ref="A57:L59"/>
  </mergeCells>
  <phoneticPr fontId="0" type="noConversion"/>
  <pageMargins left="0.70866141732283472" right="0.70866141732283472" top="0.74803149606299213" bottom="0.74803149606299213" header="0.31496062992125984" footer="0.31496062992125984"/>
  <pageSetup paperSize="9" scale="66" orientation="portrait" r:id="rId1"/>
  <headerFooter alignWithMargins="0">
    <oddFooter>&amp;C&amp;"Arial,Normal"79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2"/>
  <sheetViews>
    <sheetView workbookViewId="0">
      <pane ySplit="4" topLeftCell="A171" activePane="bottomLeft" state="frozen"/>
      <selection pane="bottomLeft" activeCell="A181" sqref="A181"/>
    </sheetView>
  </sheetViews>
  <sheetFormatPr baseColWidth="10" defaultColWidth="9.6640625" defaultRowHeight="12" x14ac:dyDescent="0.25"/>
  <cols>
    <col min="1" max="1" width="17.33203125" style="3" customWidth="1"/>
    <col min="2" max="2" width="14.109375" style="3" customWidth="1"/>
    <col min="3" max="3" width="10.6640625" style="2" customWidth="1"/>
    <col min="4" max="4" width="2" style="2" customWidth="1"/>
    <col min="5" max="5" width="14.6640625" style="2" customWidth="1"/>
    <col min="6" max="6" width="10.6640625" style="2" customWidth="1"/>
    <col min="7" max="7" width="3.21875" style="2" customWidth="1"/>
    <col min="8" max="8" width="14.21875" style="2" customWidth="1"/>
    <col min="9" max="9" width="10.6640625" style="2" customWidth="1"/>
    <col min="10" max="10" width="2" style="2" customWidth="1"/>
    <col min="11" max="12" width="13.88671875" style="2" customWidth="1"/>
    <col min="13" max="16384" width="9.6640625" style="3"/>
  </cols>
  <sheetData>
    <row r="1" spans="1:12" s="13" customFormat="1" ht="15.6" x14ac:dyDescent="0.3">
      <c r="A1" s="13" t="s">
        <v>25</v>
      </c>
    </row>
    <row r="2" spans="1:12" s="13" customFormat="1" ht="9.15" customHeight="1" x14ac:dyDescent="0.3"/>
    <row r="3" spans="1:12" s="1" customFormat="1" ht="33" customHeight="1" x14ac:dyDescent="0.25">
      <c r="A3" s="8" t="s">
        <v>27</v>
      </c>
      <c r="B3" s="26" t="s">
        <v>28</v>
      </c>
      <c r="C3" s="26"/>
      <c r="D3" s="9"/>
      <c r="E3" s="26" t="s">
        <v>29</v>
      </c>
      <c r="F3" s="26"/>
      <c r="G3" s="9"/>
      <c r="H3" s="26" t="s">
        <v>3</v>
      </c>
      <c r="I3" s="26"/>
      <c r="J3" s="9"/>
      <c r="K3" s="26" t="s">
        <v>35</v>
      </c>
      <c r="L3" s="26"/>
    </row>
    <row r="4" spans="1:12" s="1" customFormat="1" x14ac:dyDescent="0.25">
      <c r="A4" s="8" t="s">
        <v>26</v>
      </c>
      <c r="B4" s="5" t="s">
        <v>4</v>
      </c>
      <c r="C4" s="15" t="s">
        <v>5</v>
      </c>
      <c r="D4" s="15"/>
      <c r="E4" s="5" t="s">
        <v>4</v>
      </c>
      <c r="F4" s="15" t="s">
        <v>5</v>
      </c>
      <c r="G4" s="15"/>
      <c r="H4" s="5" t="s">
        <v>4</v>
      </c>
      <c r="I4" s="15" t="s">
        <v>5</v>
      </c>
      <c r="J4" s="15"/>
      <c r="K4" s="5" t="s">
        <v>4</v>
      </c>
      <c r="L4" s="15" t="s">
        <v>5</v>
      </c>
    </row>
    <row r="5" spans="1:12" s="1" customFormat="1" ht="9.75" customHeight="1" x14ac:dyDescent="0.25">
      <c r="A5" s="8"/>
      <c r="C5" s="9"/>
      <c r="D5" s="9"/>
      <c r="F5" s="9"/>
      <c r="G5" s="9"/>
      <c r="I5" s="9"/>
      <c r="J5" s="9"/>
      <c r="L5" s="9"/>
    </row>
    <row r="6" spans="1:12" s="1" customFormat="1" x14ac:dyDescent="0.25">
      <c r="A6" s="10">
        <v>2017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spans="1:12" s="1" customFormat="1" x14ac:dyDescent="0.25">
      <c r="A7" s="10"/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spans="1:12" s="1" customFormat="1" x14ac:dyDescent="0.25">
      <c r="A8" s="1" t="s">
        <v>0</v>
      </c>
      <c r="B8" s="7">
        <f>SUM(B10:B11)</f>
        <v>193</v>
      </c>
      <c r="C8" s="7">
        <f t="shared" ref="C8" si="0">SUM(C10:C11)</f>
        <v>86572</v>
      </c>
      <c r="D8" s="7"/>
      <c r="E8" s="7">
        <f t="shared" ref="E8:F8" si="1">SUM(E10:E11)</f>
        <v>392</v>
      </c>
      <c r="F8" s="7">
        <f t="shared" si="1"/>
        <v>28748</v>
      </c>
      <c r="G8" s="7"/>
      <c r="H8" s="7">
        <f t="shared" ref="H8:I8" si="2">SUM(H10:H11)</f>
        <v>443</v>
      </c>
      <c r="I8" s="7">
        <f t="shared" si="2"/>
        <v>54233</v>
      </c>
      <c r="J8" s="7"/>
      <c r="K8" s="7">
        <f t="shared" ref="K8:L8" si="3">SUM(K10:K11)</f>
        <v>339</v>
      </c>
      <c r="L8" s="7">
        <f t="shared" si="3"/>
        <v>18299</v>
      </c>
    </row>
    <row r="9" spans="1:12" s="1" customFormat="1" x14ac:dyDescent="0.25">
      <c r="A9" s="8"/>
      <c r="B9" s="6"/>
      <c r="C9" s="6"/>
      <c r="D9" s="6"/>
      <c r="E9" s="6"/>
      <c r="F9" s="6"/>
      <c r="G9" s="6"/>
      <c r="H9" s="6"/>
      <c r="I9" s="6"/>
      <c r="J9" s="6"/>
      <c r="K9" s="6"/>
      <c r="L9" s="6"/>
    </row>
    <row r="10" spans="1:12" s="1" customFormat="1" x14ac:dyDescent="0.25">
      <c r="A10" s="1" t="s">
        <v>1</v>
      </c>
      <c r="B10" s="6">
        <v>63</v>
      </c>
      <c r="C10" s="6">
        <v>26578</v>
      </c>
      <c r="D10" s="6"/>
      <c r="E10" s="6">
        <v>198</v>
      </c>
      <c r="F10" s="6">
        <v>17734</v>
      </c>
      <c r="G10" s="6"/>
      <c r="H10" s="6">
        <v>96</v>
      </c>
      <c r="I10" s="6">
        <v>12607</v>
      </c>
      <c r="J10" s="6"/>
      <c r="K10" s="6">
        <v>212</v>
      </c>
      <c r="L10" s="6">
        <v>11738</v>
      </c>
    </row>
    <row r="11" spans="1:12" s="1" customFormat="1" x14ac:dyDescent="0.25">
      <c r="A11" s="1" t="s">
        <v>2</v>
      </c>
      <c r="B11" s="6">
        <f>SUM(B12:B29)</f>
        <v>130</v>
      </c>
      <c r="C11" s="6">
        <f t="shared" ref="C11" si="4">SUM(C12:C29)</f>
        <v>59994</v>
      </c>
      <c r="D11" s="6"/>
      <c r="E11" s="6">
        <f t="shared" ref="E11:F11" si="5">SUM(E12:E29)</f>
        <v>194</v>
      </c>
      <c r="F11" s="6">
        <f t="shared" si="5"/>
        <v>11014</v>
      </c>
      <c r="G11" s="6"/>
      <c r="H11" s="6">
        <f t="shared" ref="H11:I11" si="6">SUM(H12:H29)</f>
        <v>347</v>
      </c>
      <c r="I11" s="6">
        <f t="shared" si="6"/>
        <v>41626</v>
      </c>
      <c r="J11" s="6"/>
      <c r="K11" s="6">
        <f t="shared" ref="K11:L11" si="7">SUM(K12:K29)</f>
        <v>127</v>
      </c>
      <c r="L11" s="6">
        <f t="shared" si="7"/>
        <v>6561</v>
      </c>
    </row>
    <row r="12" spans="1:12" s="1" customFormat="1" x14ac:dyDescent="0.25">
      <c r="A12" s="1" t="s">
        <v>6</v>
      </c>
      <c r="B12" s="6">
        <v>4</v>
      </c>
      <c r="C12" s="6">
        <v>2507</v>
      </c>
      <c r="D12" s="6"/>
      <c r="E12" s="6">
        <v>5</v>
      </c>
      <c r="F12" s="6">
        <v>217</v>
      </c>
      <c r="G12" s="6"/>
      <c r="H12" s="6">
        <v>19</v>
      </c>
      <c r="I12" s="6">
        <v>2389</v>
      </c>
      <c r="J12" s="6"/>
      <c r="K12" s="6">
        <v>3</v>
      </c>
      <c r="L12" s="6">
        <v>145</v>
      </c>
    </row>
    <row r="13" spans="1:12" s="1" customFormat="1" x14ac:dyDescent="0.25">
      <c r="A13" s="1" t="s">
        <v>7</v>
      </c>
      <c r="B13" s="6">
        <v>34</v>
      </c>
      <c r="C13" s="6">
        <v>14466</v>
      </c>
      <c r="D13" s="6"/>
      <c r="E13" s="6">
        <v>64</v>
      </c>
      <c r="F13" s="6">
        <v>3538</v>
      </c>
      <c r="G13" s="6"/>
      <c r="H13" s="6">
        <v>67</v>
      </c>
      <c r="I13" s="6">
        <v>8284</v>
      </c>
      <c r="J13" s="6"/>
      <c r="K13" s="6">
        <v>55</v>
      </c>
      <c r="L13" s="6">
        <v>2679</v>
      </c>
    </row>
    <row r="14" spans="1:12" s="1" customFormat="1" x14ac:dyDescent="0.25">
      <c r="A14" s="1" t="s">
        <v>8</v>
      </c>
      <c r="B14" s="6">
        <v>7</v>
      </c>
      <c r="C14" s="6">
        <v>2787</v>
      </c>
      <c r="D14" s="6"/>
      <c r="E14" s="6">
        <v>6</v>
      </c>
      <c r="F14" s="6">
        <v>239</v>
      </c>
      <c r="G14" s="6"/>
      <c r="H14" s="6">
        <v>20</v>
      </c>
      <c r="I14" s="6">
        <v>2872</v>
      </c>
      <c r="J14" s="6"/>
      <c r="K14" s="6">
        <v>1</v>
      </c>
      <c r="L14" s="6">
        <v>54</v>
      </c>
    </row>
    <row r="15" spans="1:12" s="1" customFormat="1" x14ac:dyDescent="0.25">
      <c r="A15" s="1" t="s">
        <v>9</v>
      </c>
      <c r="B15" s="6">
        <v>6</v>
      </c>
      <c r="C15" s="6">
        <v>3865</v>
      </c>
      <c r="D15" s="6"/>
      <c r="E15" s="6">
        <v>10</v>
      </c>
      <c r="F15" s="6">
        <v>600</v>
      </c>
      <c r="G15" s="6"/>
      <c r="H15" s="6">
        <v>17</v>
      </c>
      <c r="I15" s="6">
        <v>1964</v>
      </c>
      <c r="J15" s="6"/>
      <c r="K15" s="6">
        <v>13</v>
      </c>
      <c r="L15" s="6">
        <v>548</v>
      </c>
    </row>
    <row r="16" spans="1:12" s="1" customFormat="1" x14ac:dyDescent="0.25">
      <c r="A16" s="1" t="s">
        <v>10</v>
      </c>
      <c r="B16" s="6">
        <v>5</v>
      </c>
      <c r="C16" s="6">
        <v>1752</v>
      </c>
      <c r="D16" s="6"/>
      <c r="E16" s="6">
        <v>5</v>
      </c>
      <c r="F16" s="6">
        <v>239</v>
      </c>
      <c r="G16" s="6"/>
      <c r="H16" s="6">
        <v>18</v>
      </c>
      <c r="I16" s="6">
        <v>2000</v>
      </c>
      <c r="J16" s="6"/>
      <c r="K16" s="6">
        <v>2</v>
      </c>
      <c r="L16" s="6">
        <v>247</v>
      </c>
    </row>
    <row r="17" spans="1:13" s="1" customFormat="1" ht="12" customHeight="1" x14ac:dyDescent="0.25">
      <c r="A17" s="1" t="s">
        <v>11</v>
      </c>
      <c r="B17" s="6">
        <v>2</v>
      </c>
      <c r="C17" s="6">
        <v>775</v>
      </c>
      <c r="D17" s="6"/>
      <c r="E17" s="6">
        <v>4</v>
      </c>
      <c r="F17" s="6">
        <v>97</v>
      </c>
      <c r="G17" s="6"/>
      <c r="H17" s="6">
        <v>8</v>
      </c>
      <c r="I17" s="6">
        <v>849</v>
      </c>
      <c r="J17" s="6"/>
      <c r="K17" s="6">
        <v>1</v>
      </c>
      <c r="L17" s="6">
        <v>97</v>
      </c>
    </row>
    <row r="18" spans="1:13" s="1" customFormat="1" ht="12" customHeight="1" x14ac:dyDescent="0.25">
      <c r="A18" s="1" t="s">
        <v>12</v>
      </c>
      <c r="B18" s="6">
        <v>4</v>
      </c>
      <c r="C18" s="6">
        <v>2013</v>
      </c>
      <c r="D18" s="6"/>
      <c r="E18" s="6">
        <v>4</v>
      </c>
      <c r="F18" s="6">
        <v>162</v>
      </c>
      <c r="G18" s="6"/>
      <c r="H18" s="6">
        <v>14</v>
      </c>
      <c r="I18" s="6">
        <v>1395</v>
      </c>
      <c r="J18" s="6"/>
      <c r="K18" s="6">
        <v>4</v>
      </c>
      <c r="L18" s="6">
        <v>296</v>
      </c>
    </row>
    <row r="19" spans="1:13" s="1" customFormat="1" ht="12" customHeight="1" x14ac:dyDescent="0.25">
      <c r="A19" s="1" t="s">
        <v>13</v>
      </c>
      <c r="B19" s="6">
        <v>7</v>
      </c>
      <c r="C19" s="6">
        <v>1577</v>
      </c>
      <c r="D19" s="6"/>
      <c r="E19" s="6">
        <v>8</v>
      </c>
      <c r="F19" s="6">
        <v>324</v>
      </c>
      <c r="G19" s="6"/>
      <c r="H19" s="6">
        <v>9</v>
      </c>
      <c r="I19" s="6">
        <v>988</v>
      </c>
      <c r="J19" s="6"/>
      <c r="K19" s="6">
        <v>5</v>
      </c>
      <c r="L19" s="6">
        <v>151</v>
      </c>
    </row>
    <row r="20" spans="1:13" ht="12" customHeight="1" x14ac:dyDescent="0.25">
      <c r="A20" s="1" t="s">
        <v>14</v>
      </c>
      <c r="B20" s="6">
        <v>7</v>
      </c>
      <c r="C20" s="6">
        <v>4366</v>
      </c>
      <c r="D20" s="6"/>
      <c r="E20" s="6">
        <v>26</v>
      </c>
      <c r="F20" s="6">
        <v>1648.9999999999998</v>
      </c>
      <c r="G20" s="6"/>
      <c r="H20" s="6">
        <v>14</v>
      </c>
      <c r="I20" s="6">
        <v>1630</v>
      </c>
      <c r="J20" s="6"/>
      <c r="K20" s="6">
        <v>7</v>
      </c>
      <c r="L20" s="6">
        <v>461</v>
      </c>
    </row>
    <row r="21" spans="1:13" ht="12" customHeight="1" x14ac:dyDescent="0.25">
      <c r="A21" s="1" t="s">
        <v>15</v>
      </c>
      <c r="B21" s="6">
        <v>4</v>
      </c>
      <c r="C21" s="6">
        <v>3434</v>
      </c>
      <c r="D21" s="6"/>
      <c r="E21" s="6">
        <v>10</v>
      </c>
      <c r="F21" s="6">
        <v>483</v>
      </c>
      <c r="G21" s="6"/>
      <c r="H21" s="6">
        <v>26</v>
      </c>
      <c r="I21" s="6">
        <v>3374</v>
      </c>
      <c r="J21" s="6"/>
      <c r="K21" s="6">
        <v>6</v>
      </c>
      <c r="L21" s="6">
        <v>361</v>
      </c>
      <c r="M21" s="11"/>
    </row>
    <row r="22" spans="1:13" ht="12" customHeight="1" x14ac:dyDescent="0.25">
      <c r="A22" s="1" t="s">
        <v>16</v>
      </c>
      <c r="B22" s="6">
        <v>6</v>
      </c>
      <c r="C22" s="6">
        <v>1866</v>
      </c>
      <c r="D22" s="6"/>
      <c r="E22" s="6">
        <v>7</v>
      </c>
      <c r="F22" s="6">
        <v>284</v>
      </c>
      <c r="G22" s="6"/>
      <c r="H22" s="6">
        <v>13</v>
      </c>
      <c r="I22" s="6">
        <v>1431</v>
      </c>
      <c r="J22" s="6"/>
      <c r="K22" s="6">
        <v>2</v>
      </c>
      <c r="L22" s="6">
        <v>116</v>
      </c>
      <c r="M22" s="12"/>
    </row>
    <row r="23" spans="1:13" ht="12" customHeight="1" x14ac:dyDescent="0.25">
      <c r="A23" s="1" t="s">
        <v>17</v>
      </c>
      <c r="B23" s="6">
        <v>7</v>
      </c>
      <c r="C23" s="6">
        <v>3429</v>
      </c>
      <c r="D23" s="6"/>
      <c r="E23" s="6">
        <v>7</v>
      </c>
      <c r="F23" s="6">
        <v>280</v>
      </c>
      <c r="G23" s="6"/>
      <c r="H23" s="6">
        <v>17</v>
      </c>
      <c r="I23" s="6">
        <v>2498</v>
      </c>
      <c r="J23" s="6"/>
      <c r="K23" s="6">
        <v>5</v>
      </c>
      <c r="L23" s="6">
        <v>378</v>
      </c>
      <c r="M23" s="12"/>
    </row>
    <row r="24" spans="1:13" ht="12" customHeight="1" x14ac:dyDescent="0.25">
      <c r="A24" s="1" t="s">
        <v>18</v>
      </c>
      <c r="B24" s="6">
        <v>7</v>
      </c>
      <c r="C24" s="6">
        <v>2225</v>
      </c>
      <c r="D24" s="6"/>
      <c r="E24" s="6">
        <v>9</v>
      </c>
      <c r="F24" s="6">
        <v>283</v>
      </c>
      <c r="G24" s="6"/>
      <c r="H24" s="6">
        <v>16</v>
      </c>
      <c r="I24" s="6">
        <v>1895</v>
      </c>
      <c r="J24" s="6"/>
      <c r="K24" s="6">
        <v>3</v>
      </c>
      <c r="L24" s="6">
        <v>120</v>
      </c>
      <c r="M24" s="11"/>
    </row>
    <row r="25" spans="1:13" ht="12" customHeight="1" x14ac:dyDescent="0.25">
      <c r="A25" s="1" t="s">
        <v>20</v>
      </c>
      <c r="B25" s="6">
        <v>5</v>
      </c>
      <c r="C25" s="6">
        <v>4488</v>
      </c>
      <c r="D25" s="6"/>
      <c r="E25" s="6">
        <v>8</v>
      </c>
      <c r="F25" s="6">
        <v>1021</v>
      </c>
      <c r="G25" s="6"/>
      <c r="H25" s="6">
        <v>25</v>
      </c>
      <c r="I25" s="6">
        <v>3286</v>
      </c>
      <c r="J25" s="6"/>
      <c r="K25" s="6">
        <v>2</v>
      </c>
      <c r="L25" s="6">
        <v>141</v>
      </c>
      <c r="M25" s="12"/>
    </row>
    <row r="26" spans="1:13" ht="12" customHeight="1" x14ac:dyDescent="0.25">
      <c r="A26" s="1" t="s">
        <v>21</v>
      </c>
      <c r="B26" s="6">
        <v>6</v>
      </c>
      <c r="C26" s="6">
        <v>3566</v>
      </c>
      <c r="D26" s="6"/>
      <c r="E26" s="6">
        <v>7</v>
      </c>
      <c r="F26" s="6">
        <v>551</v>
      </c>
      <c r="G26" s="6"/>
      <c r="H26" s="6">
        <v>15</v>
      </c>
      <c r="I26" s="6">
        <v>1705</v>
      </c>
      <c r="J26" s="6"/>
      <c r="K26" s="6">
        <v>7</v>
      </c>
      <c r="L26" s="6">
        <v>275</v>
      </c>
      <c r="M26" s="12"/>
    </row>
    <row r="27" spans="1:13" ht="12" customHeight="1" x14ac:dyDescent="0.25">
      <c r="A27" s="1" t="s">
        <v>19</v>
      </c>
      <c r="B27" s="6">
        <v>5</v>
      </c>
      <c r="C27" s="6">
        <v>2439</v>
      </c>
      <c r="D27" s="6"/>
      <c r="E27" s="6">
        <v>6</v>
      </c>
      <c r="F27" s="6">
        <v>250</v>
      </c>
      <c r="G27" s="6"/>
      <c r="H27" s="6">
        <v>16</v>
      </c>
      <c r="I27" s="6">
        <v>1603</v>
      </c>
      <c r="J27" s="6"/>
      <c r="K27" s="6">
        <v>8</v>
      </c>
      <c r="L27" s="6">
        <v>414</v>
      </c>
      <c r="M27" s="11"/>
    </row>
    <row r="28" spans="1:13" ht="12" customHeight="1" x14ac:dyDescent="0.25">
      <c r="A28" s="1" t="s">
        <v>22</v>
      </c>
      <c r="B28" s="6">
        <v>9</v>
      </c>
      <c r="C28" s="6">
        <v>2828</v>
      </c>
      <c r="D28" s="6"/>
      <c r="E28" s="6">
        <v>7</v>
      </c>
      <c r="F28" s="6">
        <v>669</v>
      </c>
      <c r="G28" s="6"/>
      <c r="H28" s="6">
        <v>20</v>
      </c>
      <c r="I28" s="6">
        <v>2219</v>
      </c>
      <c r="J28" s="6"/>
      <c r="K28" s="6">
        <v>3</v>
      </c>
      <c r="L28" s="6">
        <v>78</v>
      </c>
      <c r="M28" s="12"/>
    </row>
    <row r="29" spans="1:13" ht="12" customHeight="1" x14ac:dyDescent="0.25">
      <c r="A29" s="1" t="s">
        <v>23</v>
      </c>
      <c r="B29" s="6">
        <v>5</v>
      </c>
      <c r="C29" s="6">
        <v>1611</v>
      </c>
      <c r="D29" s="6"/>
      <c r="E29" s="6">
        <v>1</v>
      </c>
      <c r="F29" s="6">
        <v>128</v>
      </c>
      <c r="G29" s="6"/>
      <c r="H29" s="6">
        <v>13</v>
      </c>
      <c r="I29" s="6">
        <v>1244</v>
      </c>
      <c r="J29" s="6"/>
      <c r="K29" s="6" t="s">
        <v>24</v>
      </c>
      <c r="L29" s="6" t="s">
        <v>24</v>
      </c>
      <c r="M29" s="12"/>
    </row>
    <row r="30" spans="1:13" ht="9.15" customHeight="1" x14ac:dyDescent="0.25">
      <c r="A30" s="8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</row>
    <row r="31" spans="1:13" x14ac:dyDescent="0.25">
      <c r="A31" s="10">
        <v>2018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3" ht="9.15" customHeight="1" x14ac:dyDescent="0.25">
      <c r="A32" s="10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  <row r="33" spans="1:12" x14ac:dyDescent="0.25">
      <c r="A33" s="1" t="s">
        <v>0</v>
      </c>
      <c r="B33" s="7">
        <f>SUM(B35:B36)</f>
        <v>195</v>
      </c>
      <c r="C33" s="7">
        <f t="shared" ref="C33:I33" si="8">SUM(C35:C36)</f>
        <v>89674</v>
      </c>
      <c r="D33" s="7"/>
      <c r="E33" s="7">
        <f t="shared" si="8"/>
        <v>396</v>
      </c>
      <c r="F33" s="7">
        <f t="shared" si="8"/>
        <v>28667</v>
      </c>
      <c r="G33" s="7"/>
      <c r="H33" s="7">
        <f t="shared" si="8"/>
        <v>484</v>
      </c>
      <c r="I33" s="7">
        <f t="shared" si="8"/>
        <v>57093</v>
      </c>
      <c r="J33" s="7"/>
      <c r="K33" s="7">
        <f t="shared" ref="K33:L33" si="9">SUM(K35:K36)</f>
        <v>331</v>
      </c>
      <c r="L33" s="7">
        <f t="shared" si="9"/>
        <v>17268</v>
      </c>
    </row>
    <row r="34" spans="1:12" x14ac:dyDescent="0.25">
      <c r="A34" s="8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</row>
    <row r="35" spans="1:12" x14ac:dyDescent="0.25">
      <c r="A35" s="1" t="s">
        <v>1</v>
      </c>
      <c r="B35" s="6">
        <v>63</v>
      </c>
      <c r="C35" s="6">
        <v>27433</v>
      </c>
      <c r="D35" s="6"/>
      <c r="E35" s="6">
        <v>198</v>
      </c>
      <c r="F35" s="6">
        <v>16930</v>
      </c>
      <c r="G35" s="6"/>
      <c r="H35" s="3">
        <v>124</v>
      </c>
      <c r="I35" s="6">
        <v>14779</v>
      </c>
      <c r="J35" s="6"/>
      <c r="K35" s="16">
        <v>202</v>
      </c>
      <c r="L35" s="6">
        <v>10686</v>
      </c>
    </row>
    <row r="36" spans="1:12" x14ac:dyDescent="0.25">
      <c r="A36" s="1" t="s">
        <v>2</v>
      </c>
      <c r="B36" s="6">
        <f>SUM(B37:B54)</f>
        <v>132</v>
      </c>
      <c r="C36" s="6">
        <f t="shared" ref="C36" si="10">SUM(C37:C54)</f>
        <v>62241</v>
      </c>
      <c r="D36" s="6"/>
      <c r="E36" s="6">
        <f t="shared" ref="E36:F36" si="11">SUM(E37:E54)</f>
        <v>198</v>
      </c>
      <c r="F36" s="6">
        <f t="shared" si="11"/>
        <v>11737</v>
      </c>
      <c r="G36" s="6"/>
      <c r="H36" s="6">
        <f t="shared" ref="H36:I36" si="12">SUM(H37:H54)</f>
        <v>360</v>
      </c>
      <c r="I36" s="6">
        <f t="shared" si="12"/>
        <v>42314</v>
      </c>
      <c r="J36" s="6"/>
      <c r="K36" s="6">
        <f t="shared" ref="K36:L36" si="13">SUM(K37:K54)</f>
        <v>129</v>
      </c>
      <c r="L36" s="6">
        <f t="shared" si="13"/>
        <v>6582</v>
      </c>
    </row>
    <row r="37" spans="1:12" x14ac:dyDescent="0.25">
      <c r="A37" s="1" t="s">
        <v>6</v>
      </c>
      <c r="B37" s="6">
        <v>4</v>
      </c>
      <c r="C37" s="6">
        <v>2526</v>
      </c>
      <c r="D37" s="6"/>
      <c r="E37" s="6">
        <v>2</v>
      </c>
      <c r="F37" s="6">
        <v>164</v>
      </c>
      <c r="G37" s="6"/>
      <c r="H37" s="3">
        <v>20</v>
      </c>
      <c r="I37" s="6">
        <v>4150</v>
      </c>
      <c r="J37" s="6"/>
      <c r="K37" s="16">
        <v>3</v>
      </c>
      <c r="L37" s="16">
        <v>149</v>
      </c>
    </row>
    <row r="38" spans="1:12" x14ac:dyDescent="0.25">
      <c r="A38" s="1" t="s">
        <v>7</v>
      </c>
      <c r="B38" s="6">
        <v>35</v>
      </c>
      <c r="C38" s="6">
        <v>15278</v>
      </c>
      <c r="D38" s="6"/>
      <c r="E38" s="6">
        <v>69</v>
      </c>
      <c r="F38" s="6">
        <v>3781.0000000000005</v>
      </c>
      <c r="G38" s="6"/>
      <c r="H38" s="3">
        <v>69</v>
      </c>
      <c r="I38" s="6">
        <v>8656</v>
      </c>
      <c r="J38" s="6"/>
      <c r="K38" s="16">
        <v>58</v>
      </c>
      <c r="L38" s="6">
        <v>2641</v>
      </c>
    </row>
    <row r="39" spans="1:12" x14ac:dyDescent="0.25">
      <c r="A39" s="1" t="s">
        <v>8</v>
      </c>
      <c r="B39" s="6">
        <v>7</v>
      </c>
      <c r="C39" s="6">
        <v>2909</v>
      </c>
      <c r="D39" s="6"/>
      <c r="E39" s="6">
        <v>6</v>
      </c>
      <c r="F39" s="6">
        <v>230</v>
      </c>
      <c r="G39" s="6"/>
      <c r="H39" s="3">
        <v>22</v>
      </c>
      <c r="I39" s="6">
        <v>2889</v>
      </c>
      <c r="J39" s="6"/>
      <c r="K39" s="16">
        <v>2</v>
      </c>
      <c r="L39" s="16">
        <v>127</v>
      </c>
    </row>
    <row r="40" spans="1:12" x14ac:dyDescent="0.25">
      <c r="A40" s="1" t="s">
        <v>9</v>
      </c>
      <c r="B40" s="6">
        <v>6</v>
      </c>
      <c r="C40" s="6">
        <v>4043</v>
      </c>
      <c r="D40" s="6"/>
      <c r="E40" s="6">
        <v>10</v>
      </c>
      <c r="F40" s="6">
        <v>670</v>
      </c>
      <c r="G40" s="6"/>
      <c r="H40" s="3">
        <v>18</v>
      </c>
      <c r="I40" s="6">
        <v>2091</v>
      </c>
      <c r="J40" s="6"/>
      <c r="K40" s="16">
        <v>12</v>
      </c>
      <c r="L40" s="16">
        <v>602</v>
      </c>
    </row>
    <row r="41" spans="1:12" x14ac:dyDescent="0.25">
      <c r="A41" s="1" t="s">
        <v>10</v>
      </c>
      <c r="B41" s="6">
        <v>5</v>
      </c>
      <c r="C41" s="6">
        <v>1811</v>
      </c>
      <c r="D41" s="6"/>
      <c r="E41" s="6">
        <v>5</v>
      </c>
      <c r="F41" s="6">
        <v>153</v>
      </c>
      <c r="G41" s="6"/>
      <c r="H41" s="3">
        <v>18</v>
      </c>
      <c r="I41" s="6">
        <v>2005</v>
      </c>
      <c r="J41" s="6"/>
      <c r="K41" s="16">
        <v>2</v>
      </c>
      <c r="L41" s="16">
        <v>204</v>
      </c>
    </row>
    <row r="42" spans="1:12" x14ac:dyDescent="0.25">
      <c r="A42" s="1" t="s">
        <v>11</v>
      </c>
      <c r="B42" s="6">
        <v>2</v>
      </c>
      <c r="C42" s="6">
        <v>787</v>
      </c>
      <c r="D42" s="6"/>
      <c r="E42" s="6">
        <v>3</v>
      </c>
      <c r="F42" s="6">
        <v>86</v>
      </c>
      <c r="G42" s="6"/>
      <c r="H42" s="3">
        <v>9</v>
      </c>
      <c r="I42" s="6">
        <v>858</v>
      </c>
      <c r="J42" s="6"/>
      <c r="K42" s="16">
        <v>1</v>
      </c>
      <c r="L42" s="16">
        <v>123</v>
      </c>
    </row>
    <row r="43" spans="1:12" x14ac:dyDescent="0.25">
      <c r="A43" s="1" t="s">
        <v>12</v>
      </c>
      <c r="B43" s="6">
        <v>4</v>
      </c>
      <c r="C43" s="6">
        <v>2014</v>
      </c>
      <c r="D43" s="6"/>
      <c r="E43" s="6">
        <v>5</v>
      </c>
      <c r="F43" s="6">
        <v>223</v>
      </c>
      <c r="G43" s="6"/>
      <c r="H43" s="3">
        <v>13</v>
      </c>
      <c r="I43" s="6">
        <v>1392</v>
      </c>
      <c r="J43" s="6"/>
      <c r="K43" s="16">
        <v>3</v>
      </c>
      <c r="L43" s="16">
        <v>211</v>
      </c>
    </row>
    <row r="44" spans="1:12" x14ac:dyDescent="0.25">
      <c r="A44" s="1" t="s">
        <v>13</v>
      </c>
      <c r="B44" s="6">
        <v>7</v>
      </c>
      <c r="C44" s="6">
        <v>1705</v>
      </c>
      <c r="D44" s="6"/>
      <c r="E44" s="6">
        <v>6</v>
      </c>
      <c r="F44" s="6">
        <v>276</v>
      </c>
      <c r="G44" s="6"/>
      <c r="H44" s="3">
        <v>10</v>
      </c>
      <c r="I44" s="6">
        <v>1714</v>
      </c>
      <c r="J44" s="6"/>
      <c r="K44" s="16">
        <v>5</v>
      </c>
      <c r="L44" s="16">
        <v>144</v>
      </c>
    </row>
    <row r="45" spans="1:12" x14ac:dyDescent="0.25">
      <c r="A45" s="1" t="s">
        <v>14</v>
      </c>
      <c r="B45" s="6">
        <v>7</v>
      </c>
      <c r="C45" s="6">
        <v>4555</v>
      </c>
      <c r="D45" s="6"/>
      <c r="E45" s="6">
        <v>30</v>
      </c>
      <c r="F45" s="6">
        <v>2175</v>
      </c>
      <c r="G45" s="6"/>
      <c r="H45" s="3">
        <v>16</v>
      </c>
      <c r="I45" s="6">
        <v>1622</v>
      </c>
      <c r="J45" s="6"/>
      <c r="K45" s="16">
        <v>8</v>
      </c>
      <c r="L45" s="16">
        <v>647</v>
      </c>
    </row>
    <row r="46" spans="1:12" x14ac:dyDescent="0.25">
      <c r="A46" s="1" t="s">
        <v>15</v>
      </c>
      <c r="B46" s="6">
        <v>4</v>
      </c>
      <c r="C46" s="6">
        <v>3648</v>
      </c>
      <c r="D46" s="6"/>
      <c r="E46" s="6">
        <v>11</v>
      </c>
      <c r="F46" s="6">
        <v>696</v>
      </c>
      <c r="G46" s="6"/>
      <c r="H46" s="3">
        <v>26</v>
      </c>
      <c r="I46" s="6">
        <v>3386</v>
      </c>
      <c r="J46" s="6"/>
      <c r="K46" s="16">
        <v>5</v>
      </c>
      <c r="L46" s="16">
        <v>299</v>
      </c>
    </row>
    <row r="47" spans="1:12" x14ac:dyDescent="0.25">
      <c r="A47" s="1" t="s">
        <v>16</v>
      </c>
      <c r="B47" s="6">
        <v>6</v>
      </c>
      <c r="C47" s="6">
        <v>1815</v>
      </c>
      <c r="D47" s="6"/>
      <c r="E47" s="6">
        <v>7</v>
      </c>
      <c r="F47" s="6">
        <v>300</v>
      </c>
      <c r="G47" s="6"/>
      <c r="H47" s="3">
        <v>13</v>
      </c>
      <c r="I47" s="6">
        <v>1411</v>
      </c>
      <c r="J47" s="6"/>
      <c r="K47" s="16">
        <v>2</v>
      </c>
      <c r="L47" s="16">
        <v>110</v>
      </c>
    </row>
    <row r="48" spans="1:12" x14ac:dyDescent="0.25">
      <c r="A48" s="1" t="s">
        <v>17</v>
      </c>
      <c r="B48" s="6">
        <v>7</v>
      </c>
      <c r="C48" s="6">
        <v>3493</v>
      </c>
      <c r="D48" s="6"/>
      <c r="E48" s="6">
        <v>6</v>
      </c>
      <c r="F48" s="6">
        <v>284</v>
      </c>
      <c r="G48" s="6"/>
      <c r="H48" s="3">
        <v>18</v>
      </c>
      <c r="I48" s="6">
        <v>2569</v>
      </c>
      <c r="J48" s="6"/>
      <c r="K48" s="16">
        <v>5</v>
      </c>
      <c r="L48" s="16">
        <v>424</v>
      </c>
    </row>
    <row r="49" spans="1:12" x14ac:dyDescent="0.25">
      <c r="A49" s="1" t="s">
        <v>18</v>
      </c>
      <c r="B49" s="6">
        <v>7</v>
      </c>
      <c r="C49" s="6">
        <v>2256</v>
      </c>
      <c r="D49" s="6"/>
      <c r="E49" s="6">
        <v>4</v>
      </c>
      <c r="F49" s="6">
        <v>254</v>
      </c>
      <c r="G49" s="6"/>
      <c r="H49" s="3">
        <v>16</v>
      </c>
      <c r="I49" s="6">
        <v>164</v>
      </c>
      <c r="J49" s="6"/>
      <c r="K49" s="16">
        <v>3</v>
      </c>
      <c r="L49" s="16">
        <v>56</v>
      </c>
    </row>
    <row r="50" spans="1:12" x14ac:dyDescent="0.25">
      <c r="A50" s="1" t="s">
        <v>20</v>
      </c>
      <c r="B50" s="6">
        <v>5</v>
      </c>
      <c r="C50" s="6">
        <v>4704</v>
      </c>
      <c r="D50" s="6"/>
      <c r="E50" s="6">
        <v>12</v>
      </c>
      <c r="F50" s="6">
        <v>906</v>
      </c>
      <c r="G50" s="6"/>
      <c r="H50" s="3">
        <v>25</v>
      </c>
      <c r="I50" s="6">
        <v>3293</v>
      </c>
      <c r="J50" s="6"/>
      <c r="K50" s="16">
        <v>1</v>
      </c>
      <c r="L50" s="16">
        <v>82</v>
      </c>
    </row>
    <row r="51" spans="1:12" x14ac:dyDescent="0.25">
      <c r="A51" s="1" t="s">
        <v>21</v>
      </c>
      <c r="B51" s="6">
        <v>6</v>
      </c>
      <c r="C51" s="6">
        <v>3641</v>
      </c>
      <c r="D51" s="6"/>
      <c r="E51" s="6">
        <v>8</v>
      </c>
      <c r="F51" s="6">
        <v>599</v>
      </c>
      <c r="G51" s="6"/>
      <c r="H51" s="3">
        <v>18</v>
      </c>
      <c r="I51" s="6">
        <v>1809</v>
      </c>
      <c r="J51" s="6"/>
      <c r="K51" s="16">
        <v>7</v>
      </c>
      <c r="L51" s="16">
        <v>229</v>
      </c>
    </row>
    <row r="52" spans="1:12" x14ac:dyDescent="0.25">
      <c r="A52" s="1" t="s">
        <v>19</v>
      </c>
      <c r="B52" s="6">
        <v>6</v>
      </c>
      <c r="C52" s="6">
        <v>2560</v>
      </c>
      <c r="D52" s="6"/>
      <c r="E52" s="6">
        <v>4</v>
      </c>
      <c r="F52" s="6">
        <v>271</v>
      </c>
      <c r="G52" s="6"/>
      <c r="H52" s="3">
        <v>16</v>
      </c>
      <c r="I52" s="6">
        <v>1586</v>
      </c>
      <c r="J52" s="6"/>
      <c r="K52" s="16">
        <v>8</v>
      </c>
      <c r="L52" s="16">
        <v>428</v>
      </c>
    </row>
    <row r="53" spans="1:12" x14ac:dyDescent="0.25">
      <c r="A53" s="1" t="s">
        <v>22</v>
      </c>
      <c r="B53" s="6">
        <v>9</v>
      </c>
      <c r="C53" s="6">
        <v>2880</v>
      </c>
      <c r="D53" s="6"/>
      <c r="E53" s="6">
        <v>9</v>
      </c>
      <c r="F53" s="6">
        <v>586</v>
      </c>
      <c r="G53" s="6"/>
      <c r="H53" s="3">
        <v>20</v>
      </c>
      <c r="I53" s="6">
        <v>2192</v>
      </c>
      <c r="J53" s="6"/>
      <c r="K53" s="16">
        <v>3</v>
      </c>
      <c r="L53" s="16">
        <v>91</v>
      </c>
    </row>
    <row r="54" spans="1:12" x14ac:dyDescent="0.25">
      <c r="A54" s="1" t="s">
        <v>23</v>
      </c>
      <c r="B54" s="6">
        <v>5</v>
      </c>
      <c r="C54" s="6">
        <v>1616</v>
      </c>
      <c r="D54" s="6"/>
      <c r="E54" s="6">
        <v>1</v>
      </c>
      <c r="F54" s="6">
        <v>83</v>
      </c>
      <c r="G54" s="6"/>
      <c r="H54" s="3">
        <v>13</v>
      </c>
      <c r="I54" s="6">
        <v>527</v>
      </c>
      <c r="J54" s="6"/>
      <c r="K54" s="16">
        <v>1</v>
      </c>
      <c r="L54" s="16">
        <v>15</v>
      </c>
    </row>
    <row r="55" spans="1:12" ht="10.5" customHeight="1" x14ac:dyDescent="0.25">
      <c r="A55" s="1"/>
      <c r="B55" s="6"/>
      <c r="C55" s="6"/>
      <c r="D55" s="6"/>
      <c r="E55" s="6"/>
      <c r="F55" s="6"/>
      <c r="G55" s="6"/>
      <c r="H55" s="3"/>
      <c r="I55" s="6"/>
      <c r="J55" s="6"/>
      <c r="K55" s="16"/>
      <c r="L55" s="16"/>
    </row>
    <row r="56" spans="1:12" ht="14.25" customHeight="1" x14ac:dyDescent="0.25">
      <c r="A56" s="10">
        <v>2019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</row>
    <row r="57" spans="1:12" ht="9.15" customHeight="1" x14ac:dyDescent="0.25">
      <c r="A57" s="10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</row>
    <row r="58" spans="1:12" x14ac:dyDescent="0.25">
      <c r="A58" s="1" t="s">
        <v>0</v>
      </c>
      <c r="B58" s="7">
        <f>SUM(B60:B61)</f>
        <v>197</v>
      </c>
      <c r="C58" s="7">
        <f t="shared" ref="C58:I58" si="14">SUM(C60:C61)</f>
        <v>91511</v>
      </c>
      <c r="D58" s="7"/>
      <c r="E58" s="7">
        <f t="shared" si="14"/>
        <v>395</v>
      </c>
      <c r="F58" s="7">
        <f t="shared" si="14"/>
        <v>28933</v>
      </c>
      <c r="G58" s="7"/>
      <c r="H58" s="7">
        <f t="shared" si="14"/>
        <v>514</v>
      </c>
      <c r="I58" s="7">
        <f t="shared" si="14"/>
        <v>59038</v>
      </c>
      <c r="J58" s="7"/>
      <c r="K58" s="7">
        <f>SUM(K60:K61)</f>
        <v>310</v>
      </c>
      <c r="L58" s="7">
        <f>SUM(L60:L61)</f>
        <v>14699</v>
      </c>
    </row>
    <row r="59" spans="1:12" ht="9.75" customHeight="1" x14ac:dyDescent="0.25">
      <c r="A59" s="8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</row>
    <row r="60" spans="1:12" x14ac:dyDescent="0.25">
      <c r="A60" s="1" t="s">
        <v>1</v>
      </c>
      <c r="B60" s="6">
        <v>63</v>
      </c>
      <c r="C60" s="6">
        <v>27778</v>
      </c>
      <c r="D60" s="6"/>
      <c r="E60" s="6">
        <v>193</v>
      </c>
      <c r="F60" s="6">
        <v>17631</v>
      </c>
      <c r="G60" s="6"/>
      <c r="H60" s="3">
        <v>135</v>
      </c>
      <c r="I60" s="6">
        <v>15769</v>
      </c>
      <c r="J60" s="6"/>
      <c r="K60" s="16">
        <v>181</v>
      </c>
      <c r="L60" s="6">
        <v>8900</v>
      </c>
    </row>
    <row r="61" spans="1:12" x14ac:dyDescent="0.25">
      <c r="A61" s="1" t="s">
        <v>2</v>
      </c>
      <c r="B61" s="6">
        <f>SUM(B62:B79)</f>
        <v>134</v>
      </c>
      <c r="C61" s="6">
        <f t="shared" ref="C61" si="15">SUM(C62:C79)</f>
        <v>63733</v>
      </c>
      <c r="D61" s="6"/>
      <c r="E61" s="6">
        <f t="shared" ref="E61:F61" si="16">SUM(E62:E79)</f>
        <v>202</v>
      </c>
      <c r="F61" s="6">
        <f t="shared" si="16"/>
        <v>11302</v>
      </c>
      <c r="G61" s="6"/>
      <c r="H61" s="6">
        <f t="shared" ref="H61:I61" si="17">SUM(H62:H79)</f>
        <v>379</v>
      </c>
      <c r="I61" s="6">
        <f t="shared" si="17"/>
        <v>43269</v>
      </c>
      <c r="J61" s="6"/>
      <c r="K61" s="6">
        <f>SUM(K62:K79)</f>
        <v>129</v>
      </c>
      <c r="L61" s="6">
        <f>SUM(L62:L79)</f>
        <v>5799</v>
      </c>
    </row>
    <row r="62" spans="1:12" x14ac:dyDescent="0.25">
      <c r="A62" s="1" t="s">
        <v>6</v>
      </c>
      <c r="B62" s="6">
        <v>4</v>
      </c>
      <c r="C62" s="6">
        <v>2573</v>
      </c>
      <c r="D62" s="6"/>
      <c r="E62" s="6">
        <v>2</v>
      </c>
      <c r="F62" s="6">
        <v>161</v>
      </c>
      <c r="G62" s="6"/>
      <c r="H62" s="3">
        <v>20</v>
      </c>
      <c r="I62" s="6">
        <v>2533</v>
      </c>
      <c r="J62" s="6"/>
      <c r="K62" s="16">
        <v>2</v>
      </c>
      <c r="L62" s="16">
        <v>93</v>
      </c>
    </row>
    <row r="63" spans="1:12" x14ac:dyDescent="0.25">
      <c r="A63" s="1" t="s">
        <v>7</v>
      </c>
      <c r="B63" s="6">
        <v>35</v>
      </c>
      <c r="C63" s="6">
        <v>15653</v>
      </c>
      <c r="D63" s="6"/>
      <c r="E63" s="6">
        <v>65</v>
      </c>
      <c r="F63" s="6">
        <v>3577.0000000000005</v>
      </c>
      <c r="G63" s="6"/>
      <c r="H63" s="3">
        <v>71</v>
      </c>
      <c r="I63" s="6">
        <v>8979</v>
      </c>
      <c r="J63" s="6"/>
      <c r="K63" s="16">
        <v>57</v>
      </c>
      <c r="L63" s="6">
        <v>2440</v>
      </c>
    </row>
    <row r="64" spans="1:12" x14ac:dyDescent="0.25">
      <c r="A64" s="1" t="s">
        <v>8</v>
      </c>
      <c r="B64" s="6">
        <v>8</v>
      </c>
      <c r="C64" s="6">
        <v>3026</v>
      </c>
      <c r="D64" s="6"/>
      <c r="E64" s="6">
        <v>11</v>
      </c>
      <c r="F64" s="6">
        <v>208</v>
      </c>
      <c r="G64" s="6"/>
      <c r="H64" s="3">
        <v>20</v>
      </c>
      <c r="I64" s="6">
        <v>2965</v>
      </c>
      <c r="J64" s="6"/>
      <c r="K64" s="16">
        <v>2</v>
      </c>
      <c r="L64" s="16">
        <v>92</v>
      </c>
    </row>
    <row r="65" spans="1:12" x14ac:dyDescent="0.25">
      <c r="A65" s="1" t="s">
        <v>9</v>
      </c>
      <c r="B65" s="6">
        <v>6</v>
      </c>
      <c r="C65" s="6">
        <v>4113</v>
      </c>
      <c r="D65" s="6"/>
      <c r="E65" s="6">
        <v>11</v>
      </c>
      <c r="F65" s="6">
        <v>598</v>
      </c>
      <c r="G65" s="6"/>
      <c r="H65" s="3">
        <v>20</v>
      </c>
      <c r="I65" s="6">
        <v>2132</v>
      </c>
      <c r="J65" s="6"/>
      <c r="K65" s="16">
        <v>11</v>
      </c>
      <c r="L65" s="16">
        <v>420</v>
      </c>
    </row>
    <row r="66" spans="1:12" x14ac:dyDescent="0.25">
      <c r="A66" s="1" t="s">
        <v>10</v>
      </c>
      <c r="B66" s="6">
        <v>5</v>
      </c>
      <c r="C66" s="6">
        <v>1797</v>
      </c>
      <c r="D66" s="6"/>
      <c r="E66" s="6">
        <v>4</v>
      </c>
      <c r="F66" s="6">
        <v>153</v>
      </c>
      <c r="G66" s="6"/>
      <c r="H66" s="3">
        <v>19</v>
      </c>
      <c r="I66" s="6">
        <v>1961</v>
      </c>
      <c r="J66" s="6"/>
      <c r="K66" s="16">
        <v>2</v>
      </c>
      <c r="L66" s="16">
        <v>223</v>
      </c>
    </row>
    <row r="67" spans="1:12" x14ac:dyDescent="0.25">
      <c r="A67" s="1" t="s">
        <v>11</v>
      </c>
      <c r="B67" s="6">
        <v>2</v>
      </c>
      <c r="C67" s="6">
        <v>795</v>
      </c>
      <c r="D67" s="6"/>
      <c r="E67" s="6">
        <v>4</v>
      </c>
      <c r="F67" s="6">
        <v>100</v>
      </c>
      <c r="G67" s="6"/>
      <c r="H67" s="3">
        <v>10</v>
      </c>
      <c r="I67" s="6">
        <v>796</v>
      </c>
      <c r="J67" s="6"/>
      <c r="K67" s="16">
        <v>1</v>
      </c>
      <c r="L67" s="16">
        <v>107</v>
      </c>
    </row>
    <row r="68" spans="1:12" x14ac:dyDescent="0.25">
      <c r="A68" s="1" t="s">
        <v>12</v>
      </c>
      <c r="B68" s="6">
        <v>4</v>
      </c>
      <c r="C68" s="6">
        <v>2026</v>
      </c>
      <c r="D68" s="6"/>
      <c r="E68" s="6">
        <v>5</v>
      </c>
      <c r="F68" s="6">
        <v>197</v>
      </c>
      <c r="G68" s="6"/>
      <c r="H68" s="3">
        <v>15</v>
      </c>
      <c r="I68" s="6">
        <v>1338</v>
      </c>
      <c r="J68" s="6"/>
      <c r="K68" s="16">
        <v>2</v>
      </c>
      <c r="L68" s="16">
        <v>150</v>
      </c>
    </row>
    <row r="69" spans="1:12" x14ac:dyDescent="0.25">
      <c r="A69" s="1" t="s">
        <v>13</v>
      </c>
      <c r="B69" s="6">
        <v>7</v>
      </c>
      <c r="C69" s="6">
        <v>1794</v>
      </c>
      <c r="D69" s="6"/>
      <c r="E69" s="6">
        <v>7</v>
      </c>
      <c r="F69" s="6">
        <v>274</v>
      </c>
      <c r="G69" s="6"/>
      <c r="H69" s="3">
        <v>10</v>
      </c>
      <c r="I69" s="6">
        <v>962</v>
      </c>
      <c r="J69" s="6"/>
      <c r="K69" s="16">
        <v>4</v>
      </c>
      <c r="L69" s="16">
        <v>102</v>
      </c>
    </row>
    <row r="70" spans="1:12" x14ac:dyDescent="0.25">
      <c r="A70" s="1" t="s">
        <v>14</v>
      </c>
      <c r="B70" s="6">
        <v>8</v>
      </c>
      <c r="C70" s="6">
        <v>4642</v>
      </c>
      <c r="D70" s="6"/>
      <c r="E70" s="6">
        <v>28</v>
      </c>
      <c r="F70" s="6">
        <v>1875</v>
      </c>
      <c r="G70" s="6"/>
      <c r="H70" s="3">
        <v>17</v>
      </c>
      <c r="I70" s="6">
        <v>1742</v>
      </c>
      <c r="J70" s="6"/>
      <c r="K70" s="16">
        <v>14</v>
      </c>
      <c r="L70" s="16">
        <v>701</v>
      </c>
    </row>
    <row r="71" spans="1:12" x14ac:dyDescent="0.25">
      <c r="A71" s="1" t="s">
        <v>15</v>
      </c>
      <c r="B71" s="6">
        <v>4</v>
      </c>
      <c r="C71" s="6">
        <v>3775</v>
      </c>
      <c r="D71" s="6"/>
      <c r="E71" s="6">
        <v>11</v>
      </c>
      <c r="F71" s="6">
        <v>697</v>
      </c>
      <c r="G71" s="6"/>
      <c r="H71" s="3">
        <v>28</v>
      </c>
      <c r="I71" s="6">
        <v>3488</v>
      </c>
      <c r="J71" s="6"/>
      <c r="K71" s="16">
        <v>5</v>
      </c>
      <c r="L71" s="16">
        <v>249</v>
      </c>
    </row>
    <row r="72" spans="1:12" x14ac:dyDescent="0.25">
      <c r="A72" s="1" t="s">
        <v>16</v>
      </c>
      <c r="B72" s="6">
        <v>6</v>
      </c>
      <c r="C72" s="6">
        <v>1872</v>
      </c>
      <c r="D72" s="6"/>
      <c r="E72" s="6">
        <v>8</v>
      </c>
      <c r="F72" s="6">
        <v>273</v>
      </c>
      <c r="G72" s="6"/>
      <c r="H72" s="3">
        <v>14</v>
      </c>
      <c r="I72" s="6">
        <v>1431</v>
      </c>
      <c r="J72" s="6"/>
      <c r="K72" s="16">
        <v>3</v>
      </c>
      <c r="L72" s="16">
        <v>87</v>
      </c>
    </row>
    <row r="73" spans="1:12" x14ac:dyDescent="0.25">
      <c r="A73" s="1" t="s">
        <v>17</v>
      </c>
      <c r="B73" s="6">
        <v>7</v>
      </c>
      <c r="C73" s="6">
        <v>3649</v>
      </c>
      <c r="D73" s="6"/>
      <c r="E73" s="6">
        <v>7</v>
      </c>
      <c r="F73" s="6">
        <v>276</v>
      </c>
      <c r="G73" s="6"/>
      <c r="H73" s="3">
        <v>19</v>
      </c>
      <c r="I73" s="6">
        <v>2697</v>
      </c>
      <c r="J73" s="6"/>
      <c r="K73" s="16">
        <v>5</v>
      </c>
      <c r="L73" s="16">
        <v>385</v>
      </c>
    </row>
    <row r="74" spans="1:12" x14ac:dyDescent="0.25">
      <c r="A74" s="1" t="s">
        <v>18</v>
      </c>
      <c r="B74" s="6">
        <v>7</v>
      </c>
      <c r="C74" s="6">
        <v>2277</v>
      </c>
      <c r="D74" s="6"/>
      <c r="E74" s="6">
        <v>4</v>
      </c>
      <c r="F74" s="6">
        <v>239</v>
      </c>
      <c r="G74" s="6"/>
      <c r="H74" s="3">
        <v>18</v>
      </c>
      <c r="I74" s="6">
        <v>1969</v>
      </c>
      <c r="J74" s="6"/>
      <c r="K74" s="16">
        <v>3</v>
      </c>
      <c r="L74" s="16">
        <v>68</v>
      </c>
    </row>
    <row r="75" spans="1:12" x14ac:dyDescent="0.25">
      <c r="A75" s="1" t="s">
        <v>20</v>
      </c>
      <c r="B75" s="6">
        <v>5</v>
      </c>
      <c r="C75" s="6">
        <v>4679</v>
      </c>
      <c r="D75" s="6"/>
      <c r="E75" s="6">
        <v>8</v>
      </c>
      <c r="F75" s="6">
        <v>1124</v>
      </c>
      <c r="G75" s="6"/>
      <c r="H75" s="3">
        <v>26</v>
      </c>
      <c r="I75" s="6">
        <v>3286</v>
      </c>
      <c r="J75" s="6"/>
      <c r="K75" s="16">
        <v>1</v>
      </c>
      <c r="L75" s="16">
        <v>71</v>
      </c>
    </row>
    <row r="76" spans="1:12" x14ac:dyDescent="0.25">
      <c r="A76" s="1" t="s">
        <v>21</v>
      </c>
      <c r="B76" s="6">
        <v>6</v>
      </c>
      <c r="C76" s="6">
        <v>3886</v>
      </c>
      <c r="D76" s="6"/>
      <c r="E76" s="6">
        <v>12</v>
      </c>
      <c r="F76" s="6">
        <v>679</v>
      </c>
      <c r="G76" s="6"/>
      <c r="H76" s="3">
        <v>20</v>
      </c>
      <c r="I76" s="6">
        <v>1939</v>
      </c>
      <c r="J76" s="6"/>
      <c r="K76" s="16">
        <v>8</v>
      </c>
      <c r="L76" s="16">
        <v>229</v>
      </c>
    </row>
    <row r="77" spans="1:12" x14ac:dyDescent="0.25">
      <c r="A77" s="1" t="s">
        <v>19</v>
      </c>
      <c r="B77" s="6">
        <v>6</v>
      </c>
      <c r="C77" s="6">
        <v>2630</v>
      </c>
      <c r="D77" s="6"/>
      <c r="E77" s="6">
        <v>5</v>
      </c>
      <c r="F77" s="6">
        <v>260</v>
      </c>
      <c r="G77" s="6"/>
      <c r="H77" s="3">
        <v>17</v>
      </c>
      <c r="I77" s="6">
        <v>1579</v>
      </c>
      <c r="J77" s="6"/>
      <c r="K77" s="16">
        <v>8</v>
      </c>
      <c r="L77" s="16">
        <v>368</v>
      </c>
    </row>
    <row r="78" spans="1:12" x14ac:dyDescent="0.25">
      <c r="A78" s="1" t="s">
        <v>22</v>
      </c>
      <c r="B78" s="6">
        <v>9</v>
      </c>
      <c r="C78" s="6">
        <v>2940</v>
      </c>
      <c r="D78" s="6"/>
      <c r="E78" s="6">
        <v>7</v>
      </c>
      <c r="F78" s="6">
        <v>546</v>
      </c>
      <c r="G78" s="6"/>
      <c r="H78" s="3">
        <v>21</v>
      </c>
      <c r="I78" s="6">
        <v>2179</v>
      </c>
      <c r="J78" s="6"/>
      <c r="K78" s="16" t="s">
        <v>24</v>
      </c>
      <c r="L78" s="16">
        <v>14</v>
      </c>
    </row>
    <row r="79" spans="1:12" x14ac:dyDescent="0.25">
      <c r="A79" s="1" t="s">
        <v>23</v>
      </c>
      <c r="B79" s="6">
        <v>5</v>
      </c>
      <c r="C79" s="6">
        <v>1606</v>
      </c>
      <c r="D79" s="6"/>
      <c r="E79" s="6">
        <v>3</v>
      </c>
      <c r="F79" s="6">
        <v>65</v>
      </c>
      <c r="G79" s="6"/>
      <c r="H79" s="3">
        <v>14</v>
      </c>
      <c r="I79" s="6">
        <v>1293</v>
      </c>
      <c r="J79" s="6"/>
      <c r="K79" s="16">
        <v>1</v>
      </c>
      <c r="L79" s="16" t="s">
        <v>24</v>
      </c>
    </row>
    <row r="80" spans="1:12" x14ac:dyDescent="0.25">
      <c r="A80" s="1"/>
      <c r="B80" s="6"/>
      <c r="C80" s="6"/>
      <c r="D80" s="6"/>
      <c r="E80" s="6"/>
      <c r="F80" s="6"/>
      <c r="G80" s="6"/>
      <c r="H80" s="3"/>
      <c r="I80" s="6"/>
      <c r="J80" s="6"/>
      <c r="K80" s="16"/>
      <c r="L80" s="16"/>
    </row>
    <row r="81" spans="1:12" x14ac:dyDescent="0.25">
      <c r="A81" s="10">
        <v>2020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</row>
    <row r="82" spans="1:12" ht="9.15" customHeight="1" x14ac:dyDescent="0.25">
      <c r="A82" s="10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</row>
    <row r="83" spans="1:12" x14ac:dyDescent="0.25">
      <c r="A83" s="1" t="s">
        <v>0</v>
      </c>
      <c r="B83" s="7">
        <f>SUM(B85:B86)</f>
        <v>217</v>
      </c>
      <c r="C83" s="7">
        <f>SUM(C85:C86)</f>
        <v>92350</v>
      </c>
      <c r="D83" s="7"/>
      <c r="E83" s="7">
        <f>SUM(E85:E86)</f>
        <v>391</v>
      </c>
      <c r="F83" s="7">
        <f>SUM(F85:F86)</f>
        <v>24540</v>
      </c>
      <c r="G83" s="7"/>
      <c r="H83" s="7">
        <f t="shared" ref="H83:L83" si="18">SUM(H85:H86)</f>
        <v>501</v>
      </c>
      <c r="I83" s="7">
        <f t="shared" si="18"/>
        <v>62395</v>
      </c>
      <c r="J83" s="7"/>
      <c r="K83" s="7">
        <f t="shared" si="18"/>
        <v>264</v>
      </c>
      <c r="L83" s="7">
        <f t="shared" si="18"/>
        <v>10491</v>
      </c>
    </row>
    <row r="84" spans="1:12" ht="9.15" customHeight="1" x14ac:dyDescent="0.25">
      <c r="A84" s="8"/>
      <c r="B84" s="6"/>
      <c r="C84" s="6"/>
      <c r="D84" s="6"/>
      <c r="E84" s="6"/>
      <c r="F84" s="6"/>
      <c r="G84" s="6"/>
      <c r="H84" s="17"/>
      <c r="I84" s="17"/>
      <c r="J84" s="17"/>
      <c r="K84" s="17"/>
      <c r="L84" s="17"/>
    </row>
    <row r="85" spans="1:12" x14ac:dyDescent="0.25">
      <c r="A85" s="1" t="s">
        <v>1</v>
      </c>
      <c r="B85" s="6">
        <v>73</v>
      </c>
      <c r="C85" s="6">
        <v>27911</v>
      </c>
      <c r="D85" s="6"/>
      <c r="E85" s="6">
        <v>189</v>
      </c>
      <c r="F85" s="6">
        <v>14592</v>
      </c>
      <c r="G85" s="6"/>
      <c r="H85" s="3">
        <v>135</v>
      </c>
      <c r="I85" s="6">
        <v>17430</v>
      </c>
      <c r="J85" s="6"/>
      <c r="K85" s="16">
        <v>156</v>
      </c>
      <c r="L85" s="6">
        <v>6582</v>
      </c>
    </row>
    <row r="86" spans="1:12" x14ac:dyDescent="0.25">
      <c r="A86" s="1" t="s">
        <v>2</v>
      </c>
      <c r="B86" s="6">
        <f>SUM(B87:B104)</f>
        <v>144</v>
      </c>
      <c r="C86" s="6">
        <f>SUM(C87:C104)</f>
        <v>64439</v>
      </c>
      <c r="D86" s="6"/>
      <c r="E86" s="6">
        <f>SUM(E87:E104)</f>
        <v>202</v>
      </c>
      <c r="F86" s="6">
        <f>SUM(F87:F104)</f>
        <v>9948</v>
      </c>
      <c r="G86" s="6"/>
      <c r="H86" s="6">
        <f>SUM(H87:H104)</f>
        <v>366</v>
      </c>
      <c r="I86" s="6">
        <f>SUM(I87:I104)</f>
        <v>44965</v>
      </c>
      <c r="J86" s="6"/>
      <c r="K86" s="6">
        <f>SUM(K87:K104)</f>
        <v>108</v>
      </c>
      <c r="L86" s="6">
        <f>SUM(L87:L104)</f>
        <v>3909</v>
      </c>
    </row>
    <row r="87" spans="1:12" x14ac:dyDescent="0.25">
      <c r="A87" s="1" t="s">
        <v>6</v>
      </c>
      <c r="B87" s="6">
        <v>5</v>
      </c>
      <c r="C87" s="6">
        <v>2721</v>
      </c>
      <c r="D87" s="6"/>
      <c r="E87" s="6">
        <v>2</v>
      </c>
      <c r="F87" s="6">
        <v>161</v>
      </c>
      <c r="G87" s="6"/>
      <c r="H87" s="3">
        <v>20</v>
      </c>
      <c r="I87" s="6">
        <v>2632</v>
      </c>
      <c r="J87" s="6"/>
      <c r="K87" s="16">
        <v>3</v>
      </c>
      <c r="L87" s="16">
        <v>89</v>
      </c>
    </row>
    <row r="88" spans="1:12" x14ac:dyDescent="0.25">
      <c r="A88" s="1" t="s">
        <v>7</v>
      </c>
      <c r="B88" s="6">
        <v>40</v>
      </c>
      <c r="C88" s="6">
        <v>16010</v>
      </c>
      <c r="D88" s="6"/>
      <c r="E88" s="6">
        <v>73</v>
      </c>
      <c r="F88" s="6">
        <v>3137</v>
      </c>
      <c r="G88" s="6"/>
      <c r="H88" s="3">
        <v>73</v>
      </c>
      <c r="I88" s="6">
        <v>9548</v>
      </c>
      <c r="J88" s="6"/>
      <c r="K88" s="16">
        <v>48</v>
      </c>
      <c r="L88" s="6">
        <v>1671</v>
      </c>
    </row>
    <row r="89" spans="1:12" x14ac:dyDescent="0.25">
      <c r="A89" s="1" t="s">
        <v>8</v>
      </c>
      <c r="B89" s="6">
        <v>7</v>
      </c>
      <c r="C89" s="6">
        <v>3068</v>
      </c>
      <c r="D89" s="6"/>
      <c r="E89" s="6">
        <v>6</v>
      </c>
      <c r="F89" s="6">
        <v>215</v>
      </c>
      <c r="G89" s="6"/>
      <c r="H89" s="3">
        <v>20</v>
      </c>
      <c r="I89" s="6">
        <v>3085</v>
      </c>
      <c r="J89" s="6"/>
      <c r="K89" s="16" t="s">
        <v>24</v>
      </c>
      <c r="L89" s="16" t="s">
        <v>24</v>
      </c>
    </row>
    <row r="90" spans="1:12" x14ac:dyDescent="0.25">
      <c r="A90" s="1" t="s">
        <v>9</v>
      </c>
      <c r="B90" s="6">
        <v>7</v>
      </c>
      <c r="C90" s="6">
        <v>3981</v>
      </c>
      <c r="D90" s="6"/>
      <c r="E90" s="6">
        <v>11</v>
      </c>
      <c r="F90" s="6">
        <v>545</v>
      </c>
      <c r="G90" s="6"/>
      <c r="H90" s="3">
        <v>18</v>
      </c>
      <c r="I90" s="6">
        <v>2142</v>
      </c>
      <c r="J90" s="6"/>
      <c r="K90" s="16">
        <v>9</v>
      </c>
      <c r="L90" s="16">
        <v>243</v>
      </c>
    </row>
    <row r="91" spans="1:12" x14ac:dyDescent="0.25">
      <c r="A91" s="1" t="s">
        <v>10</v>
      </c>
      <c r="B91" s="6">
        <v>5</v>
      </c>
      <c r="C91" s="6">
        <v>1921</v>
      </c>
      <c r="D91" s="6"/>
      <c r="E91" s="6">
        <v>3</v>
      </c>
      <c r="F91" s="6">
        <v>132</v>
      </c>
      <c r="G91" s="6"/>
      <c r="H91" s="3">
        <v>19</v>
      </c>
      <c r="I91" s="6">
        <v>1992</v>
      </c>
      <c r="J91" s="6"/>
      <c r="K91" s="16">
        <v>2</v>
      </c>
      <c r="L91" s="16">
        <v>175</v>
      </c>
    </row>
    <row r="92" spans="1:12" x14ac:dyDescent="0.25">
      <c r="A92" s="1" t="s">
        <v>11</v>
      </c>
      <c r="B92" s="6">
        <v>2</v>
      </c>
      <c r="C92" s="6">
        <v>751</v>
      </c>
      <c r="D92" s="6"/>
      <c r="E92" s="6">
        <v>4</v>
      </c>
      <c r="F92" s="6">
        <v>119</v>
      </c>
      <c r="G92" s="6"/>
      <c r="H92" s="3">
        <v>9</v>
      </c>
      <c r="I92" s="6">
        <v>878</v>
      </c>
      <c r="J92" s="6"/>
      <c r="K92" s="16">
        <v>1</v>
      </c>
      <c r="L92" s="16">
        <v>90</v>
      </c>
    </row>
    <row r="93" spans="1:12" x14ac:dyDescent="0.25">
      <c r="A93" s="1" t="s">
        <v>12</v>
      </c>
      <c r="B93" s="6">
        <v>4</v>
      </c>
      <c r="C93" s="6">
        <v>2009</v>
      </c>
      <c r="D93" s="6"/>
      <c r="E93" s="6">
        <v>5</v>
      </c>
      <c r="F93" s="6">
        <v>171</v>
      </c>
      <c r="G93" s="6"/>
      <c r="H93" s="3">
        <v>14</v>
      </c>
      <c r="I93" s="6">
        <v>1389</v>
      </c>
      <c r="J93" s="6"/>
      <c r="K93" s="16">
        <v>3</v>
      </c>
      <c r="L93" s="16">
        <v>117</v>
      </c>
    </row>
    <row r="94" spans="1:12" x14ac:dyDescent="0.25">
      <c r="A94" s="1" t="s">
        <v>13</v>
      </c>
      <c r="B94" s="6">
        <v>7</v>
      </c>
      <c r="C94" s="6">
        <v>1813</v>
      </c>
      <c r="D94" s="6"/>
      <c r="E94" s="6">
        <v>6</v>
      </c>
      <c r="F94" s="6">
        <v>215</v>
      </c>
      <c r="G94" s="6"/>
      <c r="H94" s="3">
        <v>9</v>
      </c>
      <c r="I94" s="6">
        <v>998</v>
      </c>
      <c r="J94" s="6"/>
      <c r="K94" s="16">
        <v>5</v>
      </c>
      <c r="L94" s="16">
        <v>127</v>
      </c>
    </row>
    <row r="95" spans="1:12" x14ac:dyDescent="0.25">
      <c r="A95" s="1" t="s">
        <v>14</v>
      </c>
      <c r="B95" s="6">
        <v>9</v>
      </c>
      <c r="C95" s="6">
        <v>4642</v>
      </c>
      <c r="D95" s="6"/>
      <c r="E95" s="6">
        <v>30</v>
      </c>
      <c r="F95" s="6">
        <v>1732</v>
      </c>
      <c r="G95" s="6"/>
      <c r="H95" s="3">
        <v>15</v>
      </c>
      <c r="I95" s="6">
        <v>1867</v>
      </c>
      <c r="J95" s="6"/>
      <c r="K95" s="16">
        <v>9</v>
      </c>
      <c r="L95" s="16">
        <v>415</v>
      </c>
    </row>
    <row r="96" spans="1:12" x14ac:dyDescent="0.25">
      <c r="A96" s="1" t="s">
        <v>15</v>
      </c>
      <c r="B96" s="6">
        <v>4</v>
      </c>
      <c r="C96" s="6">
        <v>3865</v>
      </c>
      <c r="D96" s="6"/>
      <c r="E96" s="6">
        <v>10</v>
      </c>
      <c r="F96" s="6">
        <v>629</v>
      </c>
      <c r="G96" s="6"/>
      <c r="H96" s="3">
        <v>27</v>
      </c>
      <c r="I96" s="6">
        <v>3552</v>
      </c>
      <c r="J96" s="6"/>
      <c r="K96" s="16">
        <v>5</v>
      </c>
      <c r="L96" s="16">
        <v>210</v>
      </c>
    </row>
    <row r="97" spans="1:12" x14ac:dyDescent="0.25">
      <c r="A97" s="1" t="s">
        <v>16</v>
      </c>
      <c r="B97" s="6">
        <v>6</v>
      </c>
      <c r="C97" s="6">
        <v>1926</v>
      </c>
      <c r="D97" s="6"/>
      <c r="E97" s="6">
        <v>7</v>
      </c>
      <c r="F97" s="6">
        <v>268</v>
      </c>
      <c r="G97" s="6"/>
      <c r="H97" s="3">
        <v>13</v>
      </c>
      <c r="I97" s="6">
        <v>1300</v>
      </c>
      <c r="J97" s="6"/>
      <c r="K97" s="16">
        <v>2</v>
      </c>
      <c r="L97" s="16">
        <v>49</v>
      </c>
    </row>
    <row r="98" spans="1:12" x14ac:dyDescent="0.25">
      <c r="A98" s="1" t="s">
        <v>17</v>
      </c>
      <c r="B98" s="6">
        <v>8</v>
      </c>
      <c r="C98" s="6">
        <v>3681</v>
      </c>
      <c r="D98" s="6"/>
      <c r="E98" s="6">
        <v>7</v>
      </c>
      <c r="F98" s="6">
        <v>275</v>
      </c>
      <c r="G98" s="6"/>
      <c r="H98" s="3">
        <v>18</v>
      </c>
      <c r="I98" s="6">
        <v>2853</v>
      </c>
      <c r="J98" s="6"/>
      <c r="K98" s="16">
        <v>5</v>
      </c>
      <c r="L98" s="16">
        <v>166</v>
      </c>
    </row>
    <row r="99" spans="1:12" x14ac:dyDescent="0.25">
      <c r="A99" s="1" t="s">
        <v>18</v>
      </c>
      <c r="B99" s="6">
        <v>7</v>
      </c>
      <c r="C99" s="6">
        <v>2343</v>
      </c>
      <c r="D99" s="6"/>
      <c r="E99" s="6">
        <v>4</v>
      </c>
      <c r="F99" s="6">
        <v>173</v>
      </c>
      <c r="G99" s="6"/>
      <c r="H99" s="3">
        <v>18</v>
      </c>
      <c r="I99" s="6">
        <v>2122</v>
      </c>
      <c r="J99" s="6"/>
      <c r="K99" s="16">
        <v>3</v>
      </c>
      <c r="L99" s="16">
        <v>62</v>
      </c>
    </row>
    <row r="100" spans="1:12" x14ac:dyDescent="0.25">
      <c r="A100" s="1" t="s">
        <v>20</v>
      </c>
      <c r="B100" s="6">
        <v>7</v>
      </c>
      <c r="C100" s="6">
        <v>4629</v>
      </c>
      <c r="D100" s="6"/>
      <c r="E100" s="6">
        <v>13</v>
      </c>
      <c r="F100" s="6">
        <v>858</v>
      </c>
      <c r="G100" s="6"/>
      <c r="H100" s="3">
        <v>25</v>
      </c>
      <c r="I100" s="6">
        <v>3347</v>
      </c>
      <c r="J100" s="6"/>
      <c r="K100" s="16">
        <v>1</v>
      </c>
      <c r="L100" s="16">
        <v>59</v>
      </c>
    </row>
    <row r="101" spans="1:12" x14ac:dyDescent="0.25">
      <c r="A101" s="1" t="s">
        <v>21</v>
      </c>
      <c r="B101" s="6">
        <v>6</v>
      </c>
      <c r="C101" s="6">
        <v>3872</v>
      </c>
      <c r="D101" s="6"/>
      <c r="E101" s="6">
        <v>8</v>
      </c>
      <c r="F101" s="6">
        <v>527</v>
      </c>
      <c r="G101" s="6"/>
      <c r="H101" s="3">
        <v>19</v>
      </c>
      <c r="I101" s="6">
        <v>2011</v>
      </c>
      <c r="J101" s="6"/>
      <c r="K101" s="16">
        <v>5</v>
      </c>
      <c r="L101" s="16">
        <v>139</v>
      </c>
    </row>
    <row r="102" spans="1:12" x14ac:dyDescent="0.25">
      <c r="A102" s="1" t="s">
        <v>19</v>
      </c>
      <c r="B102" s="6">
        <v>6</v>
      </c>
      <c r="C102" s="6">
        <v>2651</v>
      </c>
      <c r="D102" s="6"/>
      <c r="E102" s="6">
        <v>4</v>
      </c>
      <c r="F102" s="6">
        <v>268</v>
      </c>
      <c r="G102" s="6"/>
      <c r="H102" s="3">
        <v>16</v>
      </c>
      <c r="I102" s="6">
        <v>1612</v>
      </c>
      <c r="J102" s="6"/>
      <c r="K102" s="16">
        <v>5</v>
      </c>
      <c r="L102" s="16">
        <v>214</v>
      </c>
    </row>
    <row r="103" spans="1:12" x14ac:dyDescent="0.25">
      <c r="A103" s="1" t="s">
        <v>22</v>
      </c>
      <c r="B103" s="6">
        <v>9</v>
      </c>
      <c r="C103" s="6">
        <v>2969</v>
      </c>
      <c r="D103" s="6"/>
      <c r="E103" s="6">
        <v>8</v>
      </c>
      <c r="F103" s="6">
        <v>472</v>
      </c>
      <c r="G103" s="6"/>
      <c r="H103" s="3">
        <v>20</v>
      </c>
      <c r="I103" s="6">
        <v>2338</v>
      </c>
      <c r="J103" s="6"/>
      <c r="K103" s="16">
        <v>1</v>
      </c>
      <c r="L103" s="16">
        <v>78</v>
      </c>
    </row>
    <row r="104" spans="1:12" x14ac:dyDescent="0.25">
      <c r="A104" s="1" t="s">
        <v>23</v>
      </c>
      <c r="B104" s="6">
        <v>5</v>
      </c>
      <c r="C104" s="6">
        <v>1587</v>
      </c>
      <c r="D104" s="6"/>
      <c r="E104" s="6">
        <v>1</v>
      </c>
      <c r="F104" s="6">
        <v>51</v>
      </c>
      <c r="G104" s="6"/>
      <c r="H104" s="3">
        <v>13</v>
      </c>
      <c r="I104" s="6">
        <v>1299</v>
      </c>
      <c r="J104" s="6"/>
      <c r="K104" s="16">
        <v>1</v>
      </c>
      <c r="L104" s="16">
        <v>5</v>
      </c>
    </row>
    <row r="105" spans="1:12" ht="9.15" customHeight="1" x14ac:dyDescent="0.25">
      <c r="A105" s="1"/>
      <c r="B105" s="6"/>
      <c r="C105" s="6"/>
      <c r="D105" s="6"/>
      <c r="E105" s="6"/>
      <c r="F105" s="6"/>
      <c r="G105" s="6"/>
      <c r="H105" s="3"/>
      <c r="I105" s="6"/>
      <c r="J105" s="6"/>
      <c r="K105" s="16"/>
      <c r="L105" s="16"/>
    </row>
    <row r="106" spans="1:12" ht="12.9" customHeight="1" x14ac:dyDescent="0.25">
      <c r="A106" s="10">
        <v>2021</v>
      </c>
      <c r="B106" s="6"/>
      <c r="C106" s="6"/>
      <c r="D106" s="6"/>
      <c r="E106" s="6"/>
      <c r="F106" s="6"/>
      <c r="G106" s="6"/>
      <c r="H106" s="3"/>
      <c r="I106" s="6"/>
      <c r="J106" s="6"/>
      <c r="K106" s="16"/>
      <c r="L106" s="16"/>
    </row>
    <row r="107" spans="1:12" ht="9.15" customHeight="1" x14ac:dyDescent="0.25">
      <c r="A107" s="1"/>
      <c r="B107" s="6"/>
      <c r="C107" s="6"/>
      <c r="D107" s="6"/>
      <c r="E107" s="6"/>
      <c r="F107" s="6"/>
      <c r="G107" s="6"/>
      <c r="H107" s="3"/>
      <c r="I107" s="6"/>
      <c r="J107" s="6"/>
      <c r="K107" s="16"/>
      <c r="L107" s="16"/>
    </row>
    <row r="108" spans="1:12" ht="12.9" customHeight="1" x14ac:dyDescent="0.25">
      <c r="A108" s="1" t="s">
        <v>0</v>
      </c>
      <c r="B108" s="7">
        <v>231</v>
      </c>
      <c r="C108" s="7">
        <v>88939</v>
      </c>
      <c r="D108" s="7"/>
      <c r="E108" s="18" t="s">
        <v>33</v>
      </c>
      <c r="F108" s="18" t="s">
        <v>33</v>
      </c>
      <c r="G108" s="7"/>
      <c r="H108" s="7">
        <v>511</v>
      </c>
      <c r="I108" s="7">
        <v>60438</v>
      </c>
      <c r="J108" s="7"/>
      <c r="K108" s="18">
        <v>254</v>
      </c>
      <c r="L108" s="18">
        <v>11253</v>
      </c>
    </row>
    <row r="109" spans="1:12" ht="9.15" customHeight="1" x14ac:dyDescent="0.25">
      <c r="A109" s="8"/>
      <c r="B109" s="6"/>
      <c r="C109" s="6"/>
      <c r="D109" s="6"/>
      <c r="E109" s="19"/>
      <c r="F109" s="19"/>
      <c r="G109" s="6"/>
      <c r="H109" s="17"/>
      <c r="I109" s="17"/>
      <c r="J109" s="17"/>
      <c r="K109" s="19"/>
      <c r="L109" s="19"/>
    </row>
    <row r="110" spans="1:12" ht="12.9" customHeight="1" x14ac:dyDescent="0.25">
      <c r="A110" s="1" t="s">
        <v>1</v>
      </c>
      <c r="B110" s="6">
        <v>79</v>
      </c>
      <c r="C110" s="6">
        <v>26591</v>
      </c>
      <c r="D110" s="6"/>
      <c r="E110" s="19" t="s">
        <v>33</v>
      </c>
      <c r="F110" s="19" t="s">
        <v>33</v>
      </c>
      <c r="G110" s="6"/>
      <c r="H110" s="3">
        <v>138</v>
      </c>
      <c r="I110" s="6">
        <v>16744</v>
      </c>
      <c r="J110" s="6"/>
      <c r="K110" s="19">
        <v>142</v>
      </c>
      <c r="L110" s="19">
        <v>6739</v>
      </c>
    </row>
    <row r="111" spans="1:12" ht="12.9" customHeight="1" x14ac:dyDescent="0.25">
      <c r="A111" s="1" t="s">
        <v>2</v>
      </c>
      <c r="B111" s="6">
        <v>152</v>
      </c>
      <c r="C111" s="6">
        <v>62348</v>
      </c>
      <c r="D111" s="6"/>
      <c r="E111" s="19" t="s">
        <v>33</v>
      </c>
      <c r="F111" s="19" t="s">
        <v>33</v>
      </c>
      <c r="G111" s="6"/>
      <c r="H111" s="6">
        <v>373</v>
      </c>
      <c r="I111" s="6">
        <v>43694</v>
      </c>
      <c r="J111" s="6"/>
      <c r="K111" s="19">
        <v>112</v>
      </c>
      <c r="L111" s="19">
        <v>4514</v>
      </c>
    </row>
    <row r="112" spans="1:12" ht="12.9" customHeight="1" x14ac:dyDescent="0.25">
      <c r="A112" s="1" t="s">
        <v>6</v>
      </c>
      <c r="B112" s="6">
        <v>5</v>
      </c>
      <c r="C112" s="6">
        <v>2722</v>
      </c>
      <c r="D112" s="6"/>
      <c r="E112" s="19" t="s">
        <v>33</v>
      </c>
      <c r="F112" s="19" t="s">
        <v>33</v>
      </c>
      <c r="G112" s="6"/>
      <c r="H112" s="3">
        <v>21</v>
      </c>
      <c r="I112" s="6">
        <v>2565</v>
      </c>
      <c r="J112" s="6"/>
      <c r="K112" s="19">
        <v>3</v>
      </c>
      <c r="L112" s="19">
        <v>92</v>
      </c>
    </row>
    <row r="113" spans="1:12" ht="12.9" customHeight="1" x14ac:dyDescent="0.25">
      <c r="A113" s="1" t="s">
        <v>7</v>
      </c>
      <c r="B113" s="6">
        <v>43</v>
      </c>
      <c r="C113" s="6">
        <v>15491</v>
      </c>
      <c r="D113" s="6"/>
      <c r="E113" s="19" t="s">
        <v>33</v>
      </c>
      <c r="F113" s="19" t="s">
        <v>33</v>
      </c>
      <c r="G113" s="6"/>
      <c r="H113" s="3">
        <v>73</v>
      </c>
      <c r="I113" s="6">
        <v>9028</v>
      </c>
      <c r="J113" s="6"/>
      <c r="K113" s="19">
        <v>44</v>
      </c>
      <c r="L113" s="19">
        <v>1794</v>
      </c>
    </row>
    <row r="114" spans="1:12" ht="12.9" customHeight="1" x14ac:dyDescent="0.25">
      <c r="A114" s="1" t="s">
        <v>8</v>
      </c>
      <c r="B114" s="6">
        <v>7</v>
      </c>
      <c r="C114" s="6">
        <v>2877</v>
      </c>
      <c r="D114" s="6"/>
      <c r="E114" s="19" t="s">
        <v>33</v>
      </c>
      <c r="F114" s="19" t="s">
        <v>33</v>
      </c>
      <c r="G114" s="6"/>
      <c r="H114" s="3">
        <v>20</v>
      </c>
      <c r="I114" s="6">
        <v>2974</v>
      </c>
      <c r="J114" s="6"/>
      <c r="K114" s="19" t="s">
        <v>24</v>
      </c>
      <c r="L114" s="19" t="s">
        <v>24</v>
      </c>
    </row>
    <row r="115" spans="1:12" ht="12.9" customHeight="1" x14ac:dyDescent="0.25">
      <c r="A115" s="1" t="s">
        <v>9</v>
      </c>
      <c r="B115" s="6">
        <v>7</v>
      </c>
      <c r="C115" s="6">
        <v>3848</v>
      </c>
      <c r="D115" s="6"/>
      <c r="E115" s="19" t="s">
        <v>33</v>
      </c>
      <c r="F115" s="19" t="s">
        <v>33</v>
      </c>
      <c r="G115" s="6"/>
      <c r="H115" s="3">
        <v>19</v>
      </c>
      <c r="I115" s="6">
        <v>2144</v>
      </c>
      <c r="J115" s="6"/>
      <c r="K115" s="19">
        <v>9</v>
      </c>
      <c r="L115" s="19">
        <v>278</v>
      </c>
    </row>
    <row r="116" spans="1:12" ht="12.9" customHeight="1" x14ac:dyDescent="0.25">
      <c r="A116" s="1" t="s">
        <v>10</v>
      </c>
      <c r="B116" s="6">
        <v>5</v>
      </c>
      <c r="C116" s="6">
        <v>1857</v>
      </c>
      <c r="D116" s="6"/>
      <c r="E116" s="19" t="s">
        <v>33</v>
      </c>
      <c r="F116" s="19" t="s">
        <v>33</v>
      </c>
      <c r="G116" s="6"/>
      <c r="H116" s="3">
        <v>19</v>
      </c>
      <c r="I116" s="6">
        <v>1794</v>
      </c>
      <c r="J116" s="6"/>
      <c r="K116" s="19">
        <v>2</v>
      </c>
      <c r="L116" s="19">
        <v>170</v>
      </c>
    </row>
    <row r="117" spans="1:12" ht="12.9" customHeight="1" x14ac:dyDescent="0.25">
      <c r="A117" s="1" t="s">
        <v>11</v>
      </c>
      <c r="B117" s="6">
        <v>2</v>
      </c>
      <c r="C117" s="6">
        <v>744</v>
      </c>
      <c r="D117" s="6"/>
      <c r="E117" s="19" t="s">
        <v>33</v>
      </c>
      <c r="F117" s="19" t="s">
        <v>33</v>
      </c>
      <c r="G117" s="6"/>
      <c r="H117" s="3">
        <v>9</v>
      </c>
      <c r="I117" s="6">
        <v>776</v>
      </c>
      <c r="J117" s="6"/>
      <c r="K117" s="19">
        <v>1</v>
      </c>
      <c r="L117" s="19">
        <v>77</v>
      </c>
    </row>
    <row r="118" spans="1:12" ht="12.9" customHeight="1" x14ac:dyDescent="0.25">
      <c r="A118" s="1" t="s">
        <v>12</v>
      </c>
      <c r="B118" s="6">
        <v>4</v>
      </c>
      <c r="C118" s="6">
        <v>1887</v>
      </c>
      <c r="D118" s="6"/>
      <c r="E118" s="19" t="s">
        <v>33</v>
      </c>
      <c r="F118" s="19" t="s">
        <v>33</v>
      </c>
      <c r="G118" s="6"/>
      <c r="H118" s="3">
        <v>15</v>
      </c>
      <c r="I118" s="6">
        <v>1397</v>
      </c>
      <c r="J118" s="6"/>
      <c r="K118" s="19">
        <v>3</v>
      </c>
      <c r="L118" s="19">
        <v>123</v>
      </c>
    </row>
    <row r="119" spans="1:12" ht="12.9" customHeight="1" x14ac:dyDescent="0.25">
      <c r="A119" s="1" t="s">
        <v>13</v>
      </c>
      <c r="B119" s="6">
        <v>7</v>
      </c>
      <c r="C119" s="6">
        <v>1711</v>
      </c>
      <c r="D119" s="6"/>
      <c r="E119" s="19" t="s">
        <v>33</v>
      </c>
      <c r="F119" s="19" t="s">
        <v>33</v>
      </c>
      <c r="G119" s="6"/>
      <c r="H119" s="3">
        <v>9</v>
      </c>
      <c r="I119" s="6">
        <v>991</v>
      </c>
      <c r="J119" s="6"/>
      <c r="K119" s="19">
        <v>5</v>
      </c>
      <c r="L119" s="19">
        <v>136</v>
      </c>
    </row>
    <row r="120" spans="1:12" ht="12.9" customHeight="1" x14ac:dyDescent="0.25">
      <c r="A120" s="1" t="s">
        <v>14</v>
      </c>
      <c r="B120" s="6">
        <v>9</v>
      </c>
      <c r="C120" s="6">
        <v>4405</v>
      </c>
      <c r="D120" s="6"/>
      <c r="E120" s="19" t="s">
        <v>33</v>
      </c>
      <c r="F120" s="19" t="s">
        <v>33</v>
      </c>
      <c r="G120" s="6"/>
      <c r="H120" s="3">
        <v>15</v>
      </c>
      <c r="I120" s="6">
        <v>1740</v>
      </c>
      <c r="J120" s="6"/>
      <c r="K120" s="19">
        <v>13</v>
      </c>
      <c r="L120" s="19">
        <v>495</v>
      </c>
    </row>
    <row r="121" spans="1:12" ht="12.9" customHeight="1" x14ac:dyDescent="0.25">
      <c r="A121" s="1" t="s">
        <v>15</v>
      </c>
      <c r="B121" s="6">
        <v>6</v>
      </c>
      <c r="C121" s="6">
        <v>3731</v>
      </c>
      <c r="D121" s="6"/>
      <c r="E121" s="19" t="s">
        <v>33</v>
      </c>
      <c r="F121" s="19" t="s">
        <v>33</v>
      </c>
      <c r="G121" s="6"/>
      <c r="H121" s="3">
        <v>27</v>
      </c>
      <c r="I121" s="6">
        <v>3405</v>
      </c>
      <c r="J121" s="6"/>
      <c r="K121" s="19">
        <v>5</v>
      </c>
      <c r="L121" s="19">
        <v>235</v>
      </c>
    </row>
    <row r="122" spans="1:12" ht="12.9" customHeight="1" x14ac:dyDescent="0.25">
      <c r="A122" s="1" t="s">
        <v>16</v>
      </c>
      <c r="B122" s="6">
        <v>6</v>
      </c>
      <c r="C122" s="6">
        <v>1796</v>
      </c>
      <c r="D122" s="6"/>
      <c r="E122" s="19" t="s">
        <v>33</v>
      </c>
      <c r="F122" s="19" t="s">
        <v>33</v>
      </c>
      <c r="G122" s="6"/>
      <c r="H122" s="3">
        <v>14</v>
      </c>
      <c r="I122" s="6">
        <v>1461</v>
      </c>
      <c r="J122" s="6"/>
      <c r="K122" s="19">
        <v>1</v>
      </c>
      <c r="L122" s="19">
        <v>33</v>
      </c>
    </row>
    <row r="123" spans="1:12" ht="12.9" customHeight="1" x14ac:dyDescent="0.25">
      <c r="A123" s="1" t="s">
        <v>17</v>
      </c>
      <c r="B123" s="6">
        <v>8</v>
      </c>
      <c r="C123" s="6">
        <v>3585</v>
      </c>
      <c r="D123" s="6"/>
      <c r="E123" s="19" t="s">
        <v>33</v>
      </c>
      <c r="F123" s="19" t="s">
        <v>33</v>
      </c>
      <c r="G123" s="6"/>
      <c r="H123" s="3">
        <v>18</v>
      </c>
      <c r="I123" s="6">
        <v>2798</v>
      </c>
      <c r="J123" s="6"/>
      <c r="K123" s="19">
        <v>5</v>
      </c>
      <c r="L123" s="19">
        <v>333</v>
      </c>
    </row>
    <row r="124" spans="1:12" ht="12.9" customHeight="1" x14ac:dyDescent="0.25">
      <c r="A124" s="1" t="s">
        <v>18</v>
      </c>
      <c r="B124" s="6">
        <v>7</v>
      </c>
      <c r="C124" s="6">
        <v>2257</v>
      </c>
      <c r="D124" s="6"/>
      <c r="E124" s="19" t="s">
        <v>33</v>
      </c>
      <c r="F124" s="19" t="s">
        <v>33</v>
      </c>
      <c r="G124" s="6"/>
      <c r="H124" s="3">
        <v>18</v>
      </c>
      <c r="I124" s="6">
        <v>2103</v>
      </c>
      <c r="J124" s="6"/>
      <c r="K124" s="19">
        <v>3</v>
      </c>
      <c r="L124" s="19">
        <v>71</v>
      </c>
    </row>
    <row r="125" spans="1:12" ht="12.9" customHeight="1" x14ac:dyDescent="0.25">
      <c r="A125" s="1" t="s">
        <v>20</v>
      </c>
      <c r="B125" s="6">
        <v>8</v>
      </c>
      <c r="C125" s="6">
        <v>4657</v>
      </c>
      <c r="D125" s="6"/>
      <c r="E125" s="19" t="s">
        <v>33</v>
      </c>
      <c r="F125" s="19" t="s">
        <v>33</v>
      </c>
      <c r="G125" s="6"/>
      <c r="H125" s="3">
        <v>26</v>
      </c>
      <c r="I125" s="6">
        <v>3361</v>
      </c>
      <c r="J125" s="6"/>
      <c r="K125" s="19">
        <v>1</v>
      </c>
      <c r="L125" s="19">
        <v>63</v>
      </c>
    </row>
    <row r="126" spans="1:12" ht="12.9" customHeight="1" x14ac:dyDescent="0.25">
      <c r="A126" s="1" t="s">
        <v>21</v>
      </c>
      <c r="B126" s="6">
        <v>7</v>
      </c>
      <c r="C126" s="6">
        <v>3793</v>
      </c>
      <c r="D126" s="6"/>
      <c r="E126" s="19" t="s">
        <v>33</v>
      </c>
      <c r="F126" s="19" t="s">
        <v>33</v>
      </c>
      <c r="G126" s="6"/>
      <c r="H126" s="3">
        <v>19</v>
      </c>
      <c r="I126" s="6">
        <v>1937</v>
      </c>
      <c r="J126" s="6"/>
      <c r="K126" s="19">
        <v>8</v>
      </c>
      <c r="L126" s="19">
        <v>206</v>
      </c>
    </row>
    <row r="127" spans="1:12" ht="12.9" customHeight="1" x14ac:dyDescent="0.25">
      <c r="A127" s="1" t="s">
        <v>19</v>
      </c>
      <c r="B127" s="6">
        <v>7</v>
      </c>
      <c r="C127" s="6">
        <v>2590</v>
      </c>
      <c r="D127" s="6"/>
      <c r="E127" s="19" t="s">
        <v>33</v>
      </c>
      <c r="F127" s="19" t="s">
        <v>33</v>
      </c>
      <c r="G127" s="6"/>
      <c r="H127" s="3">
        <v>16</v>
      </c>
      <c r="I127" s="6">
        <v>1550</v>
      </c>
      <c r="J127" s="6"/>
      <c r="K127" s="19">
        <v>7</v>
      </c>
      <c r="L127" s="19">
        <v>296</v>
      </c>
    </row>
    <row r="128" spans="1:12" ht="12.9" customHeight="1" x14ac:dyDescent="0.25">
      <c r="A128" s="1" t="s">
        <v>22</v>
      </c>
      <c r="B128" s="6">
        <v>9</v>
      </c>
      <c r="C128" s="6">
        <v>2918</v>
      </c>
      <c r="D128" s="6"/>
      <c r="E128" s="19" t="s">
        <v>33</v>
      </c>
      <c r="F128" s="19" t="s">
        <v>33</v>
      </c>
      <c r="G128" s="6"/>
      <c r="H128" s="3">
        <v>21</v>
      </c>
      <c r="I128" s="6">
        <v>2230</v>
      </c>
      <c r="J128" s="6"/>
      <c r="K128" s="19">
        <v>1</v>
      </c>
      <c r="L128" s="19">
        <v>89</v>
      </c>
    </row>
    <row r="129" spans="1:12" ht="12.9" customHeight="1" x14ac:dyDescent="0.25">
      <c r="A129" s="1" t="s">
        <v>23</v>
      </c>
      <c r="B129" s="6">
        <v>5</v>
      </c>
      <c r="C129" s="6">
        <v>1479</v>
      </c>
      <c r="D129" s="6"/>
      <c r="E129" s="19" t="s">
        <v>33</v>
      </c>
      <c r="F129" s="19" t="s">
        <v>33</v>
      </c>
      <c r="G129" s="6"/>
      <c r="H129" s="3">
        <v>14</v>
      </c>
      <c r="I129" s="6">
        <v>1440</v>
      </c>
      <c r="J129" s="6"/>
      <c r="K129" s="19">
        <v>1</v>
      </c>
      <c r="L129" s="19">
        <v>23</v>
      </c>
    </row>
    <row r="130" spans="1:12" ht="9.15" customHeight="1" x14ac:dyDescent="0.25">
      <c r="A130" s="1"/>
      <c r="B130" s="6"/>
      <c r="C130" s="6"/>
      <c r="D130" s="6"/>
      <c r="E130" s="6"/>
      <c r="F130" s="6"/>
      <c r="G130" s="6"/>
      <c r="H130" s="3"/>
      <c r="I130" s="6"/>
      <c r="J130" s="6"/>
      <c r="K130" s="16"/>
      <c r="L130" s="16"/>
    </row>
    <row r="131" spans="1:12" ht="12.75" customHeight="1" x14ac:dyDescent="0.25">
      <c r="A131" s="10">
        <v>2022</v>
      </c>
      <c r="B131" s="6"/>
      <c r="C131" s="6"/>
      <c r="D131" s="6"/>
      <c r="E131" s="6"/>
      <c r="F131" s="6"/>
      <c r="G131" s="6"/>
      <c r="H131" s="3"/>
      <c r="I131" s="6"/>
      <c r="J131" s="6"/>
      <c r="K131" s="16"/>
      <c r="L131" s="16"/>
    </row>
    <row r="132" spans="1:12" ht="12.75" customHeight="1" x14ac:dyDescent="0.25">
      <c r="A132" s="1"/>
      <c r="B132" s="6"/>
      <c r="C132" s="6"/>
      <c r="D132" s="6"/>
      <c r="E132" s="6"/>
      <c r="F132" s="6"/>
      <c r="G132" s="6"/>
      <c r="H132" s="3"/>
      <c r="I132" s="6"/>
      <c r="J132" s="6"/>
      <c r="K132" s="16"/>
      <c r="L132" s="16"/>
    </row>
    <row r="133" spans="1:12" ht="12.75" customHeight="1" x14ac:dyDescent="0.25">
      <c r="A133" s="1" t="s">
        <v>0</v>
      </c>
      <c r="B133" s="7">
        <f>SUM(B135:B136)</f>
        <v>231</v>
      </c>
      <c r="C133" s="7">
        <f>SUM(C135:C136)</f>
        <v>83109</v>
      </c>
      <c r="D133" s="7"/>
      <c r="E133" s="7">
        <f>SUM(E135:E136)</f>
        <v>344</v>
      </c>
      <c r="F133" s="7">
        <f>SUM(F135:F136)</f>
        <v>22956</v>
      </c>
      <c r="G133" s="7"/>
      <c r="H133" s="7">
        <f>SUM(H135:H136)</f>
        <v>527</v>
      </c>
      <c r="I133" s="7">
        <f>SUM(I135:I136)</f>
        <v>61630</v>
      </c>
      <c r="J133" s="7"/>
      <c r="K133" s="7">
        <f>SUM(K135:K136)</f>
        <v>271</v>
      </c>
      <c r="L133" s="7">
        <f>SUM(L135:L136)</f>
        <v>11700</v>
      </c>
    </row>
    <row r="134" spans="1:12" ht="12.75" customHeight="1" x14ac:dyDescent="0.25">
      <c r="A134" s="8"/>
      <c r="B134" s="6"/>
      <c r="C134" s="6"/>
      <c r="D134" s="6"/>
      <c r="E134" s="19"/>
      <c r="F134" s="19"/>
      <c r="G134" s="6"/>
      <c r="H134" s="17"/>
      <c r="I134" s="17"/>
      <c r="J134" s="17"/>
      <c r="K134" s="19"/>
      <c r="L134" s="19"/>
    </row>
    <row r="135" spans="1:12" ht="12.75" customHeight="1" x14ac:dyDescent="0.25">
      <c r="A135" s="1" t="s">
        <v>1</v>
      </c>
      <c r="B135" s="6">
        <v>79</v>
      </c>
      <c r="C135" s="6">
        <v>24881</v>
      </c>
      <c r="D135" s="6"/>
      <c r="E135" s="19">
        <v>165</v>
      </c>
      <c r="F135" s="19">
        <v>13004</v>
      </c>
      <c r="G135" s="6"/>
      <c r="H135" s="3">
        <v>146</v>
      </c>
      <c r="I135" s="6">
        <v>16913</v>
      </c>
      <c r="J135" s="6"/>
      <c r="K135" s="19">
        <v>153</v>
      </c>
      <c r="L135" s="19">
        <v>6539</v>
      </c>
    </row>
    <row r="136" spans="1:12" ht="12.75" customHeight="1" x14ac:dyDescent="0.25">
      <c r="A136" s="1" t="s">
        <v>2</v>
      </c>
      <c r="B136" s="6">
        <f>SUM(B137:B154)</f>
        <v>152</v>
      </c>
      <c r="C136" s="6">
        <f>SUM(C137:C154)</f>
        <v>58228</v>
      </c>
      <c r="D136" s="6"/>
      <c r="E136" s="6">
        <f>SUM(E137:E154)</f>
        <v>179</v>
      </c>
      <c r="F136" s="6">
        <f>SUM(F137:F154)</f>
        <v>9952</v>
      </c>
      <c r="G136" s="6"/>
      <c r="H136" s="6">
        <f>SUM(H137:H154)</f>
        <v>381</v>
      </c>
      <c r="I136" s="6">
        <f>SUM(I137:I154)</f>
        <v>44717</v>
      </c>
      <c r="J136" s="6"/>
      <c r="K136" s="6">
        <f>SUM(K137:K154)</f>
        <v>118</v>
      </c>
      <c r="L136" s="6">
        <f>SUM(L137:L154)</f>
        <v>5161</v>
      </c>
    </row>
    <row r="137" spans="1:12" ht="12.75" customHeight="1" x14ac:dyDescent="0.25">
      <c r="A137" s="1" t="s">
        <v>6</v>
      </c>
      <c r="B137" s="6">
        <v>5</v>
      </c>
      <c r="C137" s="6">
        <v>2569</v>
      </c>
      <c r="D137" s="6"/>
      <c r="E137" s="19">
        <v>3</v>
      </c>
      <c r="F137" s="19">
        <v>195</v>
      </c>
      <c r="G137" s="6"/>
      <c r="H137" s="3">
        <v>21</v>
      </c>
      <c r="I137" s="6">
        <v>2583</v>
      </c>
      <c r="J137" s="6"/>
      <c r="K137" s="19">
        <v>2</v>
      </c>
      <c r="L137" s="19">
        <v>73</v>
      </c>
    </row>
    <row r="138" spans="1:12" ht="12.75" customHeight="1" x14ac:dyDescent="0.25">
      <c r="A138" s="1" t="s">
        <v>7</v>
      </c>
      <c r="B138" s="6">
        <v>43</v>
      </c>
      <c r="C138" s="6">
        <v>14531</v>
      </c>
      <c r="D138" s="6"/>
      <c r="E138" s="19">
        <v>62</v>
      </c>
      <c r="F138" s="19">
        <v>3201</v>
      </c>
      <c r="G138" s="6"/>
      <c r="H138" s="3">
        <v>76</v>
      </c>
      <c r="I138" s="6">
        <v>9325</v>
      </c>
      <c r="J138" s="6"/>
      <c r="K138" s="19">
        <v>51</v>
      </c>
      <c r="L138" s="19">
        <v>2155</v>
      </c>
    </row>
    <row r="139" spans="1:12" ht="12.75" customHeight="1" x14ac:dyDescent="0.25">
      <c r="A139" s="1" t="s">
        <v>8</v>
      </c>
      <c r="B139" s="6">
        <v>7</v>
      </c>
      <c r="C139" s="6">
        <v>2678</v>
      </c>
      <c r="D139" s="6"/>
      <c r="E139" s="19">
        <v>6</v>
      </c>
      <c r="F139" s="19">
        <v>162</v>
      </c>
      <c r="G139" s="6"/>
      <c r="H139" s="3">
        <v>21</v>
      </c>
      <c r="I139" s="6">
        <v>3064</v>
      </c>
      <c r="J139" s="6"/>
      <c r="K139" s="19">
        <v>7</v>
      </c>
      <c r="L139" s="19" t="s">
        <v>24</v>
      </c>
    </row>
    <row r="140" spans="1:12" ht="12.75" customHeight="1" x14ac:dyDescent="0.25">
      <c r="A140" s="1" t="s">
        <v>9</v>
      </c>
      <c r="B140" s="6">
        <v>7</v>
      </c>
      <c r="C140" s="6">
        <v>3513</v>
      </c>
      <c r="D140" s="6"/>
      <c r="E140" s="19">
        <v>9</v>
      </c>
      <c r="F140" s="19">
        <v>505</v>
      </c>
      <c r="G140" s="6"/>
      <c r="H140" s="3">
        <v>19</v>
      </c>
      <c r="I140" s="6">
        <v>2154</v>
      </c>
      <c r="J140" s="6"/>
      <c r="K140" s="19" t="s">
        <v>24</v>
      </c>
      <c r="L140" s="19">
        <v>386</v>
      </c>
    </row>
    <row r="141" spans="1:12" ht="12.75" customHeight="1" x14ac:dyDescent="0.25">
      <c r="A141" s="1" t="s">
        <v>10</v>
      </c>
      <c r="B141" s="6">
        <v>5</v>
      </c>
      <c r="C141" s="6">
        <v>1619</v>
      </c>
      <c r="D141" s="6"/>
      <c r="E141" s="19">
        <v>3</v>
      </c>
      <c r="F141" s="19">
        <v>132</v>
      </c>
      <c r="G141" s="6"/>
      <c r="H141" s="3">
        <v>19</v>
      </c>
      <c r="I141" s="6">
        <v>1857</v>
      </c>
      <c r="J141" s="6"/>
      <c r="K141" s="19">
        <v>2</v>
      </c>
      <c r="L141" s="19">
        <v>179</v>
      </c>
    </row>
    <row r="142" spans="1:12" ht="12.75" customHeight="1" x14ac:dyDescent="0.25">
      <c r="A142" s="1" t="s">
        <v>11</v>
      </c>
      <c r="B142" s="6">
        <v>2</v>
      </c>
      <c r="C142" s="6">
        <v>647</v>
      </c>
      <c r="D142" s="6"/>
      <c r="E142" s="19">
        <v>2</v>
      </c>
      <c r="F142" s="19">
        <v>125</v>
      </c>
      <c r="G142" s="6"/>
      <c r="H142" s="3">
        <v>9</v>
      </c>
      <c r="I142" s="6">
        <v>746</v>
      </c>
      <c r="J142" s="6"/>
      <c r="K142" s="19">
        <v>1</v>
      </c>
      <c r="L142" s="19">
        <v>76</v>
      </c>
    </row>
    <row r="143" spans="1:12" ht="12.75" customHeight="1" x14ac:dyDescent="0.25">
      <c r="A143" s="1" t="s">
        <v>12</v>
      </c>
      <c r="B143" s="6">
        <v>4</v>
      </c>
      <c r="C143" s="6">
        <v>1763</v>
      </c>
      <c r="D143" s="6"/>
      <c r="E143" s="19">
        <v>5</v>
      </c>
      <c r="F143" s="19">
        <v>149</v>
      </c>
      <c r="G143" s="6"/>
      <c r="H143" s="3">
        <v>15</v>
      </c>
      <c r="I143" s="6">
        <v>1370</v>
      </c>
      <c r="J143" s="6"/>
      <c r="K143" s="19">
        <v>4</v>
      </c>
      <c r="L143" s="19">
        <v>233</v>
      </c>
    </row>
    <row r="144" spans="1:12" ht="12.75" customHeight="1" x14ac:dyDescent="0.25">
      <c r="A144" s="1" t="s">
        <v>13</v>
      </c>
      <c r="B144" s="6">
        <v>7</v>
      </c>
      <c r="C144" s="6">
        <v>1611</v>
      </c>
      <c r="D144" s="6"/>
      <c r="E144" s="19">
        <v>5</v>
      </c>
      <c r="F144" s="19">
        <v>186</v>
      </c>
      <c r="G144" s="6"/>
      <c r="H144" s="3">
        <v>9</v>
      </c>
      <c r="I144" s="6">
        <v>963</v>
      </c>
      <c r="J144" s="6"/>
      <c r="K144" s="19">
        <v>6</v>
      </c>
      <c r="L144" s="19">
        <v>138</v>
      </c>
    </row>
    <row r="145" spans="1:12" ht="12.75" customHeight="1" x14ac:dyDescent="0.25">
      <c r="A145" s="1" t="s">
        <v>14</v>
      </c>
      <c r="B145" s="6">
        <v>9</v>
      </c>
      <c r="C145" s="6">
        <v>4074</v>
      </c>
      <c r="D145" s="6"/>
      <c r="E145" s="19">
        <v>29</v>
      </c>
      <c r="F145" s="19">
        <v>1828</v>
      </c>
      <c r="G145" s="6"/>
      <c r="H145" s="3">
        <v>15</v>
      </c>
      <c r="I145" s="6">
        <v>1724</v>
      </c>
      <c r="J145" s="6"/>
      <c r="K145" s="19">
        <v>14</v>
      </c>
      <c r="L145" s="19">
        <v>677</v>
      </c>
    </row>
    <row r="146" spans="1:12" ht="12.75" customHeight="1" x14ac:dyDescent="0.25">
      <c r="A146" s="1" t="s">
        <v>15</v>
      </c>
      <c r="B146" s="6">
        <v>6</v>
      </c>
      <c r="C146" s="6">
        <v>3493</v>
      </c>
      <c r="D146" s="6"/>
      <c r="E146" s="19">
        <v>8</v>
      </c>
      <c r="F146" s="19">
        <v>550</v>
      </c>
      <c r="G146" s="6"/>
      <c r="H146" s="3">
        <v>27</v>
      </c>
      <c r="I146" s="6">
        <v>3338</v>
      </c>
      <c r="J146" s="6"/>
      <c r="K146" s="19">
        <v>3</v>
      </c>
      <c r="L146" s="19">
        <v>148</v>
      </c>
    </row>
    <row r="147" spans="1:12" ht="12.75" customHeight="1" x14ac:dyDescent="0.25">
      <c r="A147" s="1" t="s">
        <v>16</v>
      </c>
      <c r="B147" s="6">
        <v>6</v>
      </c>
      <c r="C147" s="6">
        <v>1682</v>
      </c>
      <c r="D147" s="6"/>
      <c r="E147" s="19">
        <v>6</v>
      </c>
      <c r="F147" s="19">
        <v>266</v>
      </c>
      <c r="G147" s="6"/>
      <c r="H147" s="3">
        <v>14</v>
      </c>
      <c r="I147" s="6">
        <v>1493</v>
      </c>
      <c r="J147" s="6"/>
      <c r="K147" s="19">
        <v>3</v>
      </c>
      <c r="L147" s="19">
        <v>65</v>
      </c>
    </row>
    <row r="148" spans="1:12" ht="12.75" customHeight="1" x14ac:dyDescent="0.25">
      <c r="A148" s="1" t="s">
        <v>17</v>
      </c>
      <c r="B148" s="6">
        <v>8</v>
      </c>
      <c r="C148" s="6">
        <v>3462</v>
      </c>
      <c r="D148" s="6"/>
      <c r="E148" s="19">
        <v>5</v>
      </c>
      <c r="F148" s="19">
        <v>291</v>
      </c>
      <c r="G148" s="6"/>
      <c r="H148" s="3">
        <v>18</v>
      </c>
      <c r="I148" s="6">
        <v>2873</v>
      </c>
      <c r="J148" s="6"/>
      <c r="K148" s="19">
        <v>5</v>
      </c>
      <c r="L148" s="19">
        <v>280</v>
      </c>
    </row>
    <row r="149" spans="1:12" ht="12.75" customHeight="1" x14ac:dyDescent="0.25">
      <c r="A149" s="1" t="s">
        <v>18</v>
      </c>
      <c r="B149" s="6">
        <v>7</v>
      </c>
      <c r="C149" s="6">
        <v>2118</v>
      </c>
      <c r="D149" s="6"/>
      <c r="E149" s="19">
        <v>3</v>
      </c>
      <c r="F149" s="19">
        <v>193</v>
      </c>
      <c r="G149" s="6"/>
      <c r="H149" s="3">
        <v>18</v>
      </c>
      <c r="I149" s="6">
        <v>2031</v>
      </c>
      <c r="J149" s="6"/>
      <c r="K149" s="19">
        <v>2</v>
      </c>
      <c r="L149" s="19">
        <v>36</v>
      </c>
    </row>
    <row r="150" spans="1:12" ht="12.75" customHeight="1" x14ac:dyDescent="0.25">
      <c r="A150" s="1" t="s">
        <v>20</v>
      </c>
      <c r="B150" s="6">
        <v>8</v>
      </c>
      <c r="C150" s="6">
        <v>4358</v>
      </c>
      <c r="D150" s="6"/>
      <c r="E150" s="19">
        <v>13</v>
      </c>
      <c r="F150" s="19">
        <v>869</v>
      </c>
      <c r="G150" s="6"/>
      <c r="H150" s="3">
        <v>27</v>
      </c>
      <c r="I150" s="6">
        <v>3925</v>
      </c>
      <c r="J150" s="6"/>
      <c r="K150" s="19">
        <v>1</v>
      </c>
      <c r="L150" s="19">
        <v>65</v>
      </c>
    </row>
    <row r="151" spans="1:12" ht="12.75" customHeight="1" x14ac:dyDescent="0.25">
      <c r="A151" s="1" t="s">
        <v>21</v>
      </c>
      <c r="B151" s="6">
        <v>7</v>
      </c>
      <c r="C151" s="6">
        <v>3501</v>
      </c>
      <c r="D151" s="6"/>
      <c r="E151" s="19">
        <v>7</v>
      </c>
      <c r="F151" s="19">
        <v>500</v>
      </c>
      <c r="G151" s="6"/>
      <c r="H151" s="3">
        <v>20</v>
      </c>
      <c r="I151" s="6">
        <v>2064</v>
      </c>
      <c r="J151" s="6"/>
      <c r="K151" s="19">
        <v>9</v>
      </c>
      <c r="L151" s="19">
        <v>256</v>
      </c>
    </row>
    <row r="152" spans="1:12" ht="12.75" customHeight="1" x14ac:dyDescent="0.25">
      <c r="A152" s="1" t="s">
        <v>19</v>
      </c>
      <c r="B152" s="6">
        <v>7</v>
      </c>
      <c r="C152" s="6">
        <v>2512</v>
      </c>
      <c r="D152" s="6"/>
      <c r="E152" s="19">
        <v>4</v>
      </c>
      <c r="F152" s="19">
        <v>248</v>
      </c>
      <c r="G152" s="6"/>
      <c r="H152" s="3">
        <v>18</v>
      </c>
      <c r="I152" s="6">
        <v>1660</v>
      </c>
      <c r="J152" s="6"/>
      <c r="K152" s="19">
        <v>7</v>
      </c>
      <c r="L152" s="19">
        <v>310</v>
      </c>
    </row>
    <row r="153" spans="1:12" ht="12.75" customHeight="1" x14ac:dyDescent="0.25">
      <c r="A153" s="1" t="s">
        <v>22</v>
      </c>
      <c r="B153" s="6">
        <v>9</v>
      </c>
      <c r="C153" s="6">
        <v>2685</v>
      </c>
      <c r="D153" s="6"/>
      <c r="E153" s="19">
        <v>8</v>
      </c>
      <c r="F153" s="19">
        <v>509</v>
      </c>
      <c r="G153" s="6"/>
      <c r="H153" s="3">
        <v>21</v>
      </c>
      <c r="I153" s="6">
        <v>2202</v>
      </c>
      <c r="J153" s="6"/>
      <c r="K153" s="19">
        <v>1</v>
      </c>
      <c r="L153" s="19">
        <v>84</v>
      </c>
    </row>
    <row r="154" spans="1:12" ht="12.75" customHeight="1" x14ac:dyDescent="0.25">
      <c r="A154" s="1" t="s">
        <v>23</v>
      </c>
      <c r="B154" s="6">
        <v>5</v>
      </c>
      <c r="C154" s="6">
        <v>1412</v>
      </c>
      <c r="D154" s="6"/>
      <c r="E154" s="19">
        <v>1</v>
      </c>
      <c r="F154" s="19">
        <v>43</v>
      </c>
      <c r="G154" s="6"/>
      <c r="H154" s="3">
        <v>14</v>
      </c>
      <c r="I154" s="6">
        <v>1345</v>
      </c>
      <c r="J154" s="6"/>
      <c r="K154" s="19" t="s">
        <v>24</v>
      </c>
      <c r="L154" s="19" t="s">
        <v>24</v>
      </c>
    </row>
    <row r="155" spans="1:12" ht="9.15" customHeight="1" x14ac:dyDescent="0.25">
      <c r="A155" s="1"/>
      <c r="B155" s="6"/>
      <c r="C155" s="6"/>
      <c r="D155" s="6"/>
      <c r="E155" s="6"/>
      <c r="F155" s="6"/>
      <c r="G155" s="6"/>
      <c r="H155" s="3"/>
      <c r="I155" s="6"/>
      <c r="J155" s="6"/>
      <c r="K155" s="16"/>
      <c r="L155" s="16"/>
    </row>
    <row r="156" spans="1:12" ht="12.75" customHeight="1" x14ac:dyDescent="0.25">
      <c r="A156" s="10">
        <v>2023</v>
      </c>
      <c r="B156" s="6"/>
      <c r="C156" s="6"/>
      <c r="D156" s="6"/>
      <c r="E156" s="6"/>
      <c r="F156" s="6"/>
      <c r="G156" s="6"/>
      <c r="H156" s="3"/>
      <c r="I156" s="6"/>
      <c r="J156" s="6"/>
      <c r="K156" s="16"/>
      <c r="L156" s="16"/>
    </row>
    <row r="157" spans="1:12" ht="12.75" customHeight="1" x14ac:dyDescent="0.25">
      <c r="A157" s="1"/>
      <c r="B157" s="6"/>
      <c r="C157" s="6"/>
      <c r="D157" s="6"/>
      <c r="E157" s="6"/>
      <c r="F157" s="6"/>
      <c r="G157" s="6"/>
      <c r="H157" s="3"/>
      <c r="I157" s="6"/>
      <c r="J157" s="6"/>
      <c r="K157" s="16"/>
      <c r="L157" s="16"/>
    </row>
    <row r="158" spans="1:12" ht="12.75" customHeight="1" x14ac:dyDescent="0.25">
      <c r="A158" s="1" t="s">
        <v>0</v>
      </c>
      <c r="B158" s="7">
        <f>SUM(B160:B161)</f>
        <v>231</v>
      </c>
      <c r="C158" s="7">
        <f>SUM(C160:C161)</f>
        <v>77664</v>
      </c>
      <c r="D158" s="7"/>
      <c r="E158" s="7">
        <f>SUM(E160:E161)</f>
        <v>352</v>
      </c>
      <c r="F158" s="7">
        <f>SUM(F160:F161)</f>
        <v>18045</v>
      </c>
      <c r="G158" s="7"/>
      <c r="H158" s="7">
        <f>SUM(H160:H161)</f>
        <v>525</v>
      </c>
      <c r="I158" s="7">
        <f>SUM(I160:I161)</f>
        <v>60797</v>
      </c>
      <c r="J158" s="7"/>
      <c r="K158" s="7">
        <f>SUM(K160:K161)</f>
        <v>212</v>
      </c>
      <c r="L158" s="7">
        <f>SUM(L160:L161)</f>
        <v>10679</v>
      </c>
    </row>
    <row r="159" spans="1:12" ht="12.75" customHeight="1" x14ac:dyDescent="0.25">
      <c r="A159" s="8"/>
      <c r="B159" s="6"/>
      <c r="C159" s="6"/>
      <c r="D159" s="6"/>
      <c r="E159" s="19"/>
      <c r="F159" s="19"/>
      <c r="G159" s="6"/>
      <c r="H159" s="17"/>
      <c r="I159" s="17"/>
      <c r="J159" s="17"/>
      <c r="K159" s="19"/>
      <c r="L159" s="19"/>
    </row>
    <row r="160" spans="1:12" ht="12.75" customHeight="1" x14ac:dyDescent="0.25">
      <c r="A160" s="1" t="s">
        <v>1</v>
      </c>
      <c r="B160" s="6">
        <v>79</v>
      </c>
      <c r="C160" s="6">
        <v>22903</v>
      </c>
      <c r="D160" s="6"/>
      <c r="E160" s="19">
        <v>167</v>
      </c>
      <c r="F160" s="19">
        <v>10476</v>
      </c>
      <c r="G160" s="6"/>
      <c r="H160" s="3">
        <v>146</v>
      </c>
      <c r="I160" s="6">
        <v>16761</v>
      </c>
      <c r="J160" s="6"/>
      <c r="K160" s="19">
        <v>119</v>
      </c>
      <c r="L160" s="19">
        <v>6376</v>
      </c>
    </row>
    <row r="161" spans="1:12" ht="12.75" customHeight="1" x14ac:dyDescent="0.25">
      <c r="A161" s="1" t="s">
        <v>2</v>
      </c>
      <c r="B161" s="6">
        <f>SUM(B162:B179)</f>
        <v>152</v>
      </c>
      <c r="C161" s="6">
        <f>SUM(C162:C179)</f>
        <v>54761</v>
      </c>
      <c r="D161" s="6"/>
      <c r="E161" s="6">
        <f>SUM(E162:E179)</f>
        <v>185</v>
      </c>
      <c r="F161" s="6">
        <f>SUM(F162:F179)</f>
        <v>7569</v>
      </c>
      <c r="G161" s="6"/>
      <c r="H161" s="6">
        <f>SUM(H162:H179)</f>
        <v>379</v>
      </c>
      <c r="I161" s="6">
        <f>SUM(I162:I179)</f>
        <v>44036</v>
      </c>
      <c r="J161" s="6"/>
      <c r="K161" s="6">
        <f>SUM(K162:K179)</f>
        <v>93</v>
      </c>
      <c r="L161" s="6">
        <f>SUM(L162:L179)</f>
        <v>4303</v>
      </c>
    </row>
    <row r="162" spans="1:12" ht="12.75" customHeight="1" x14ac:dyDescent="0.25">
      <c r="A162" s="1" t="s">
        <v>6</v>
      </c>
      <c r="B162" s="6">
        <v>5</v>
      </c>
      <c r="C162" s="6">
        <v>2438</v>
      </c>
      <c r="D162" s="6"/>
      <c r="E162" s="19">
        <v>3</v>
      </c>
      <c r="F162" s="19">
        <v>206</v>
      </c>
      <c r="G162" s="6"/>
      <c r="H162" s="3">
        <v>21</v>
      </c>
      <c r="I162" s="6">
        <v>2611</v>
      </c>
      <c r="J162" s="6"/>
      <c r="K162" s="19">
        <v>3</v>
      </c>
      <c r="L162" s="19">
        <v>89</v>
      </c>
    </row>
    <row r="163" spans="1:12" ht="12.75" customHeight="1" x14ac:dyDescent="0.25">
      <c r="A163" s="1" t="s">
        <v>7</v>
      </c>
      <c r="B163" s="6">
        <v>43</v>
      </c>
      <c r="C163" s="6">
        <v>13549</v>
      </c>
      <c r="D163" s="6"/>
      <c r="E163" s="19">
        <v>65</v>
      </c>
      <c r="F163" s="19">
        <v>2417</v>
      </c>
      <c r="G163" s="6"/>
      <c r="H163" s="3">
        <v>76</v>
      </c>
      <c r="I163" s="6">
        <v>9505</v>
      </c>
      <c r="J163" s="6"/>
      <c r="K163" s="19">
        <v>41</v>
      </c>
      <c r="L163" s="19">
        <v>1819</v>
      </c>
    </row>
    <row r="164" spans="1:12" ht="12.75" customHeight="1" x14ac:dyDescent="0.25">
      <c r="A164" s="1" t="s">
        <v>8</v>
      </c>
      <c r="B164" s="6">
        <v>7</v>
      </c>
      <c r="C164" s="6">
        <v>2593</v>
      </c>
      <c r="D164" s="6"/>
      <c r="E164" s="19">
        <v>6</v>
      </c>
      <c r="F164" s="19">
        <v>96</v>
      </c>
      <c r="G164" s="6"/>
      <c r="H164" s="3">
        <v>21</v>
      </c>
      <c r="I164" s="6">
        <v>2930</v>
      </c>
      <c r="J164" s="6"/>
      <c r="K164" s="19" t="s">
        <v>24</v>
      </c>
      <c r="L164" s="19" t="s">
        <v>24</v>
      </c>
    </row>
    <row r="165" spans="1:12" ht="12.75" customHeight="1" x14ac:dyDescent="0.25">
      <c r="A165" s="1" t="s">
        <v>9</v>
      </c>
      <c r="B165" s="6">
        <v>7</v>
      </c>
      <c r="C165" s="6">
        <v>3344</v>
      </c>
      <c r="D165" s="6"/>
      <c r="E165" s="19">
        <v>12</v>
      </c>
      <c r="F165" s="19">
        <v>382</v>
      </c>
      <c r="G165" s="6"/>
      <c r="H165" s="3">
        <v>19</v>
      </c>
      <c r="I165" s="6">
        <v>2100</v>
      </c>
      <c r="J165" s="6"/>
      <c r="K165" s="19">
        <v>5</v>
      </c>
      <c r="L165" s="19">
        <v>273</v>
      </c>
    </row>
    <row r="166" spans="1:12" ht="12.75" customHeight="1" x14ac:dyDescent="0.25">
      <c r="A166" s="1" t="s">
        <v>10</v>
      </c>
      <c r="B166" s="6">
        <v>5</v>
      </c>
      <c r="C166" s="6">
        <v>1483</v>
      </c>
      <c r="D166" s="6"/>
      <c r="E166" s="19">
        <v>3</v>
      </c>
      <c r="F166" s="19">
        <v>103</v>
      </c>
      <c r="G166" s="6"/>
      <c r="H166" s="3">
        <v>19</v>
      </c>
      <c r="I166" s="6">
        <v>1782</v>
      </c>
      <c r="J166" s="6"/>
      <c r="K166" s="19">
        <v>2</v>
      </c>
      <c r="L166" s="19">
        <v>154</v>
      </c>
    </row>
    <row r="167" spans="1:12" ht="12.75" customHeight="1" x14ac:dyDescent="0.25">
      <c r="A167" s="1" t="s">
        <v>11</v>
      </c>
      <c r="B167" s="6">
        <v>2</v>
      </c>
      <c r="C167" s="6">
        <v>582</v>
      </c>
      <c r="D167" s="6"/>
      <c r="E167" s="19">
        <v>3</v>
      </c>
      <c r="F167" s="19">
        <v>95</v>
      </c>
      <c r="G167" s="6"/>
      <c r="H167" s="3">
        <v>9</v>
      </c>
      <c r="I167" s="6">
        <v>732</v>
      </c>
      <c r="J167" s="6"/>
      <c r="K167" s="19">
        <v>1</v>
      </c>
      <c r="L167" s="19">
        <v>78</v>
      </c>
    </row>
    <row r="168" spans="1:12" ht="12.75" customHeight="1" x14ac:dyDescent="0.25">
      <c r="A168" s="1" t="s">
        <v>12</v>
      </c>
      <c r="B168" s="6">
        <v>4</v>
      </c>
      <c r="C168" s="6">
        <v>1704</v>
      </c>
      <c r="D168" s="6"/>
      <c r="E168" s="19">
        <v>3</v>
      </c>
      <c r="F168" s="19">
        <v>68</v>
      </c>
      <c r="G168" s="6"/>
      <c r="H168" s="3">
        <v>15</v>
      </c>
      <c r="I168" s="6">
        <v>1454</v>
      </c>
      <c r="J168" s="6"/>
      <c r="K168" s="19">
        <v>3</v>
      </c>
      <c r="L168" s="19">
        <v>182</v>
      </c>
    </row>
    <row r="169" spans="1:12" ht="12.75" customHeight="1" x14ac:dyDescent="0.25">
      <c r="A169" s="1" t="s">
        <v>13</v>
      </c>
      <c r="B169" s="6">
        <v>7</v>
      </c>
      <c r="C169" s="6">
        <v>1504</v>
      </c>
      <c r="D169" s="6"/>
      <c r="E169" s="19">
        <v>6</v>
      </c>
      <c r="F169" s="19">
        <v>116</v>
      </c>
      <c r="G169" s="6"/>
      <c r="H169" s="3">
        <v>9</v>
      </c>
      <c r="I169" s="6">
        <v>973</v>
      </c>
      <c r="J169" s="6"/>
      <c r="K169" s="19">
        <v>4</v>
      </c>
      <c r="L169" s="19">
        <v>121</v>
      </c>
    </row>
    <row r="170" spans="1:12" ht="12.75" customHeight="1" x14ac:dyDescent="0.25">
      <c r="A170" s="1" t="s">
        <v>14</v>
      </c>
      <c r="B170" s="6">
        <v>9</v>
      </c>
      <c r="C170" s="6">
        <v>3968</v>
      </c>
      <c r="D170" s="6"/>
      <c r="E170" s="19">
        <v>30</v>
      </c>
      <c r="F170" s="19">
        <v>1561</v>
      </c>
      <c r="G170" s="6"/>
      <c r="H170" s="3">
        <v>15</v>
      </c>
      <c r="I170" s="6">
        <v>1834</v>
      </c>
      <c r="J170" s="6"/>
      <c r="K170" s="19">
        <v>7</v>
      </c>
      <c r="L170" s="19">
        <v>354</v>
      </c>
    </row>
    <row r="171" spans="1:12" ht="12.75" customHeight="1" x14ac:dyDescent="0.25">
      <c r="A171" s="1" t="s">
        <v>15</v>
      </c>
      <c r="B171" s="6">
        <v>6</v>
      </c>
      <c r="C171" s="6">
        <v>3235</v>
      </c>
      <c r="D171" s="6"/>
      <c r="E171" s="19">
        <v>9</v>
      </c>
      <c r="F171" s="19">
        <v>428</v>
      </c>
      <c r="G171" s="6"/>
      <c r="H171" s="3">
        <v>27</v>
      </c>
      <c r="I171" s="6">
        <v>3277</v>
      </c>
      <c r="J171" s="6"/>
      <c r="K171" s="19">
        <v>4</v>
      </c>
      <c r="L171" s="19">
        <v>206</v>
      </c>
    </row>
    <row r="172" spans="1:12" ht="12.75" customHeight="1" x14ac:dyDescent="0.25">
      <c r="A172" s="1" t="s">
        <v>16</v>
      </c>
      <c r="B172" s="6">
        <v>6</v>
      </c>
      <c r="C172" s="6">
        <v>1532</v>
      </c>
      <c r="D172" s="6"/>
      <c r="E172" s="19">
        <v>7</v>
      </c>
      <c r="F172" s="19">
        <v>173</v>
      </c>
      <c r="G172" s="6"/>
      <c r="H172" s="3">
        <v>14</v>
      </c>
      <c r="I172" s="6">
        <v>1458</v>
      </c>
      <c r="J172" s="6"/>
      <c r="K172" s="19">
        <v>2</v>
      </c>
      <c r="L172" s="19">
        <v>71</v>
      </c>
    </row>
    <row r="173" spans="1:12" ht="12.75" customHeight="1" x14ac:dyDescent="0.25">
      <c r="A173" s="1" t="s">
        <v>17</v>
      </c>
      <c r="B173" s="6">
        <v>8</v>
      </c>
      <c r="C173" s="6">
        <v>3415</v>
      </c>
      <c r="D173" s="6"/>
      <c r="E173" s="19">
        <v>8</v>
      </c>
      <c r="F173" s="19">
        <v>278</v>
      </c>
      <c r="G173" s="6"/>
      <c r="H173" s="3">
        <v>18</v>
      </c>
      <c r="I173" s="6">
        <v>2903</v>
      </c>
      <c r="J173" s="6"/>
      <c r="K173" s="19">
        <v>2</v>
      </c>
      <c r="L173" s="19">
        <v>181</v>
      </c>
    </row>
    <row r="174" spans="1:12" ht="12.75" customHeight="1" x14ac:dyDescent="0.25">
      <c r="A174" s="1" t="s">
        <v>18</v>
      </c>
      <c r="B174" s="6">
        <v>7</v>
      </c>
      <c r="C174" s="6">
        <v>2007</v>
      </c>
      <c r="D174" s="6"/>
      <c r="E174" s="19">
        <v>4</v>
      </c>
      <c r="F174" s="19">
        <v>157</v>
      </c>
      <c r="G174" s="6"/>
      <c r="H174" s="3">
        <v>18</v>
      </c>
      <c r="I174" s="6">
        <v>2025</v>
      </c>
      <c r="J174" s="6"/>
      <c r="K174" s="19">
        <v>3</v>
      </c>
      <c r="L174" s="19">
        <v>82</v>
      </c>
    </row>
    <row r="175" spans="1:12" ht="12.75" customHeight="1" x14ac:dyDescent="0.25">
      <c r="A175" s="1" t="s">
        <v>20</v>
      </c>
      <c r="B175" s="6">
        <v>8</v>
      </c>
      <c r="C175" s="6">
        <v>4108</v>
      </c>
      <c r="D175" s="6"/>
      <c r="E175" s="19">
        <v>8</v>
      </c>
      <c r="F175" s="19">
        <v>599</v>
      </c>
      <c r="G175" s="6"/>
      <c r="H175" s="3">
        <v>27</v>
      </c>
      <c r="I175" s="6">
        <v>3516</v>
      </c>
      <c r="J175" s="6"/>
      <c r="K175" s="19">
        <v>2</v>
      </c>
      <c r="L175" s="19">
        <v>89</v>
      </c>
    </row>
    <row r="176" spans="1:12" ht="12.75" customHeight="1" x14ac:dyDescent="0.25">
      <c r="A176" s="1" t="s">
        <v>21</v>
      </c>
      <c r="B176" s="6">
        <v>7</v>
      </c>
      <c r="C176" s="6">
        <v>3128</v>
      </c>
      <c r="D176" s="6"/>
      <c r="E176" s="19">
        <v>7</v>
      </c>
      <c r="F176" s="19">
        <v>340</v>
      </c>
      <c r="G176" s="6"/>
      <c r="H176" s="3">
        <v>20</v>
      </c>
      <c r="I176" s="6">
        <v>2037</v>
      </c>
      <c r="J176" s="6"/>
      <c r="K176" s="19">
        <v>6</v>
      </c>
      <c r="L176" s="19">
        <v>186</v>
      </c>
    </row>
    <row r="177" spans="1:12" ht="12.75" customHeight="1" x14ac:dyDescent="0.25">
      <c r="A177" s="1" t="s">
        <v>19</v>
      </c>
      <c r="B177" s="6">
        <v>7</v>
      </c>
      <c r="C177" s="6">
        <v>2296</v>
      </c>
      <c r="D177" s="6"/>
      <c r="E177" s="19">
        <v>3</v>
      </c>
      <c r="F177" s="19">
        <v>173</v>
      </c>
      <c r="G177" s="6"/>
      <c r="H177" s="3">
        <v>18</v>
      </c>
      <c r="I177" s="6">
        <v>1649</v>
      </c>
      <c r="J177" s="6"/>
      <c r="K177" s="19">
        <v>7</v>
      </c>
      <c r="L177" s="19">
        <v>333</v>
      </c>
    </row>
    <row r="178" spans="1:12" ht="12.75" customHeight="1" x14ac:dyDescent="0.25">
      <c r="A178" s="1" t="s">
        <v>22</v>
      </c>
      <c r="B178" s="6">
        <v>9</v>
      </c>
      <c r="C178" s="6">
        <v>2586</v>
      </c>
      <c r="D178" s="6"/>
      <c r="E178" s="19">
        <v>7</v>
      </c>
      <c r="F178" s="19">
        <v>335</v>
      </c>
      <c r="G178" s="6"/>
      <c r="H178" s="3">
        <v>19</v>
      </c>
      <c r="I178" s="6">
        <v>2005</v>
      </c>
      <c r="J178" s="6"/>
      <c r="K178" s="19">
        <v>1</v>
      </c>
      <c r="L178" s="19">
        <v>85</v>
      </c>
    </row>
    <row r="179" spans="1:12" ht="12.75" customHeight="1" x14ac:dyDescent="0.25">
      <c r="A179" s="1" t="s">
        <v>23</v>
      </c>
      <c r="B179" s="6">
        <v>5</v>
      </c>
      <c r="C179" s="6">
        <v>1289</v>
      </c>
      <c r="D179" s="6"/>
      <c r="E179" s="19">
        <v>1</v>
      </c>
      <c r="F179" s="19">
        <v>42</v>
      </c>
      <c r="G179" s="6"/>
      <c r="H179" s="3">
        <v>14</v>
      </c>
      <c r="I179" s="6">
        <v>1245</v>
      </c>
      <c r="J179" s="6"/>
      <c r="K179" s="19" t="s">
        <v>24</v>
      </c>
      <c r="L179" s="19" t="s">
        <v>24</v>
      </c>
    </row>
    <row r="181" spans="1:12" x14ac:dyDescent="0.25">
      <c r="A181" s="10">
        <v>2024</v>
      </c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</row>
    <row r="182" spans="1:12" x14ac:dyDescent="0.25">
      <c r="A182" s="10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</row>
    <row r="183" spans="1:12" x14ac:dyDescent="0.25">
      <c r="A183" s="1" t="s">
        <v>0</v>
      </c>
      <c r="B183" s="7">
        <f>SUM(B185:B186)</f>
        <v>0</v>
      </c>
      <c r="C183" s="7">
        <f>SUM(C185:C186)</f>
        <v>0</v>
      </c>
      <c r="D183" s="7"/>
      <c r="E183" s="7">
        <f>SUM(E185:E186)</f>
        <v>0</v>
      </c>
      <c r="F183" s="7">
        <f>SUM(F185:F186)</f>
        <v>0</v>
      </c>
      <c r="G183" s="7"/>
      <c r="H183" s="7">
        <f t="shared" ref="H183:I183" si="19">SUM(H185:H186)</f>
        <v>0</v>
      </c>
      <c r="I183" s="7">
        <f t="shared" si="19"/>
        <v>0</v>
      </c>
      <c r="J183" s="7"/>
      <c r="K183" s="7">
        <f t="shared" ref="K183:L183" si="20">SUM(K185:K186)</f>
        <v>0</v>
      </c>
      <c r="L183" s="7">
        <f t="shared" si="20"/>
        <v>0</v>
      </c>
    </row>
    <row r="184" spans="1:12" x14ac:dyDescent="0.25">
      <c r="A184" s="8"/>
      <c r="B184" s="6"/>
      <c r="C184" s="6"/>
      <c r="D184" s="6"/>
      <c r="E184" s="19"/>
      <c r="F184" s="19"/>
      <c r="G184" s="6"/>
      <c r="H184" s="17"/>
      <c r="I184" s="17"/>
      <c r="J184" s="17"/>
      <c r="K184" s="19"/>
      <c r="L184" s="19"/>
    </row>
    <row r="185" spans="1:12" x14ac:dyDescent="0.25">
      <c r="A185" s="1" t="s">
        <v>1</v>
      </c>
      <c r="B185" s="6"/>
      <c r="C185" s="6"/>
      <c r="D185" s="6"/>
      <c r="E185" s="19"/>
      <c r="F185" s="19"/>
      <c r="G185" s="6"/>
      <c r="H185" s="3"/>
      <c r="I185" s="6"/>
      <c r="J185" s="6"/>
      <c r="K185" s="19"/>
      <c r="L185" s="19"/>
    </row>
    <row r="186" spans="1:12" x14ac:dyDescent="0.25">
      <c r="A186" s="1" t="s">
        <v>2</v>
      </c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</row>
    <row r="187" spans="1:12" x14ac:dyDescent="0.25">
      <c r="A187" s="1" t="s">
        <v>6</v>
      </c>
      <c r="B187" s="6"/>
      <c r="C187" s="6"/>
      <c r="D187" s="6"/>
      <c r="E187" s="19"/>
      <c r="F187" s="19"/>
      <c r="G187" s="6"/>
      <c r="H187" s="3"/>
      <c r="I187" s="6"/>
      <c r="J187" s="6"/>
      <c r="K187" s="19"/>
      <c r="L187" s="19"/>
    </row>
    <row r="188" spans="1:12" x14ac:dyDescent="0.25">
      <c r="A188" s="1" t="s">
        <v>7</v>
      </c>
      <c r="B188" s="6"/>
      <c r="C188" s="6"/>
      <c r="D188" s="6"/>
      <c r="E188" s="19"/>
      <c r="F188" s="19"/>
      <c r="G188" s="6"/>
      <c r="H188" s="3"/>
      <c r="I188" s="6"/>
      <c r="J188" s="6"/>
      <c r="K188" s="19"/>
      <c r="L188" s="19"/>
    </row>
    <row r="189" spans="1:12" x14ac:dyDescent="0.25">
      <c r="A189" s="1" t="s">
        <v>8</v>
      </c>
      <c r="B189" s="6"/>
      <c r="C189" s="6"/>
      <c r="D189" s="6"/>
      <c r="E189" s="19"/>
      <c r="F189" s="19"/>
      <c r="G189" s="6"/>
      <c r="H189" s="3"/>
      <c r="I189" s="6"/>
      <c r="J189" s="6"/>
      <c r="K189" s="19"/>
      <c r="L189" s="19"/>
    </row>
    <row r="190" spans="1:12" x14ac:dyDescent="0.25">
      <c r="A190" s="1" t="s">
        <v>9</v>
      </c>
      <c r="B190" s="6"/>
      <c r="C190" s="6"/>
      <c r="D190" s="6"/>
      <c r="E190" s="19"/>
      <c r="F190" s="19"/>
      <c r="G190" s="6"/>
      <c r="H190" s="3"/>
      <c r="I190" s="6"/>
      <c r="J190" s="6"/>
      <c r="K190" s="19"/>
      <c r="L190" s="19"/>
    </row>
    <row r="191" spans="1:12" x14ac:dyDescent="0.25">
      <c r="A191" s="1" t="s">
        <v>10</v>
      </c>
      <c r="B191" s="6"/>
      <c r="C191" s="6"/>
      <c r="D191" s="6"/>
      <c r="E191" s="19"/>
      <c r="F191" s="19"/>
      <c r="G191" s="6"/>
      <c r="H191" s="3"/>
      <c r="I191" s="6"/>
      <c r="J191" s="6"/>
      <c r="K191" s="19"/>
      <c r="L191" s="19"/>
    </row>
    <row r="192" spans="1:12" x14ac:dyDescent="0.25">
      <c r="A192" s="1" t="s">
        <v>11</v>
      </c>
      <c r="B192" s="6"/>
      <c r="C192" s="6"/>
      <c r="D192" s="6"/>
      <c r="E192" s="19"/>
      <c r="F192" s="19"/>
      <c r="G192" s="6"/>
      <c r="H192" s="3"/>
      <c r="I192" s="6"/>
      <c r="J192" s="6"/>
      <c r="K192" s="19"/>
      <c r="L192" s="19"/>
    </row>
    <row r="193" spans="1:12" x14ac:dyDescent="0.25">
      <c r="A193" s="1" t="s">
        <v>12</v>
      </c>
      <c r="B193" s="6"/>
      <c r="C193" s="6"/>
      <c r="D193" s="6"/>
      <c r="E193" s="19"/>
      <c r="F193" s="19"/>
      <c r="G193" s="6"/>
      <c r="H193" s="3"/>
      <c r="I193" s="6"/>
      <c r="J193" s="6"/>
      <c r="K193" s="19"/>
      <c r="L193" s="19"/>
    </row>
    <row r="194" spans="1:12" x14ac:dyDescent="0.25">
      <c r="A194" s="1" t="s">
        <v>13</v>
      </c>
      <c r="B194" s="6"/>
      <c r="C194" s="6"/>
      <c r="D194" s="6"/>
      <c r="E194" s="19"/>
      <c r="F194" s="19"/>
      <c r="G194" s="6"/>
      <c r="H194" s="3"/>
      <c r="I194" s="6"/>
      <c r="J194" s="6"/>
      <c r="K194" s="19"/>
      <c r="L194" s="19"/>
    </row>
    <row r="195" spans="1:12" x14ac:dyDescent="0.25">
      <c r="A195" s="1" t="s">
        <v>14</v>
      </c>
      <c r="B195" s="6"/>
      <c r="C195" s="6"/>
      <c r="D195" s="6"/>
      <c r="E195" s="19"/>
      <c r="F195" s="19"/>
      <c r="G195" s="6"/>
      <c r="H195" s="3"/>
      <c r="I195" s="6"/>
      <c r="J195" s="6"/>
      <c r="K195" s="19"/>
      <c r="L195" s="19"/>
    </row>
    <row r="196" spans="1:12" x14ac:dyDescent="0.25">
      <c r="A196" s="1" t="s">
        <v>15</v>
      </c>
      <c r="B196" s="6"/>
      <c r="C196" s="6"/>
      <c r="D196" s="6"/>
      <c r="E196" s="19"/>
      <c r="F196" s="19"/>
      <c r="G196" s="6"/>
      <c r="H196" s="3"/>
      <c r="I196" s="6"/>
      <c r="J196" s="6"/>
      <c r="K196" s="19"/>
      <c r="L196" s="19"/>
    </row>
    <row r="197" spans="1:12" x14ac:dyDescent="0.25">
      <c r="A197" s="1" t="s">
        <v>16</v>
      </c>
      <c r="B197" s="6"/>
      <c r="C197" s="6"/>
      <c r="D197" s="6"/>
      <c r="E197" s="19"/>
      <c r="F197" s="19"/>
      <c r="G197" s="6"/>
      <c r="H197" s="3"/>
      <c r="I197" s="6"/>
      <c r="J197" s="6"/>
      <c r="K197" s="19"/>
      <c r="L197" s="19"/>
    </row>
    <row r="198" spans="1:12" x14ac:dyDescent="0.25">
      <c r="A198" s="1" t="s">
        <v>17</v>
      </c>
      <c r="B198" s="6"/>
      <c r="C198" s="6"/>
      <c r="D198" s="6"/>
      <c r="E198" s="19"/>
      <c r="F198" s="19"/>
      <c r="G198" s="6"/>
      <c r="H198" s="3"/>
      <c r="I198" s="6"/>
      <c r="J198" s="6"/>
      <c r="K198" s="19"/>
      <c r="L198" s="19"/>
    </row>
    <row r="199" spans="1:12" x14ac:dyDescent="0.25">
      <c r="A199" s="1" t="s">
        <v>18</v>
      </c>
      <c r="B199" s="6"/>
      <c r="C199" s="6"/>
      <c r="D199" s="6"/>
      <c r="E199" s="19"/>
      <c r="F199" s="19"/>
      <c r="G199" s="6"/>
      <c r="H199" s="3"/>
      <c r="I199" s="6"/>
      <c r="J199" s="6"/>
      <c r="K199" s="19"/>
      <c r="L199" s="19"/>
    </row>
    <row r="200" spans="1:12" x14ac:dyDescent="0.25">
      <c r="A200" s="1" t="s">
        <v>20</v>
      </c>
      <c r="B200" s="6"/>
      <c r="C200" s="6"/>
      <c r="D200" s="6"/>
      <c r="E200" s="19"/>
      <c r="F200" s="19"/>
      <c r="G200" s="6"/>
      <c r="H200" s="3"/>
      <c r="I200" s="6"/>
      <c r="J200" s="6"/>
      <c r="K200" s="19"/>
      <c r="L200" s="19"/>
    </row>
    <row r="201" spans="1:12" x14ac:dyDescent="0.25">
      <c r="A201" s="1" t="s">
        <v>21</v>
      </c>
      <c r="B201" s="6"/>
      <c r="C201" s="6"/>
      <c r="D201" s="6"/>
      <c r="E201" s="19"/>
      <c r="F201" s="19"/>
      <c r="G201" s="6"/>
      <c r="H201" s="3"/>
      <c r="I201" s="6"/>
      <c r="J201" s="6"/>
      <c r="K201" s="19"/>
      <c r="L201" s="19"/>
    </row>
    <row r="202" spans="1:12" x14ac:dyDescent="0.25">
      <c r="A202" s="1" t="s">
        <v>19</v>
      </c>
      <c r="B202" s="6"/>
      <c r="C202" s="6"/>
      <c r="D202" s="6"/>
      <c r="E202" s="19"/>
      <c r="F202" s="19"/>
      <c r="G202" s="6"/>
      <c r="H202" s="3"/>
      <c r="I202" s="6"/>
      <c r="J202" s="6"/>
      <c r="K202" s="19"/>
      <c r="L202" s="19"/>
    </row>
    <row r="203" spans="1:12" x14ac:dyDescent="0.25">
      <c r="A203" s="1" t="s">
        <v>22</v>
      </c>
      <c r="B203" s="6"/>
      <c r="C203" s="6"/>
      <c r="D203" s="6"/>
      <c r="E203" s="19"/>
      <c r="F203" s="19"/>
      <c r="G203" s="6"/>
      <c r="H203" s="3"/>
      <c r="I203" s="6"/>
      <c r="J203" s="6"/>
      <c r="K203" s="19"/>
      <c r="L203" s="19"/>
    </row>
    <row r="204" spans="1:12" x14ac:dyDescent="0.25">
      <c r="A204" s="1" t="s">
        <v>23</v>
      </c>
      <c r="B204" s="6"/>
      <c r="C204" s="6"/>
      <c r="D204" s="6"/>
      <c r="E204" s="19"/>
      <c r="F204" s="19"/>
      <c r="G204" s="6"/>
      <c r="H204" s="3"/>
      <c r="I204" s="6"/>
      <c r="J204" s="6"/>
      <c r="K204" s="19"/>
      <c r="L204" s="19"/>
    </row>
    <row r="205" spans="1:12" ht="9.15" customHeight="1" x14ac:dyDescent="0.25">
      <c r="A205" s="1"/>
      <c r="B205" s="6"/>
      <c r="C205" s="6"/>
      <c r="D205" s="6"/>
      <c r="E205" s="6"/>
      <c r="F205" s="6"/>
      <c r="G205" s="6"/>
      <c r="H205" s="3"/>
      <c r="I205" s="6"/>
      <c r="J205" s="6"/>
      <c r="K205" s="16"/>
      <c r="L205" s="16"/>
    </row>
    <row r="206" spans="1:12" ht="12" customHeight="1" x14ac:dyDescent="0.2">
      <c r="A206" s="22" t="s">
        <v>34</v>
      </c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</row>
    <row r="207" spans="1:12" ht="11.4" x14ac:dyDescent="0.2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</row>
    <row r="208" spans="1:12" x14ac:dyDescent="0.25">
      <c r="A208" s="8" t="s">
        <v>30</v>
      </c>
      <c r="B208" s="8"/>
      <c r="C208" s="8"/>
      <c r="D208" s="8"/>
      <c r="E208" s="8"/>
      <c r="F208" s="8"/>
      <c r="G208" s="8"/>
      <c r="H208" s="8"/>
    </row>
    <row r="209" spans="1:12" ht="12.9" customHeight="1" x14ac:dyDescent="0.2">
      <c r="A209" s="22" t="s">
        <v>31</v>
      </c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</row>
    <row r="210" spans="1:12" ht="12" customHeight="1" x14ac:dyDescent="0.2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</row>
    <row r="211" spans="1:12" ht="12" customHeight="1" x14ac:dyDescent="0.25">
      <c r="A211" s="20" t="s">
        <v>32</v>
      </c>
      <c r="B211" s="8"/>
      <c r="C211" s="8"/>
      <c r="D211" s="8"/>
      <c r="E211" s="8"/>
      <c r="F211" s="8"/>
      <c r="G211" s="8"/>
      <c r="H211" s="8"/>
    </row>
    <row r="212" spans="1:12" ht="12" customHeight="1" x14ac:dyDescent="0.25">
      <c r="B212" s="20"/>
      <c r="C212" s="20"/>
      <c r="D212" s="20"/>
      <c r="E212" s="20"/>
      <c r="F212" s="20"/>
      <c r="G212" s="20"/>
      <c r="H212" s="20"/>
    </row>
  </sheetData>
  <mergeCells count="6">
    <mergeCell ref="K3:L3"/>
    <mergeCell ref="A206:L207"/>
    <mergeCell ref="A209:L210"/>
    <mergeCell ref="B3:C3"/>
    <mergeCell ref="E3:F3"/>
    <mergeCell ref="H3:I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3.1.1</vt:lpstr>
      <vt:lpstr>Serie histórica</vt:lpstr>
      <vt:lpstr>'3.1.1'!Área_de_impresión</vt:lpstr>
      <vt:lpstr>'3.1.1'!Imprimir_área_IM</vt:lpstr>
    </vt:vector>
  </TitlesOfParts>
  <Company>I.N.E.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DellGL1</dc:creator>
  <cp:lastModifiedBy>Stella Landeira</cp:lastModifiedBy>
  <cp:lastPrinted>2022-11-30T19:57:35Z</cp:lastPrinted>
  <dcterms:created xsi:type="dcterms:W3CDTF">1999-03-25T20:20:47Z</dcterms:created>
  <dcterms:modified xsi:type="dcterms:W3CDTF">2026-01-09T15:58:05Z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47b294a1-36a7-4a38-82da-5b229709c039</vt:lpwstr>
  </property>
</Properties>
</file>