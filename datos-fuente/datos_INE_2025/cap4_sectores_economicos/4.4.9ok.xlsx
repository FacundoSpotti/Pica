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" yWindow="-12" windowWidth="16020" windowHeight="12648" tabRatio="729"/>
  </bookViews>
  <sheets>
    <sheet name="4.4.9-2024" sheetId="23" r:id="rId1"/>
    <sheet name="4.4.9-2023 " sheetId="10" r:id="rId2"/>
    <sheet name="4.4.9-2022" sheetId="9" r:id="rId3"/>
    <sheet name="4.4.9-2021" sheetId="8" r:id="rId4"/>
    <sheet name="4.4.9_2020" sheetId="7" r:id="rId5"/>
    <sheet name="4.4.9_2019" sheetId="3" r:id="rId6"/>
    <sheet name="4.4.9_2018" sheetId="4" r:id="rId7"/>
    <sheet name="4.4.9_2017" sheetId="5" r:id="rId8"/>
    <sheet name="4.4.9_2016" sheetId="6" r:id="rId9"/>
    <sheet name="4.4.10_2015" sheetId="11" r:id="rId10"/>
    <sheet name="4.4.10_2014" sheetId="12" r:id="rId11"/>
    <sheet name="4.4.10_2013" sheetId="13" r:id="rId12"/>
    <sheet name="4.4.10_2012" sheetId="14" r:id="rId13"/>
    <sheet name="4.4.10_2011" sheetId="15" r:id="rId14"/>
    <sheet name="4.4.10_2010" sheetId="16" r:id="rId15"/>
    <sheet name="4.4.10_2009" sheetId="17" r:id="rId16"/>
    <sheet name="4.4.10_2008" sheetId="18" r:id="rId17"/>
    <sheet name="4.4.10_2007" sheetId="19" r:id="rId18"/>
    <sheet name="4.4.10_2005 - 2006" sheetId="20" r:id="rId19"/>
    <sheet name="4.4.10_2003 - 2004" sheetId="21" r:id="rId20"/>
    <sheet name="4.4.10_2002_2001" sheetId="22" r:id="rId21"/>
  </sheets>
  <calcPr calcId="145621"/>
</workbook>
</file>

<file path=xl/calcChain.xml><?xml version="1.0" encoding="utf-8"?>
<calcChain xmlns="http://schemas.openxmlformats.org/spreadsheetml/2006/main">
  <c r="C17" i="10" l="1"/>
  <c r="B17" i="10"/>
  <c r="B15" i="10"/>
  <c r="C13" i="10"/>
  <c r="B13" i="10"/>
  <c r="B12" i="10"/>
  <c r="C11" i="10"/>
  <c r="B11" i="10"/>
  <c r="G9" i="10"/>
  <c r="H9" i="10"/>
  <c r="I9" i="10"/>
  <c r="J9" i="10"/>
  <c r="K9" i="10"/>
  <c r="L9" i="10"/>
  <c r="M9" i="10"/>
  <c r="E9" i="10"/>
  <c r="D9" i="10"/>
  <c r="B9" i="23" l="1"/>
  <c r="B15" i="23" l="1"/>
  <c r="C11" i="23"/>
  <c r="C13" i="23"/>
  <c r="B12" i="23"/>
  <c r="B13" i="23"/>
  <c r="B11" i="23"/>
  <c r="C17" i="23"/>
  <c r="B17" i="23"/>
  <c r="C9" i="23"/>
  <c r="M9" i="23"/>
  <c r="L9" i="23"/>
  <c r="K9" i="23"/>
  <c r="J9" i="23"/>
  <c r="I9" i="23"/>
  <c r="H9" i="23"/>
  <c r="G9" i="23"/>
  <c r="F9" i="23"/>
  <c r="E9" i="23"/>
  <c r="D9" i="23"/>
  <c r="R13" i="18"/>
  <c r="Q13" i="18"/>
  <c r="O13" i="18"/>
  <c r="N13" i="18"/>
  <c r="L13" i="18"/>
  <c r="K13" i="18"/>
  <c r="I13" i="18"/>
  <c r="H13" i="18"/>
  <c r="F13" i="18"/>
  <c r="E13" i="18"/>
  <c r="C13" i="18"/>
  <c r="B13" i="18"/>
  <c r="Q11" i="15"/>
  <c r="O11" i="15"/>
  <c r="N11" i="15"/>
  <c r="L11" i="15"/>
  <c r="K11" i="15"/>
  <c r="I11" i="15"/>
  <c r="H11" i="15"/>
  <c r="F11" i="15"/>
  <c r="E11" i="15"/>
  <c r="C11" i="15"/>
  <c r="B11" i="15"/>
  <c r="R10" i="14"/>
  <c r="Q10" i="14"/>
  <c r="O10" i="14"/>
  <c r="N10" i="14"/>
  <c r="L10" i="14"/>
  <c r="K10" i="14"/>
  <c r="I10" i="14"/>
  <c r="H10" i="14"/>
  <c r="F10" i="14"/>
  <c r="E10" i="14"/>
  <c r="C10" i="14"/>
  <c r="B10" i="14"/>
  <c r="F9" i="10"/>
  <c r="C16" i="9"/>
  <c r="B16" i="9"/>
  <c r="B15" i="9"/>
  <c r="C13" i="9"/>
  <c r="C9" i="9"/>
  <c r="B13" i="9"/>
  <c r="B12" i="9"/>
  <c r="C11" i="9"/>
  <c r="B11" i="9"/>
  <c r="B9" i="9"/>
  <c r="M9" i="9"/>
  <c r="L9" i="9"/>
  <c r="K9" i="9"/>
  <c r="J9" i="9"/>
  <c r="I9" i="9"/>
  <c r="H9" i="9"/>
  <c r="G9" i="9"/>
  <c r="F9" i="9"/>
  <c r="E9" i="9"/>
  <c r="D9" i="9"/>
  <c r="C13" i="8"/>
  <c r="C11" i="8"/>
  <c r="B11" i="8"/>
  <c r="B12" i="8"/>
  <c r="B13" i="8"/>
  <c r="B15" i="8"/>
  <c r="B16" i="8"/>
  <c r="C16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B9" i="8"/>
  <c r="C9" i="8"/>
  <c r="C9" i="10" l="1"/>
  <c r="B9" i="10"/>
</calcChain>
</file>

<file path=xl/sharedStrings.xml><?xml version="1.0" encoding="utf-8"?>
<sst xmlns="http://schemas.openxmlformats.org/spreadsheetml/2006/main" count="1891" uniqueCount="127">
  <si>
    <t>Nueva</t>
  </si>
  <si>
    <t xml:space="preserve">Reforma </t>
  </si>
  <si>
    <t>Regularización</t>
  </si>
  <si>
    <t>Vivienda</t>
  </si>
  <si>
    <t>Comercio</t>
  </si>
  <si>
    <t>Industria</t>
  </si>
  <si>
    <t>Otros</t>
  </si>
  <si>
    <t>Sin dato</t>
  </si>
  <si>
    <t>Otras</t>
  </si>
  <si>
    <t xml:space="preserve">Incorporación a </t>
  </si>
  <si>
    <t xml:space="preserve">Tipo de obra </t>
  </si>
  <si>
    <t>Total</t>
  </si>
  <si>
    <t xml:space="preserve">Total </t>
  </si>
  <si>
    <t>Destino</t>
  </si>
  <si>
    <t>Fuente: Instituto Nacional de Estadística (INE) con información de la Intendencia de Montevideo (IM).</t>
  </si>
  <si>
    <t xml:space="preserve"> Cant.</t>
  </si>
  <si>
    <t>perm.</t>
  </si>
  <si>
    <t>Sup. (m²)</t>
  </si>
  <si>
    <t>Propiedad horizontal</t>
  </si>
  <si>
    <t xml:space="preserve">4.4.9 - Cantidad de permisos de construcción otorgados por la Intendencia de Montevideo y superficie </t>
  </si>
  <si>
    <t>-</t>
  </si>
  <si>
    <t>comprendida en los mismos, por destino, según tipo de obra - 2019</t>
  </si>
  <si>
    <t>Varios</t>
  </si>
  <si>
    <t>Ampliación</t>
  </si>
  <si>
    <t>Nota 1: En reforma y en incorporación a propiedad horizontal no se incluye superficie. En vivienda, se incluyen las viviendas populares. La suma de</t>
  </si>
  <si>
    <t xml:space="preserve">los totales puede no coincidir debido a redondeos en las cifras. </t>
  </si>
  <si>
    <t>comprendida en los mismos, por destino, según tipo de obra - 2017</t>
  </si>
  <si>
    <t>comprendida en los mismos, por destino, según tipo de obra - 2016</t>
  </si>
  <si>
    <t>Nota 2: Datos revisados a Julio 2021.</t>
  </si>
  <si>
    <t>Nota: En reforma y en incorporación a propiedad horizontal no se incluye superficie. En vivienda, se incluyen las viviendas populares. La suma de</t>
  </si>
  <si>
    <t>Incorporación a Propiedad horizontal</t>
  </si>
  <si>
    <t xml:space="preserve"> Cant. perm.</t>
  </si>
  <si>
    <t>4.4.9 - Cantidad de permisos de construcción otorgados por la Intendencia de Montevideo y superficie comprendida en los mismos, por destino, según tipo de obra - 2018</t>
  </si>
  <si>
    <t>4.4.9 - Cantidad de permisos de construcción otorgados por la Intendencia de Montevideo y superficie comprendida en los mismos, por destino, según tipo de obra - 2020</t>
  </si>
  <si>
    <t>4.4.9 - Cantidad de permisos de construcción otorgados por la Intendencia de Montevideo y superficie comprendida en los mismos, por destino, según tipo de obra - 2021</t>
  </si>
  <si>
    <t>Varios Simultáneos</t>
  </si>
  <si>
    <t>4.4.9 - Cantidad de permisos de construcción otorgados por la Intendencia de Montevideo y superficie comprendida en los mismos, por destino, según tipo de obra - 2022</t>
  </si>
  <si>
    <t xml:space="preserve">Nota: En reforma y en incorporación a propiedad horizontal no se incluye superficie. En vivienda, se incluyen las viviendas populares. La suma de los totales puede no coincidir debido a redondeos en las cifras. </t>
  </si>
  <si>
    <t>Incorporación a</t>
  </si>
  <si>
    <t>Reforma</t>
  </si>
  <si>
    <t>4.4.9 - Cantidad de permisos de construcción otorgados por la Intendencia de Montevideo y superficie comprendida en los mismos, por destino, según tipo de obra - 2023</t>
  </si>
  <si>
    <t>4.4.10 - Cantidad de permisos de construcción otorgados por la Intendencia de Montevideo y superficie comprendida en los mismos, por destino,</t>
  </si>
  <si>
    <t>según tipo de obra - 2015</t>
  </si>
  <si>
    <t>Varios simultáneos</t>
  </si>
  <si>
    <t xml:space="preserve">                    </t>
  </si>
  <si>
    <t xml:space="preserve">según tipo de obra (metros cuadrados) - 2013 </t>
  </si>
  <si>
    <t xml:space="preserve">Sup. </t>
  </si>
  <si>
    <t>Perm.</t>
  </si>
  <si>
    <t>m²</t>
  </si>
  <si>
    <t>propiedad horizontal</t>
  </si>
  <si>
    <t>Nota: En reforma y en incorporación a propiedad horizontal no se incluye superficie. En vivienda, se incluyen las viviendas populares.</t>
  </si>
  <si>
    <t xml:space="preserve">La suma de los totales puede no coincidir debido a redondeos en las cifras. </t>
  </si>
  <si>
    <t>según tipo de obra - 2014</t>
  </si>
  <si>
    <t>4.4.10 - Número de permisos de construcción otorgados por la Intendencia de Montevideo y superficie comprendida en los mismos, por destino,</t>
  </si>
  <si>
    <t xml:space="preserve">según tipo de obra (metros cuadrados) - 2012 </t>
  </si>
  <si>
    <t xml:space="preserve"> Núm.</t>
  </si>
  <si>
    <r>
      <t>m</t>
    </r>
    <r>
      <rPr>
        <b/>
        <sz val="12"/>
        <rFont val="Arial"/>
        <family val="2"/>
      </rPr>
      <t>²</t>
    </r>
  </si>
  <si>
    <t>…</t>
  </si>
  <si>
    <t>4.4.10</t>
  </si>
  <si>
    <t>Número de permisos de construcción otorgados por la Intendencia de Montevideo y superficie comprendida en los mismos, por destino,</t>
  </si>
  <si>
    <t xml:space="preserve">según tipo de obra (metros cuadrados). Año 2011  </t>
  </si>
  <si>
    <t>Propiedad Horizontal</t>
  </si>
  <si>
    <t>Nota: En reforma y en incorporación a Propiedad Horizontal no se incluye superficie. En vivienda, se incluyen las viviendas populares.</t>
  </si>
  <si>
    <t xml:space="preserve">NÚMERO DE PERMISOS DE CONSTRUCCIÓN OTORGADOS POR LA INTENDENCIA MUNICIPAL DE MONTEVIDEO Y </t>
  </si>
  <si>
    <t xml:space="preserve">SUPERFICIE COMPRENDIDA EN LOS MISMOS, POR DESTINO, SEGÚN TIPO DE OBRA (metros cuadrados)    </t>
  </si>
  <si>
    <t>AÑO 2010</t>
  </si>
  <si>
    <t xml:space="preserve">TIPO DE OBRA </t>
  </si>
  <si>
    <t>DESTINO</t>
  </si>
  <si>
    <t>T O T A L</t>
  </si>
  <si>
    <t xml:space="preserve">T O T A L </t>
  </si>
  <si>
    <t>FUENTE    : Instituto Nacional de Estadística (INE) con información de la Intendencia Municipal de Montevideo (IMM).</t>
  </si>
  <si>
    <t xml:space="preserve">NOTA        : En reforma y en incorporación a Propiedad Horizontal no se incluye superficie. En vivienda, se incluyen </t>
  </si>
  <si>
    <t xml:space="preserve">                    las viviendas populares. La suma de los totales puede no coincidir debido a redondeos en las cifras. </t>
  </si>
  <si>
    <t>AÑO 2009</t>
  </si>
  <si>
    <t>Sup. M2</t>
  </si>
  <si>
    <t>M2</t>
  </si>
  <si>
    <t xml:space="preserve">Propiedad Horizontal </t>
  </si>
  <si>
    <t>Modificación de Obra</t>
  </si>
  <si>
    <t>Otros y Varios simultáneos</t>
  </si>
  <si>
    <t xml:space="preserve">                     las viviendas populares. La suma de los totales puede no concidir debido a redondeos en las cifras. </t>
  </si>
  <si>
    <t>AÑO 2008</t>
  </si>
  <si>
    <t>D E S T I N O</t>
  </si>
  <si>
    <t>Núm.</t>
  </si>
  <si>
    <t>Sup.</t>
  </si>
  <si>
    <t>m2</t>
  </si>
  <si>
    <t xml:space="preserve">TOTAL </t>
  </si>
  <si>
    <t>Otros y Varios</t>
  </si>
  <si>
    <t xml:space="preserve">simultáneos </t>
  </si>
  <si>
    <t>Sin dato de tipo</t>
  </si>
  <si>
    <t>de obra</t>
  </si>
  <si>
    <t>FUENTE    : Instituto Nacional de Estadística con información de la Intendencia Municipal de Montevideo.</t>
  </si>
  <si>
    <t xml:space="preserve"> AÑO 2007 </t>
  </si>
  <si>
    <t xml:space="preserve"> </t>
  </si>
  <si>
    <t xml:space="preserve">NUMERO DE PERMISOS DE CONSTRUCCION OTORGADOS POR LA INTENDENCIA MUNICIPAL DE MONTEVIDEO Y </t>
  </si>
  <si>
    <t xml:space="preserve">SUPERFICIE COMPRENDIDA EN LOS MISMOS, POR DESTINO, SEGUN AÑO Y TIPO DE OBRA.  (metros cuadrados)      </t>
  </si>
  <si>
    <t xml:space="preserve">AÑO Y </t>
  </si>
  <si>
    <t>2 0 0 5</t>
  </si>
  <si>
    <t>Modificación en obra</t>
  </si>
  <si>
    <t>2 0 0 6</t>
  </si>
  <si>
    <t xml:space="preserve">NOTA        : En reforma y en incorporación a Propiedad Horizontal no se incluye superficie. La suma de los totales </t>
  </si>
  <si>
    <t xml:space="preserve">                     puede no concidir debido a redondeos en las cifras. En vivienda, se incluyen las viviendas populares.</t>
  </si>
  <si>
    <t>2 0 0 3</t>
  </si>
  <si>
    <t xml:space="preserve">Varios simultáneos </t>
  </si>
  <si>
    <t>2 0 0 4</t>
  </si>
  <si>
    <t>NUMERO DE PERMISOS DE CONSTRUCCION OTORGADOS POR LA INTENDENCIA MUNICIPAL DE MONTEVIDEO</t>
  </si>
  <si>
    <t>Y SUPERFICIE COMPRENDIDA EN LOS MISMOS, POR DESTINO, SEGUN AÑO Y TRAMO DE SUPERFICIE.</t>
  </si>
  <si>
    <t xml:space="preserve">(metros cuadrados) </t>
  </si>
  <si>
    <t xml:space="preserve">AÑO Y  </t>
  </si>
  <si>
    <t xml:space="preserve">       T O T A L</t>
  </si>
  <si>
    <t xml:space="preserve">      Vivienda</t>
  </si>
  <si>
    <t xml:space="preserve">    Comercio</t>
  </si>
  <si>
    <t xml:space="preserve"> Industria</t>
  </si>
  <si>
    <t xml:space="preserve">TRAMO DE </t>
  </si>
  <si>
    <t xml:space="preserve">SUPERFICIE </t>
  </si>
  <si>
    <t>2 0 0 2</t>
  </si>
  <si>
    <t xml:space="preserve">Menos de   30 </t>
  </si>
  <si>
    <t xml:space="preserve">30 a    79 </t>
  </si>
  <si>
    <t xml:space="preserve">80 a   119 </t>
  </si>
  <si>
    <t xml:space="preserve">120 a   199 </t>
  </si>
  <si>
    <t xml:space="preserve">200 a   499 </t>
  </si>
  <si>
    <t xml:space="preserve">500 a   999 </t>
  </si>
  <si>
    <t xml:space="preserve">1.000 a 2.000 </t>
  </si>
  <si>
    <t xml:space="preserve">Más de  2.000 </t>
  </si>
  <si>
    <t>2 0 0 1</t>
  </si>
  <si>
    <t>FUENTE   : Instituto Nacional de Estadística con información de la Intendencia Municipal de Montevideo.</t>
  </si>
  <si>
    <t>NOTA       : La suma de los totales puede no concidir debido a redondeos en las cifras.</t>
  </si>
  <si>
    <t>4.4.9 - Cantidad de permisos de construcción otorgados por la Intendencia de Montevideo y superficie comprendida en los mismos, por destino, según tipo de obra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</si>
</sst>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."/>
    <numFmt numFmtId="166" formatCode="_(* #,##0_);_(* \(#,##0\);_(* &quot;-&quot;??_);_(@_)"/>
  </numFmts>
  <fonts count="21" x14ac:knownFonts="1">
    <font>
      <sz val="12"/>
      <name val="Courier"/>
    </font>
    <font>
      <sz val="10"/>
      <name val="Arial"/>
      <family val="2"/>
    </font>
    <font>
      <b/>
      <i/>
      <sz val="1"/>
      <color indexed="16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9"/>
      <name val="Arial"/>
      <family val="2"/>
    </font>
    <font>
      <b/>
      <sz val="9"/>
      <name val="Arial"/>
      <family val="2"/>
    </font>
    <font>
      <sz val="9"/>
      <name val="Courier"/>
      <family val="3"/>
    </font>
    <font>
      <sz val="12"/>
      <name val="Courier"/>
      <family val="3"/>
    </font>
    <font>
      <sz val="9"/>
      <name val="Courier"/>
    </font>
    <font>
      <b/>
      <sz val="12"/>
      <name val="Arial"/>
      <family val="2"/>
    </font>
    <font>
      <sz val="9"/>
      <color indexed="8"/>
      <name val="Arial"/>
      <family val="2"/>
    </font>
    <font>
      <b/>
      <sz val="9"/>
      <color indexed="9"/>
      <name val="Arial Rounded MT Bold"/>
      <family val="2"/>
    </font>
    <font>
      <b/>
      <sz val="9"/>
      <name val="Arial Rounded MT Bold"/>
      <family val="2"/>
    </font>
    <font>
      <b/>
      <sz val="9"/>
      <color indexed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9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7D549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5" fontId="2" fillId="0" borderId="0">
      <protection locked="0"/>
    </xf>
    <xf numFmtId="165" fontId="3" fillId="0" borderId="0">
      <protection locked="0"/>
    </xf>
    <xf numFmtId="165" fontId="4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5" fontId="4" fillId="0" borderId="0">
      <protection locked="0"/>
    </xf>
    <xf numFmtId="164" fontId="1" fillId="0" borderId="0" applyFont="0" applyFill="0" applyBorder="0" applyAlignment="0" applyProtection="0"/>
    <xf numFmtId="0" fontId="8" fillId="0" borderId="0"/>
  </cellStyleXfs>
  <cellXfs count="158">
    <xf numFmtId="0" fontId="0" fillId="0" borderId="0" xfId="0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3" fontId="5" fillId="0" borderId="0" xfId="8" applyNumberFormat="1" applyFont="1" applyFill="1" applyBorder="1" applyAlignment="1" applyProtection="1">
      <alignment horizontal="right"/>
    </xf>
    <xf numFmtId="3" fontId="5" fillId="0" borderId="0" xfId="0" applyNumberFormat="1" applyFont="1" applyFill="1" applyAlignment="1">
      <alignment horizontal="right"/>
    </xf>
    <xf numFmtId="0" fontId="7" fillId="0" borderId="0" xfId="0" applyFont="1" applyFill="1"/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horizontal="center"/>
    </xf>
    <xf numFmtId="3" fontId="6" fillId="0" borderId="0" xfId="0" applyNumberFormat="1" applyFont="1" applyFill="1" applyAlignment="1">
      <alignment horizontal="right"/>
    </xf>
    <xf numFmtId="3" fontId="5" fillId="0" borderId="0" xfId="8" applyNumberFormat="1" applyFont="1" applyFill="1" applyAlignment="1">
      <alignment horizontal="right"/>
    </xf>
    <xf numFmtId="166" fontId="6" fillId="0" borderId="0" xfId="8" applyNumberFormat="1" applyFont="1" applyFill="1" applyAlignment="1">
      <alignment horizontal="right"/>
    </xf>
    <xf numFmtId="166" fontId="5" fillId="0" borderId="0" xfId="8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/>
    <xf numFmtId="0" fontId="5" fillId="0" borderId="0" xfId="0" applyFont="1" applyFill="1"/>
    <xf numFmtId="0" fontId="6" fillId="0" borderId="0" xfId="0" applyFont="1" applyFill="1" applyAlignment="1">
      <alignment horizontal="righ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19" fillId="9" borderId="0" xfId="9" applyFont="1" applyFill="1" applyBorder="1" applyAlignment="1" applyProtection="1">
      <alignment horizontal="left"/>
    </xf>
    <xf numFmtId="3" fontId="6" fillId="0" borderId="0" xfId="0" applyNumberFormat="1" applyFont="1" applyFill="1" applyBorder="1"/>
    <xf numFmtId="0" fontId="6" fillId="0" borderId="0" xfId="0" applyFont="1" applyFill="1" applyAlignment="1" applyProtection="1"/>
    <xf numFmtId="0" fontId="6" fillId="0" borderId="1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6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0" fillId="0" borderId="0" xfId="0" applyBorder="1"/>
    <xf numFmtId="3" fontId="6" fillId="0" borderId="0" xfId="0" applyNumberFormat="1" applyFont="1" applyFill="1" applyBorder="1" applyAlignment="1">
      <alignment horizontal="right"/>
    </xf>
    <xf numFmtId="3" fontId="5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6" fillId="2" borderId="0" xfId="0" quotePrefix="1" applyFont="1" applyFill="1" applyBorder="1" applyAlignment="1" applyProtection="1">
      <alignment horizontal="left"/>
    </xf>
    <xf numFmtId="0" fontId="6" fillId="2" borderId="0" xfId="0" applyFont="1" applyFill="1" applyBorder="1"/>
    <xf numFmtId="0" fontId="6" fillId="2" borderId="0" xfId="0" applyFont="1" applyFill="1" applyBorder="1" applyAlignment="1">
      <alignment horizontal="right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 applyProtection="1">
      <alignment horizontal="left"/>
    </xf>
    <xf numFmtId="0" fontId="6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0" borderId="0" xfId="0" applyFont="1" applyBorder="1"/>
    <xf numFmtId="0" fontId="5" fillId="2" borderId="0" xfId="0" applyFont="1" applyFill="1" applyAlignment="1">
      <alignment horizontal="center"/>
    </xf>
    <xf numFmtId="0" fontId="9" fillId="0" borderId="0" xfId="0" applyFont="1" applyFill="1"/>
    <xf numFmtId="0" fontId="9" fillId="0" borderId="0" xfId="0" applyFont="1" applyFill="1" applyAlignment="1">
      <alignment horizontal="right"/>
    </xf>
    <xf numFmtId="0" fontId="9" fillId="0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3" fontId="6" fillId="0" borderId="0" xfId="8" applyNumberFormat="1" applyFont="1" applyFill="1" applyAlignment="1">
      <alignment horizontal="right"/>
    </xf>
    <xf numFmtId="3" fontId="6" fillId="3" borderId="0" xfId="8" applyNumberFormat="1" applyFont="1" applyFill="1" applyAlignment="1">
      <alignment horizontal="right"/>
    </xf>
    <xf numFmtId="166" fontId="5" fillId="3" borderId="0" xfId="8" applyNumberFormat="1" applyFont="1" applyFill="1" applyAlignment="1">
      <alignment horizontal="right"/>
    </xf>
    <xf numFmtId="3" fontId="5" fillId="3" borderId="0" xfId="0" applyNumberFormat="1" applyFont="1" applyFill="1" applyAlignment="1">
      <alignment horizontal="right"/>
    </xf>
    <xf numFmtId="3" fontId="5" fillId="3" borderId="0" xfId="8" applyNumberFormat="1" applyFont="1" applyFill="1" applyAlignment="1">
      <alignment horizontal="right"/>
    </xf>
    <xf numFmtId="166" fontId="5" fillId="3" borderId="0" xfId="8" quotePrefix="1" applyNumberFormat="1" applyFont="1" applyFill="1" applyAlignment="1">
      <alignment horizontal="right"/>
    </xf>
    <xf numFmtId="3" fontId="6" fillId="0" borderId="0" xfId="0" applyNumberFormat="1" applyFont="1" applyBorder="1" applyAlignment="1">
      <alignment horizontal="right"/>
    </xf>
    <xf numFmtId="166" fontId="5" fillId="3" borderId="0" xfId="8" applyNumberFormat="1" applyFont="1" applyFill="1" applyAlignment="1"/>
    <xf numFmtId="3" fontId="6" fillId="3" borderId="0" xfId="0" applyNumberFormat="1" applyFont="1" applyFill="1" applyAlignment="1">
      <alignment horizontal="right"/>
    </xf>
    <xf numFmtId="166" fontId="6" fillId="3" borderId="0" xfId="8" applyNumberFormat="1" applyFont="1" applyFill="1" applyAlignment="1">
      <alignment horizontal="right"/>
    </xf>
    <xf numFmtId="0" fontId="6" fillId="2" borderId="0" xfId="0" applyFont="1" applyFill="1" applyBorder="1" applyAlignment="1" applyProtection="1">
      <alignment horizontal="center"/>
    </xf>
    <xf numFmtId="3" fontId="1" fillId="3" borderId="0" xfId="8" applyNumberFormat="1" applyFont="1" applyFill="1" applyAlignment="1">
      <alignment horizontal="right"/>
    </xf>
    <xf numFmtId="166" fontId="1" fillId="3" borderId="0" xfId="8" applyNumberFormat="1" applyFont="1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6" fillId="2" borderId="0" xfId="0" quotePrefix="1" applyFont="1" applyFill="1" applyBorder="1" applyAlignment="1">
      <alignment horizontal="left"/>
    </xf>
    <xf numFmtId="3" fontId="5" fillId="0" borderId="0" xfId="0" applyNumberFormat="1" applyFont="1" applyFill="1" applyAlignment="1" applyProtection="1">
      <alignment horizontal="right"/>
    </xf>
    <xf numFmtId="37" fontId="5" fillId="0" borderId="0" xfId="0" applyNumberFormat="1" applyFont="1" applyFill="1" applyBorder="1" applyAlignment="1" applyProtection="1">
      <alignment horizontal="right"/>
    </xf>
    <xf numFmtId="37" fontId="5" fillId="0" borderId="0" xfId="0" applyNumberFormat="1" applyFont="1" applyFill="1" applyBorder="1" applyAlignment="1" applyProtection="1">
      <alignment horizontal="center"/>
    </xf>
    <xf numFmtId="0" fontId="11" fillId="0" borderId="0" xfId="0" applyFont="1" applyFill="1" applyBorder="1"/>
    <xf numFmtId="0" fontId="6" fillId="2" borderId="0" xfId="0" applyFont="1" applyFill="1" applyAlignment="1">
      <alignment horizontal="center" vertical="center" wrapText="1"/>
    </xf>
    <xf numFmtId="3" fontId="5" fillId="0" borderId="0" xfId="8" applyNumberFormat="1" applyFont="1" applyAlignment="1">
      <alignment horizontal="right"/>
    </xf>
    <xf numFmtId="0" fontId="6" fillId="2" borderId="0" xfId="0" applyFont="1" applyFill="1" applyBorder="1" applyAlignment="1" applyProtection="1">
      <alignment horizontal="center"/>
      <protection locked="0"/>
    </xf>
    <xf numFmtId="0" fontId="6" fillId="2" borderId="0" xfId="0" applyFont="1" applyFill="1" applyBorder="1" applyAlignment="1" applyProtection="1">
      <alignment horizontal="right"/>
      <protection locked="0"/>
    </xf>
    <xf numFmtId="0" fontId="6" fillId="2" borderId="0" xfId="0" applyFont="1" applyFill="1" applyBorder="1" applyAlignment="1" applyProtection="1">
      <protection locked="0"/>
    </xf>
    <xf numFmtId="37" fontId="5" fillId="0" borderId="0" xfId="0" applyNumberFormat="1" applyFont="1" applyFill="1" applyAlignment="1" applyProtection="1">
      <alignment horizontal="right"/>
    </xf>
    <xf numFmtId="0" fontId="6" fillId="4" borderId="0" xfId="0" quotePrefix="1" applyFont="1" applyFill="1" applyBorder="1" applyAlignment="1">
      <alignment horizontal="left"/>
    </xf>
    <xf numFmtId="0" fontId="6" fillId="4" borderId="0" xfId="0" applyFont="1" applyFill="1" applyBorder="1"/>
    <xf numFmtId="0" fontId="6" fillId="4" borderId="0" xfId="0" applyFont="1" applyFill="1" applyBorder="1" applyAlignment="1">
      <alignment horizontal="right"/>
    </xf>
    <xf numFmtId="0" fontId="6" fillId="4" borderId="0" xfId="0" applyFont="1" applyFill="1" applyBorder="1" applyAlignment="1" applyProtection="1">
      <alignment horizontal="left"/>
    </xf>
    <xf numFmtId="0" fontId="6" fillId="4" borderId="0" xfId="0" applyFont="1" applyFill="1" applyBorder="1" applyAlignment="1" applyProtection="1">
      <alignment horizontal="center"/>
    </xf>
    <xf numFmtId="0" fontId="6" fillId="4" borderId="0" xfId="0" applyFont="1" applyFill="1" applyBorder="1" applyAlignment="1" applyProtection="1">
      <alignment horizontal="center"/>
      <protection locked="0"/>
    </xf>
    <xf numFmtId="0" fontId="6" fillId="4" borderId="0" xfId="0" applyFont="1" applyFill="1" applyBorder="1" applyAlignment="1" applyProtection="1">
      <alignment horizontal="right"/>
      <protection locked="0"/>
    </xf>
    <xf numFmtId="0" fontId="6" fillId="4" borderId="0" xfId="0" applyFont="1" applyFill="1" applyBorder="1" applyAlignment="1" applyProtection="1">
      <protection locked="0"/>
    </xf>
    <xf numFmtId="0" fontId="6" fillId="4" borderId="0" xfId="0" applyFont="1" applyFill="1" applyBorder="1" applyAlignment="1" applyProtection="1">
      <alignment horizontal="right"/>
    </xf>
    <xf numFmtId="0" fontId="12" fillId="5" borderId="0" xfId="0" applyFont="1" applyFill="1" applyAlignment="1">
      <alignment horizontal="left"/>
    </xf>
    <xf numFmtId="0" fontId="12" fillId="5" borderId="0" xfId="0" applyFont="1" applyFill="1" applyBorder="1" applyAlignment="1">
      <alignment horizontal="left"/>
    </xf>
    <xf numFmtId="0" fontId="13" fillId="0" borderId="0" xfId="0" applyFont="1"/>
    <xf numFmtId="0" fontId="14" fillId="6" borderId="1" xfId="0" applyFont="1" applyFill="1" applyBorder="1"/>
    <xf numFmtId="0" fontId="14" fillId="6" borderId="1" xfId="0" applyFont="1" applyFill="1" applyBorder="1" applyAlignment="1"/>
    <xf numFmtId="0" fontId="14" fillId="6" borderId="0" xfId="0" applyFont="1" applyFill="1" applyBorder="1" applyAlignment="1"/>
    <xf numFmtId="0" fontId="6" fillId="0" borderId="0" xfId="0" applyFont="1"/>
    <xf numFmtId="0" fontId="15" fillId="6" borderId="0" xfId="0" applyFont="1" applyFill="1"/>
    <xf numFmtId="0" fontId="16" fillId="6" borderId="2" xfId="0" applyFont="1" applyFill="1" applyBorder="1"/>
    <xf numFmtId="0" fontId="15" fillId="0" borderId="0" xfId="0" applyFont="1"/>
    <xf numFmtId="0" fontId="15" fillId="6" borderId="0" xfId="0" applyFont="1" applyFill="1" applyAlignment="1">
      <alignment horizontal="right"/>
    </xf>
    <xf numFmtId="0" fontId="15" fillId="6" borderId="0" xfId="0" applyFont="1" applyFill="1" applyAlignment="1"/>
    <xf numFmtId="0" fontId="15" fillId="6" borderId="0" xfId="0" applyFont="1" applyFill="1" applyAlignment="1" applyProtection="1">
      <alignment horizontal="right"/>
    </xf>
    <xf numFmtId="0" fontId="15" fillId="6" borderId="0" xfId="0" applyFont="1" applyFill="1" applyBorder="1" applyAlignment="1" applyProtection="1">
      <alignment horizontal="center"/>
    </xf>
    <xf numFmtId="0" fontId="15" fillId="6" borderId="0" xfId="0" applyFont="1" applyFill="1" applyBorder="1"/>
    <xf numFmtId="0" fontId="16" fillId="6" borderId="0" xfId="0" applyFont="1" applyFill="1" applyAlignment="1" applyProtection="1">
      <alignment horizontal="right"/>
      <protection locked="0"/>
    </xf>
    <xf numFmtId="0" fontId="15" fillId="6" borderId="0" xfId="0" applyFont="1" applyFill="1" applyBorder="1" applyAlignment="1">
      <alignment horizontal="right"/>
    </xf>
    <xf numFmtId="0" fontId="16" fillId="6" borderId="0" xfId="0" applyFont="1" applyFill="1" applyBorder="1"/>
    <xf numFmtId="0" fontId="16" fillId="6" borderId="0" xfId="0" applyFont="1" applyFill="1" applyAlignment="1" applyProtection="1">
      <alignment horizontal="center"/>
      <protection locked="0"/>
    </xf>
    <xf numFmtId="0" fontId="16" fillId="6" borderId="0" xfId="0" applyFont="1" applyFill="1" applyBorder="1" applyAlignment="1"/>
    <xf numFmtId="0" fontId="6" fillId="6" borderId="2" xfId="0" applyFont="1" applyFill="1" applyBorder="1"/>
    <xf numFmtId="0" fontId="6" fillId="6" borderId="2" xfId="0" applyFont="1" applyFill="1" applyBorder="1" applyAlignment="1"/>
    <xf numFmtId="0" fontId="6" fillId="6" borderId="2" xfId="0" applyFont="1" applyFill="1" applyBorder="1" applyAlignment="1">
      <alignment horizontal="right"/>
    </xf>
    <xf numFmtId="0" fontId="6" fillId="6" borderId="2" xfId="0" applyFont="1" applyFill="1" applyBorder="1" applyAlignment="1" applyProtection="1">
      <alignment horizontal="left"/>
    </xf>
    <xf numFmtId="0" fontId="5" fillId="6" borderId="0" xfId="0" applyFont="1" applyFill="1" applyBorder="1"/>
    <xf numFmtId="0" fontId="6" fillId="7" borderId="0" xfId="0" applyFont="1" applyFill="1" applyBorder="1" applyAlignment="1"/>
    <xf numFmtId="0" fontId="6" fillId="7" borderId="0" xfId="0" applyFont="1" applyFill="1" applyBorder="1" applyAlignment="1">
      <alignment horizontal="right"/>
    </xf>
    <xf numFmtId="0" fontId="6" fillId="7" borderId="0" xfId="0" applyFont="1" applyFill="1" applyBorder="1" applyAlignment="1" applyProtection="1">
      <alignment horizontal="left"/>
    </xf>
    <xf numFmtId="0" fontId="6" fillId="7" borderId="0" xfId="0" applyFont="1" applyFill="1" applyBorder="1"/>
    <xf numFmtId="0" fontId="5" fillId="6" borderId="0" xfId="0" applyFont="1" applyFill="1"/>
    <xf numFmtId="37" fontId="5" fillId="8" borderId="0" xfId="0" applyNumberFormat="1" applyFont="1" applyFill="1" applyAlignment="1" applyProtection="1"/>
    <xf numFmtId="37" fontId="5" fillId="8" borderId="0" xfId="0" applyNumberFormat="1" applyFont="1" applyFill="1" applyBorder="1" applyAlignment="1" applyProtection="1"/>
    <xf numFmtId="37" fontId="5" fillId="8" borderId="0" xfId="0" applyNumberFormat="1" applyFont="1" applyFill="1" applyAlignment="1" applyProtection="1">
      <alignment horizontal="right"/>
    </xf>
    <xf numFmtId="0" fontId="5" fillId="3" borderId="0" xfId="0" applyFont="1" applyFill="1"/>
    <xf numFmtId="37" fontId="5" fillId="3" borderId="0" xfId="0" applyNumberFormat="1" applyFont="1" applyFill="1" applyAlignment="1" applyProtection="1">
      <alignment horizontal="right"/>
    </xf>
    <xf numFmtId="0" fontId="17" fillId="5" borderId="0" xfId="0" applyFont="1" applyFill="1" applyAlignment="1" applyProtection="1">
      <alignment horizontal="left"/>
    </xf>
    <xf numFmtId="0" fontId="17" fillId="5" borderId="0" xfId="0" applyFont="1" applyFill="1" applyBorder="1" applyAlignment="1" applyProtection="1">
      <alignment horizontal="left"/>
    </xf>
    <xf numFmtId="0" fontId="18" fillId="0" borderId="0" xfId="0" applyFont="1"/>
    <xf numFmtId="0" fontId="0" fillId="0" borderId="0" xfId="0" applyAlignment="1"/>
    <xf numFmtId="0" fontId="0" fillId="0" borderId="0" xfId="0" applyBorder="1" applyAlignment="1"/>
    <xf numFmtId="3" fontId="20" fillId="0" borderId="0" xfId="0" applyNumberFormat="1" applyFont="1" applyBorder="1" applyAlignment="1">
      <alignment vertical="center"/>
    </xf>
    <xf numFmtId="0" fontId="6" fillId="0" borderId="0" xfId="0" applyFont="1" applyFill="1" applyBorder="1" applyAlignment="1" applyProtection="1">
      <alignment horizontal="left" wrapText="1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19" fillId="9" borderId="0" xfId="9" applyFont="1" applyFill="1" applyBorder="1" applyAlignment="1" applyProtection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1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right" vertical="center" wrapText="1"/>
    </xf>
    <xf numFmtId="0" fontId="6" fillId="0" borderId="0" xfId="0" applyFont="1" applyFill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right" vertical="center"/>
      <protection locked="0"/>
    </xf>
    <xf numFmtId="0" fontId="6" fillId="2" borderId="0" xfId="0" applyFont="1" applyFill="1" applyBorder="1" applyAlignment="1" applyProtection="1">
      <alignment horizontal="right" vertical="center"/>
      <protection locked="0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0" xfId="0" applyFont="1" applyFill="1" applyBorder="1" applyAlignment="1" applyProtection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6" fillId="2" borderId="2" xfId="0" applyFont="1" applyFill="1" applyBorder="1" applyAlignment="1" applyProtection="1">
      <alignment horizontal="center"/>
    </xf>
    <xf numFmtId="0" fontId="6" fillId="4" borderId="0" xfId="0" applyFont="1" applyFill="1" applyBorder="1" applyAlignment="1" applyProtection="1">
      <alignment horizontal="center"/>
    </xf>
    <xf numFmtId="0" fontId="6" fillId="4" borderId="2" xfId="0" applyFont="1" applyFill="1" applyBorder="1" applyAlignment="1" applyProtection="1">
      <alignment horizontal="center"/>
    </xf>
    <xf numFmtId="0" fontId="15" fillId="6" borderId="3" xfId="0" applyFont="1" applyFill="1" applyBorder="1" applyAlignment="1" applyProtection="1">
      <alignment horizontal="center"/>
    </xf>
    <xf numFmtId="0" fontId="15" fillId="6" borderId="2" xfId="0" applyFont="1" applyFill="1" applyBorder="1" applyAlignment="1">
      <alignment horizontal="center"/>
    </xf>
  </cellXfs>
  <cellStyles count="10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8" builtinId="3"/>
    <cellStyle name="Normal" xfId="0" builtinId="0"/>
    <cellStyle name="Normal_Hoja3" xfId="9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showGridLines="0" tabSelected="1" workbookViewId="0">
      <selection sqref="A1:O2"/>
    </sheetView>
  </sheetViews>
  <sheetFormatPr baseColWidth="10" defaultRowHeight="15" x14ac:dyDescent="0.25"/>
  <cols>
    <col min="1" max="1" width="14.4140625" customWidth="1"/>
    <col min="2" max="3" width="6.75" bestFit="1" customWidth="1"/>
    <col min="4" max="15" width="6.08203125" customWidth="1"/>
  </cols>
  <sheetData>
    <row r="1" spans="1:18" ht="15.75" customHeight="1" x14ac:dyDescent="0.25">
      <c r="A1" s="133" t="s">
        <v>126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8" ht="15.75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</row>
    <row r="3" spans="1:18" ht="9.3000000000000007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8" ht="13.05" customHeight="1" x14ac:dyDescent="0.25">
      <c r="A4" s="134" t="s">
        <v>10</v>
      </c>
      <c r="B4" s="131" t="s">
        <v>11</v>
      </c>
      <c r="C4" s="131"/>
      <c r="D4" s="131" t="s">
        <v>13</v>
      </c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27"/>
      <c r="Q4" s="27"/>
      <c r="R4" s="27"/>
    </row>
    <row r="5" spans="1:18" ht="13.05" customHeight="1" x14ac:dyDescent="0.25">
      <c r="A5" s="134"/>
      <c r="B5" s="18" t="s">
        <v>15</v>
      </c>
      <c r="C5" s="132" t="s">
        <v>17</v>
      </c>
      <c r="D5" s="131" t="s">
        <v>3</v>
      </c>
      <c r="E5" s="131"/>
      <c r="F5" s="131" t="s">
        <v>4</v>
      </c>
      <c r="G5" s="131"/>
      <c r="H5" s="131" t="s">
        <v>5</v>
      </c>
      <c r="I5" s="131"/>
      <c r="J5" s="131" t="s">
        <v>6</v>
      </c>
      <c r="K5" s="131"/>
      <c r="L5" s="131" t="s">
        <v>35</v>
      </c>
      <c r="M5" s="131"/>
      <c r="N5" s="131" t="s">
        <v>7</v>
      </c>
      <c r="O5" s="131"/>
      <c r="P5" s="27"/>
      <c r="Q5" s="27"/>
      <c r="R5" s="27"/>
    </row>
    <row r="6" spans="1:18" ht="13.05" customHeight="1" x14ac:dyDescent="0.25">
      <c r="A6" s="134"/>
      <c r="B6" s="18" t="s">
        <v>16</v>
      </c>
      <c r="C6" s="132"/>
      <c r="D6" s="18" t="s">
        <v>15</v>
      </c>
      <c r="E6" s="132" t="s">
        <v>17</v>
      </c>
      <c r="F6" s="18" t="s">
        <v>15</v>
      </c>
      <c r="G6" s="132" t="s">
        <v>17</v>
      </c>
      <c r="H6" s="18" t="s">
        <v>15</v>
      </c>
      <c r="I6" s="132" t="s">
        <v>17</v>
      </c>
      <c r="J6" s="18" t="s">
        <v>15</v>
      </c>
      <c r="K6" s="132" t="s">
        <v>17</v>
      </c>
      <c r="L6" s="18" t="s">
        <v>15</v>
      </c>
      <c r="M6" s="132" t="s">
        <v>17</v>
      </c>
      <c r="N6" s="18" t="s">
        <v>15</v>
      </c>
      <c r="O6" s="132" t="s">
        <v>17</v>
      </c>
      <c r="P6" s="27"/>
      <c r="Q6" s="27"/>
      <c r="R6" s="27"/>
    </row>
    <row r="7" spans="1:18" ht="13.05" customHeight="1" x14ac:dyDescent="0.25">
      <c r="A7" s="134"/>
      <c r="B7" s="1"/>
      <c r="C7" s="1"/>
      <c r="D7" s="18" t="s">
        <v>16</v>
      </c>
      <c r="E7" s="132"/>
      <c r="F7" s="18" t="s">
        <v>16</v>
      </c>
      <c r="G7" s="132"/>
      <c r="H7" s="18" t="s">
        <v>16</v>
      </c>
      <c r="I7" s="132"/>
      <c r="J7" s="18" t="s">
        <v>16</v>
      </c>
      <c r="K7" s="132"/>
      <c r="L7" s="18" t="s">
        <v>16</v>
      </c>
      <c r="M7" s="132"/>
      <c r="N7" s="18" t="s">
        <v>16</v>
      </c>
      <c r="O7" s="132"/>
      <c r="P7" s="27"/>
      <c r="Q7" s="27"/>
      <c r="R7" s="27"/>
    </row>
    <row r="8" spans="1:18" ht="9.3000000000000007" customHeight="1" x14ac:dyDescent="0.25">
      <c r="A8" s="1"/>
      <c r="B8" s="28"/>
      <c r="C8" s="28"/>
      <c r="D8" s="29"/>
      <c r="E8" s="29"/>
      <c r="F8" s="29"/>
      <c r="G8" s="29"/>
      <c r="H8" s="29"/>
      <c r="I8" s="29"/>
      <c r="J8" s="3"/>
      <c r="K8" s="3"/>
      <c r="L8" s="3"/>
      <c r="M8" s="3"/>
      <c r="N8" s="3"/>
      <c r="O8" s="3"/>
      <c r="P8" s="27"/>
      <c r="Q8" s="27"/>
      <c r="R8" s="27"/>
    </row>
    <row r="9" spans="1:18" ht="13.05" customHeight="1" x14ac:dyDescent="0.25">
      <c r="A9" s="1" t="s">
        <v>11</v>
      </c>
      <c r="B9" s="8">
        <f>SUM(B11:B17)</f>
        <v>948</v>
      </c>
      <c r="C9" s="8">
        <f t="shared" ref="C9:M9" si="0">SUM(C11:C17)</f>
        <v>655797.46000000008</v>
      </c>
      <c r="D9" s="28">
        <f t="shared" si="0"/>
        <v>675</v>
      </c>
      <c r="E9" s="28">
        <f t="shared" si="0"/>
        <v>496457.97000000009</v>
      </c>
      <c r="F9" s="28">
        <f t="shared" si="0"/>
        <v>145</v>
      </c>
      <c r="G9" s="28">
        <f t="shared" si="0"/>
        <v>61641.549999999996</v>
      </c>
      <c r="H9" s="28">
        <f t="shared" si="0"/>
        <v>47</v>
      </c>
      <c r="I9" s="28">
        <f t="shared" si="0"/>
        <v>23441.07</v>
      </c>
      <c r="J9" s="28">
        <f t="shared" si="0"/>
        <v>11</v>
      </c>
      <c r="K9" s="28">
        <f t="shared" si="0"/>
        <v>17076.870000000003</v>
      </c>
      <c r="L9" s="28">
        <f t="shared" si="0"/>
        <v>70</v>
      </c>
      <c r="M9" s="28">
        <f t="shared" si="0"/>
        <v>57180</v>
      </c>
      <c r="N9" s="26" t="s">
        <v>20</v>
      </c>
      <c r="O9" s="26" t="s">
        <v>20</v>
      </c>
      <c r="P9" s="27"/>
      <c r="Q9" s="27"/>
      <c r="R9" s="27"/>
    </row>
    <row r="10" spans="1:18" ht="9.3000000000000007" customHeight="1" x14ac:dyDescent="0.25">
      <c r="A10" s="1"/>
      <c r="B10" s="8"/>
      <c r="C10" s="8"/>
      <c r="D10" s="29"/>
      <c r="E10" s="29"/>
      <c r="F10" s="29"/>
      <c r="G10" s="29"/>
      <c r="H10" s="29"/>
      <c r="I10" s="29"/>
      <c r="J10" s="3"/>
      <c r="K10" s="3"/>
      <c r="L10" s="3"/>
      <c r="M10" s="3"/>
      <c r="N10" s="26" t="s">
        <v>20</v>
      </c>
      <c r="O10" s="26" t="s">
        <v>20</v>
      </c>
      <c r="P10" s="27"/>
      <c r="Q10" s="27"/>
      <c r="R10" s="27"/>
    </row>
    <row r="11" spans="1:18" ht="13.05" customHeight="1" x14ac:dyDescent="0.25">
      <c r="A11" s="1" t="s">
        <v>0</v>
      </c>
      <c r="B11" s="8">
        <f>+D11+F11+H11+J11+L11</f>
        <v>460</v>
      </c>
      <c r="C11" s="8">
        <f>+E11+G11+I11+K11+M11</f>
        <v>599268.04</v>
      </c>
      <c r="D11" s="4">
        <v>333</v>
      </c>
      <c r="E11" s="4">
        <v>478906.44000000006</v>
      </c>
      <c r="F11" s="4">
        <v>67</v>
      </c>
      <c r="G11" s="4">
        <v>41649.549999999996</v>
      </c>
      <c r="H11" s="4">
        <v>21</v>
      </c>
      <c r="I11" s="4">
        <v>15281.18</v>
      </c>
      <c r="J11" s="4">
        <v>7</v>
      </c>
      <c r="K11" s="4">
        <v>16007.87</v>
      </c>
      <c r="L11" s="4">
        <v>32</v>
      </c>
      <c r="M11" s="4">
        <v>47423</v>
      </c>
      <c r="N11" s="26" t="s">
        <v>20</v>
      </c>
      <c r="O11" s="26" t="s">
        <v>20</v>
      </c>
      <c r="P11" s="27"/>
      <c r="Q11" s="27"/>
      <c r="R11" s="27"/>
    </row>
    <row r="12" spans="1:18" ht="13.05" customHeight="1" x14ac:dyDescent="0.25">
      <c r="A12" s="1" t="s">
        <v>39</v>
      </c>
      <c r="B12" s="8">
        <f t="shared" ref="B12:C13" si="1">+D12+F12+H12+J12+L12</f>
        <v>206</v>
      </c>
      <c r="C12" s="8" t="s">
        <v>20</v>
      </c>
      <c r="D12" s="4">
        <v>143</v>
      </c>
      <c r="E12" s="4" t="s">
        <v>20</v>
      </c>
      <c r="F12" s="4">
        <v>37</v>
      </c>
      <c r="G12" s="4" t="s">
        <v>20</v>
      </c>
      <c r="H12" s="4">
        <v>9</v>
      </c>
      <c r="I12" s="4" t="s">
        <v>20</v>
      </c>
      <c r="J12" s="4">
        <v>1</v>
      </c>
      <c r="K12" s="4" t="s">
        <v>20</v>
      </c>
      <c r="L12" s="4">
        <v>16</v>
      </c>
      <c r="M12" s="4" t="s">
        <v>20</v>
      </c>
      <c r="N12" s="26" t="s">
        <v>20</v>
      </c>
      <c r="O12" s="26" t="s">
        <v>20</v>
      </c>
      <c r="P12" s="27"/>
      <c r="Q12" s="27"/>
      <c r="R12" s="27"/>
    </row>
    <row r="13" spans="1:18" ht="13.05" customHeight="1" x14ac:dyDescent="0.25">
      <c r="A13" s="1" t="s">
        <v>2</v>
      </c>
      <c r="B13" s="8">
        <f t="shared" si="1"/>
        <v>222</v>
      </c>
      <c r="C13" s="8">
        <f t="shared" si="1"/>
        <v>49488.77</v>
      </c>
      <c r="D13" s="4">
        <v>154</v>
      </c>
      <c r="E13" s="4">
        <v>17551.53</v>
      </c>
      <c r="F13" s="4">
        <v>33</v>
      </c>
      <c r="G13" s="4">
        <v>13193</v>
      </c>
      <c r="H13" s="4">
        <v>14</v>
      </c>
      <c r="I13" s="4">
        <v>7918.24</v>
      </c>
      <c r="J13" s="4">
        <v>3</v>
      </c>
      <c r="K13" s="4">
        <v>1069</v>
      </c>
      <c r="L13" s="4">
        <v>18</v>
      </c>
      <c r="M13" s="4">
        <v>9757</v>
      </c>
      <c r="N13" s="26" t="s">
        <v>20</v>
      </c>
      <c r="O13" s="26" t="s">
        <v>20</v>
      </c>
      <c r="P13" s="27"/>
      <c r="Q13" s="27"/>
      <c r="R13" s="27"/>
    </row>
    <row r="14" spans="1:18" ht="13.05" customHeight="1" x14ac:dyDescent="0.25">
      <c r="A14" s="30" t="s">
        <v>38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67"/>
      <c r="O14" s="67"/>
      <c r="P14" s="27"/>
      <c r="Q14" s="27"/>
      <c r="R14" s="27"/>
    </row>
    <row r="15" spans="1:18" ht="13.05" customHeight="1" x14ac:dyDescent="0.25">
      <c r="A15" s="1" t="s">
        <v>18</v>
      </c>
      <c r="B15" s="8">
        <f>+D15+H15+L15</f>
        <v>50</v>
      </c>
      <c r="C15" s="13" t="s">
        <v>20</v>
      </c>
      <c r="D15" s="25">
        <v>45</v>
      </c>
      <c r="E15" s="26" t="s">
        <v>20</v>
      </c>
      <c r="F15" s="26" t="s">
        <v>20</v>
      </c>
      <c r="G15" s="26" t="s">
        <v>20</v>
      </c>
      <c r="H15" s="4">
        <v>1</v>
      </c>
      <c r="I15" s="26" t="s">
        <v>20</v>
      </c>
      <c r="J15" s="26" t="s">
        <v>20</v>
      </c>
      <c r="K15" s="26" t="s">
        <v>20</v>
      </c>
      <c r="L15" s="26">
        <v>4</v>
      </c>
      <c r="M15" s="26" t="s">
        <v>20</v>
      </c>
      <c r="N15" s="26" t="s">
        <v>20</v>
      </c>
      <c r="O15" s="26" t="s">
        <v>20</v>
      </c>
      <c r="P15" s="27"/>
      <c r="Q15" s="27"/>
      <c r="R15" s="27"/>
    </row>
    <row r="16" spans="1:18" ht="13.05" customHeight="1" x14ac:dyDescent="0.25">
      <c r="A16" s="1" t="s">
        <v>22</v>
      </c>
      <c r="B16" s="13" t="s">
        <v>20</v>
      </c>
      <c r="C16" s="13" t="s">
        <v>20</v>
      </c>
      <c r="D16" s="26" t="s">
        <v>20</v>
      </c>
      <c r="E16" s="26" t="s">
        <v>20</v>
      </c>
      <c r="F16" s="26" t="s">
        <v>20</v>
      </c>
      <c r="G16" s="26" t="s">
        <v>20</v>
      </c>
      <c r="H16" s="26" t="s">
        <v>20</v>
      </c>
      <c r="I16" s="26" t="s">
        <v>20</v>
      </c>
      <c r="J16" s="26" t="s">
        <v>20</v>
      </c>
      <c r="K16" s="26" t="s">
        <v>20</v>
      </c>
      <c r="L16" s="26" t="s">
        <v>20</v>
      </c>
      <c r="M16" s="26" t="s">
        <v>20</v>
      </c>
      <c r="N16" s="26" t="s">
        <v>20</v>
      </c>
      <c r="O16" s="26" t="s">
        <v>20</v>
      </c>
      <c r="P16" s="27"/>
      <c r="Q16" s="27"/>
      <c r="R16" s="27"/>
    </row>
    <row r="17" spans="1:18" ht="13.05" customHeight="1" x14ac:dyDescent="0.25">
      <c r="A17" s="1" t="s">
        <v>8</v>
      </c>
      <c r="B17" s="8">
        <f>+F17+H17</f>
        <v>10</v>
      </c>
      <c r="C17" s="8">
        <f>+G17+I17</f>
        <v>7040.65</v>
      </c>
      <c r="D17" s="26" t="s">
        <v>20</v>
      </c>
      <c r="E17" s="26" t="s">
        <v>20</v>
      </c>
      <c r="F17" s="26">
        <v>8</v>
      </c>
      <c r="G17" s="4">
        <v>6799</v>
      </c>
      <c r="H17" s="26">
        <v>2</v>
      </c>
      <c r="I17" s="4">
        <v>241.64999999999998</v>
      </c>
      <c r="J17" s="26" t="s">
        <v>20</v>
      </c>
      <c r="K17" s="26" t="s">
        <v>20</v>
      </c>
      <c r="L17" s="26" t="s">
        <v>20</v>
      </c>
      <c r="M17" s="26" t="s">
        <v>20</v>
      </c>
      <c r="N17" s="26" t="s">
        <v>20</v>
      </c>
      <c r="O17" s="26" t="s">
        <v>20</v>
      </c>
      <c r="P17" s="27"/>
      <c r="Q17" s="27"/>
      <c r="R17" s="27"/>
    </row>
    <row r="18" spans="1:18" ht="9.3000000000000007" customHeight="1" x14ac:dyDescent="0.25">
      <c r="A18" s="1"/>
      <c r="B18" s="28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7"/>
      <c r="Q18" s="27"/>
      <c r="R18" s="27"/>
    </row>
    <row r="19" spans="1:18" ht="13.05" customHeight="1" x14ac:dyDescent="0.25">
      <c r="A19" s="130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27"/>
      <c r="Q19" s="27"/>
      <c r="R19" s="27"/>
    </row>
    <row r="20" spans="1:18" ht="13.05" customHeight="1" x14ac:dyDescent="0.25">
      <c r="A20" s="130" t="s">
        <v>37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27"/>
      <c r="Q20" s="27"/>
      <c r="R20" s="27"/>
    </row>
    <row r="21" spans="1:18" ht="13.05" customHeigh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27"/>
      <c r="Q21" s="27"/>
      <c r="R21" s="27"/>
    </row>
  </sheetData>
  <mergeCells count="19">
    <mergeCell ref="A1:O2"/>
    <mergeCell ref="A4:A7"/>
    <mergeCell ref="B4:C4"/>
    <mergeCell ref="D4:O4"/>
    <mergeCell ref="C5:C6"/>
    <mergeCell ref="D5:E5"/>
    <mergeCell ref="F5:G5"/>
    <mergeCell ref="H5:I5"/>
    <mergeCell ref="J5:K5"/>
    <mergeCell ref="L5:M5"/>
    <mergeCell ref="A19:O19"/>
    <mergeCell ref="A20:O21"/>
    <mergeCell ref="N5:O5"/>
    <mergeCell ref="E6:E7"/>
    <mergeCell ref="G6:G7"/>
    <mergeCell ref="I6:I7"/>
    <mergeCell ref="K6:K7"/>
    <mergeCell ref="M6:M7"/>
    <mergeCell ref="O6:O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showGridLines="0" workbookViewId="0">
      <selection sqref="A1:O2"/>
    </sheetView>
  </sheetViews>
  <sheetFormatPr baseColWidth="10" defaultRowHeight="15" x14ac:dyDescent="0.25"/>
  <cols>
    <col min="1" max="1" width="15.75" customWidth="1"/>
    <col min="2" max="2" width="7.6640625" customWidth="1"/>
    <col min="3" max="3" width="6.6640625" customWidth="1"/>
    <col min="4" max="4" width="6" customWidth="1"/>
    <col min="5" max="5" width="6.6640625" customWidth="1"/>
    <col min="6" max="6" width="5.58203125" customWidth="1"/>
    <col min="7" max="7" width="6.6640625" customWidth="1"/>
    <col min="8" max="8" width="6.08203125" customWidth="1"/>
    <col min="9" max="9" width="6.6640625" customWidth="1"/>
    <col min="10" max="10" width="5.9140625" customWidth="1"/>
    <col min="11" max="11" width="6.6640625" customWidth="1"/>
    <col min="12" max="12" width="6.08203125" customWidth="1"/>
    <col min="13" max="13" width="6.6640625" customWidth="1"/>
    <col min="14" max="14" width="6.08203125" customWidth="1"/>
    <col min="15" max="15" width="6.6640625" customWidth="1"/>
  </cols>
  <sheetData>
    <row r="1" spans="1:18" ht="15.75" customHeight="1" x14ac:dyDescent="0.25">
      <c r="A1" s="133" t="s">
        <v>40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8" ht="15.75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</row>
    <row r="3" spans="1:18" ht="9.3000000000000007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8" ht="13.05" customHeight="1" x14ac:dyDescent="0.25">
      <c r="A4" s="134" t="s">
        <v>10</v>
      </c>
      <c r="B4" s="131" t="s">
        <v>11</v>
      </c>
      <c r="C4" s="131"/>
      <c r="D4" s="131" t="s">
        <v>13</v>
      </c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27"/>
      <c r="Q4" s="27"/>
      <c r="R4" s="27"/>
    </row>
    <row r="5" spans="1:18" ht="13.05" customHeight="1" x14ac:dyDescent="0.25">
      <c r="A5" s="134"/>
      <c r="B5" s="18" t="s">
        <v>15</v>
      </c>
      <c r="C5" s="132" t="s">
        <v>17</v>
      </c>
      <c r="D5" s="131" t="s">
        <v>3</v>
      </c>
      <c r="E5" s="131"/>
      <c r="F5" s="131" t="s">
        <v>4</v>
      </c>
      <c r="G5" s="131"/>
      <c r="H5" s="131" t="s">
        <v>5</v>
      </c>
      <c r="I5" s="131"/>
      <c r="J5" s="131" t="s">
        <v>6</v>
      </c>
      <c r="K5" s="131"/>
      <c r="L5" s="131" t="s">
        <v>35</v>
      </c>
      <c r="M5" s="131"/>
      <c r="N5" s="131" t="s">
        <v>7</v>
      </c>
      <c r="O5" s="131"/>
      <c r="P5" s="27"/>
      <c r="Q5" s="27"/>
      <c r="R5" s="27"/>
    </row>
    <row r="6" spans="1:18" ht="13.05" customHeight="1" x14ac:dyDescent="0.25">
      <c r="A6" s="134"/>
      <c r="B6" s="18" t="s">
        <v>16</v>
      </c>
      <c r="C6" s="132"/>
      <c r="D6" s="18" t="s">
        <v>15</v>
      </c>
      <c r="E6" s="132" t="s">
        <v>17</v>
      </c>
      <c r="F6" s="18" t="s">
        <v>15</v>
      </c>
      <c r="G6" s="132" t="s">
        <v>17</v>
      </c>
      <c r="H6" s="18" t="s">
        <v>15</v>
      </c>
      <c r="I6" s="132" t="s">
        <v>17</v>
      </c>
      <c r="J6" s="18" t="s">
        <v>15</v>
      </c>
      <c r="K6" s="132" t="s">
        <v>17</v>
      </c>
      <c r="L6" s="18" t="s">
        <v>15</v>
      </c>
      <c r="M6" s="132" t="s">
        <v>17</v>
      </c>
      <c r="N6" s="18" t="s">
        <v>15</v>
      </c>
      <c r="O6" s="132" t="s">
        <v>17</v>
      </c>
      <c r="P6" s="27"/>
      <c r="Q6" s="27"/>
      <c r="R6" s="27"/>
    </row>
    <row r="7" spans="1:18" ht="13.05" customHeight="1" x14ac:dyDescent="0.25">
      <c r="A7" s="134"/>
      <c r="B7" s="1"/>
      <c r="C7" s="1"/>
      <c r="D7" s="18" t="s">
        <v>16</v>
      </c>
      <c r="E7" s="132"/>
      <c r="F7" s="18" t="s">
        <v>16</v>
      </c>
      <c r="G7" s="132"/>
      <c r="H7" s="18" t="s">
        <v>16</v>
      </c>
      <c r="I7" s="132"/>
      <c r="J7" s="18" t="s">
        <v>16</v>
      </c>
      <c r="K7" s="132"/>
      <c r="L7" s="18" t="s">
        <v>16</v>
      </c>
      <c r="M7" s="132"/>
      <c r="N7" s="18" t="s">
        <v>16</v>
      </c>
      <c r="O7" s="132"/>
      <c r="P7" s="27"/>
      <c r="Q7" s="27"/>
      <c r="R7" s="27"/>
    </row>
    <row r="8" spans="1:18" ht="9.3000000000000007" customHeight="1" x14ac:dyDescent="0.25">
      <c r="A8" s="1"/>
      <c r="B8" s="28"/>
      <c r="C8" s="28"/>
      <c r="D8" s="29"/>
      <c r="E8" s="29"/>
      <c r="F8" s="29"/>
      <c r="G8" s="29"/>
      <c r="H8" s="29"/>
      <c r="I8" s="29"/>
      <c r="J8" s="3"/>
      <c r="K8" s="3"/>
      <c r="L8" s="3"/>
      <c r="M8" s="3"/>
      <c r="N8" s="3"/>
      <c r="O8" s="3"/>
      <c r="P8" s="27"/>
      <c r="Q8" s="27"/>
      <c r="R8" s="27"/>
    </row>
    <row r="9" spans="1:18" ht="13.05" customHeight="1" x14ac:dyDescent="0.25">
      <c r="A9" s="1" t="s">
        <v>11</v>
      </c>
      <c r="B9" s="8">
        <f>SUM(B11:B17)</f>
        <v>956</v>
      </c>
      <c r="C9" s="8">
        <f>SUM(C11:C17)</f>
        <v>568505.48</v>
      </c>
      <c r="D9" s="28">
        <f>SUM(D11:D15,D17)</f>
        <v>428</v>
      </c>
      <c r="E9" s="28">
        <f>SUM(E11:E15,E17)</f>
        <v>61841.48</v>
      </c>
      <c r="F9" s="28">
        <f t="shared" ref="F9:M9" si="0">SUM(F11:F17)</f>
        <v>119</v>
      </c>
      <c r="G9" s="28">
        <f t="shared" si="0"/>
        <v>33264</v>
      </c>
      <c r="H9" s="28">
        <f t="shared" si="0"/>
        <v>29</v>
      </c>
      <c r="I9" s="28">
        <f t="shared" si="0"/>
        <v>19679</v>
      </c>
      <c r="J9" s="28">
        <f t="shared" si="0"/>
        <v>13</v>
      </c>
      <c r="K9" s="28">
        <f t="shared" si="0"/>
        <v>7222</v>
      </c>
      <c r="L9" s="28">
        <f t="shared" si="0"/>
        <v>367</v>
      </c>
      <c r="M9" s="28">
        <f t="shared" si="0"/>
        <v>446499</v>
      </c>
      <c r="N9" s="4" t="s">
        <v>20</v>
      </c>
      <c r="O9" s="4" t="s">
        <v>20</v>
      </c>
      <c r="P9" s="27"/>
      <c r="Q9" s="27"/>
      <c r="R9" s="27"/>
    </row>
    <row r="10" spans="1:18" ht="9.3000000000000007" customHeight="1" x14ac:dyDescent="0.25">
      <c r="A10" s="1"/>
      <c r="B10" s="8"/>
      <c r="C10" s="8"/>
      <c r="D10" s="29"/>
      <c r="E10" s="29"/>
      <c r="F10" s="29"/>
      <c r="G10" s="29"/>
      <c r="H10" s="29"/>
      <c r="I10" s="29"/>
      <c r="J10" s="3"/>
      <c r="K10" s="3"/>
      <c r="L10" s="3"/>
      <c r="M10" s="3"/>
      <c r="N10" s="3"/>
      <c r="O10" s="3"/>
      <c r="P10" s="27"/>
      <c r="Q10" s="27"/>
      <c r="R10" s="27"/>
    </row>
    <row r="11" spans="1:18" ht="13.05" customHeight="1" x14ac:dyDescent="0.25">
      <c r="A11" s="1" t="s">
        <v>0</v>
      </c>
      <c r="B11" s="8">
        <f>+D11+F11+H11+J11+L11</f>
        <v>354</v>
      </c>
      <c r="C11" s="8">
        <f>+E11+G11+I11+K11+M11</f>
        <v>522138.08</v>
      </c>
      <c r="D11" s="129">
        <v>117</v>
      </c>
      <c r="E11" s="4">
        <v>49640.08</v>
      </c>
      <c r="F11" s="129">
        <v>35</v>
      </c>
      <c r="G11" s="4">
        <v>26250</v>
      </c>
      <c r="H11" s="129">
        <v>13</v>
      </c>
      <c r="I11" s="4">
        <v>17330</v>
      </c>
      <c r="J11" s="4">
        <v>4</v>
      </c>
      <c r="K11" s="4">
        <v>5653</v>
      </c>
      <c r="L11" s="129">
        <v>185</v>
      </c>
      <c r="M11" s="4">
        <v>423265</v>
      </c>
      <c r="P11" s="27"/>
      <c r="Q11" s="27"/>
      <c r="R11" s="27"/>
    </row>
    <row r="12" spans="1:18" ht="13.05" customHeight="1" x14ac:dyDescent="0.25">
      <c r="A12" s="1" t="s">
        <v>39</v>
      </c>
      <c r="B12" s="8">
        <f>+D12+F12+H12+J12+L12</f>
        <v>300</v>
      </c>
      <c r="C12" s="8" t="s">
        <v>20</v>
      </c>
      <c r="D12" s="129">
        <v>143</v>
      </c>
      <c r="E12" s="4" t="s">
        <v>20</v>
      </c>
      <c r="F12" s="129">
        <v>60</v>
      </c>
      <c r="G12" s="4" t="s">
        <v>20</v>
      </c>
      <c r="H12" s="129">
        <v>10</v>
      </c>
      <c r="I12" s="4" t="s">
        <v>20</v>
      </c>
      <c r="J12" s="4">
        <v>4</v>
      </c>
      <c r="K12" s="4" t="s">
        <v>20</v>
      </c>
      <c r="L12" s="129">
        <v>83</v>
      </c>
      <c r="M12" s="4" t="s">
        <v>20</v>
      </c>
      <c r="N12" s="4" t="s">
        <v>20</v>
      </c>
      <c r="O12" s="4" t="s">
        <v>20</v>
      </c>
      <c r="P12" s="27"/>
      <c r="Q12" s="27"/>
      <c r="R12" s="27"/>
    </row>
    <row r="13" spans="1:18" ht="13.05" customHeight="1" x14ac:dyDescent="0.25">
      <c r="A13" s="1" t="s">
        <v>2</v>
      </c>
      <c r="B13" s="8">
        <f t="shared" ref="B13:C13" si="1">+D13+F13+H13+J13+L13</f>
        <v>245</v>
      </c>
      <c r="C13" s="8">
        <f t="shared" si="1"/>
        <v>44206.400000000001</v>
      </c>
      <c r="D13" s="129">
        <v>136</v>
      </c>
      <c r="E13" s="4">
        <v>11551.4</v>
      </c>
      <c r="F13" s="129">
        <v>19</v>
      </c>
      <c r="G13" s="4">
        <v>5694</v>
      </c>
      <c r="H13" s="129">
        <v>6</v>
      </c>
      <c r="I13" s="4">
        <v>2349</v>
      </c>
      <c r="J13" s="4">
        <v>5</v>
      </c>
      <c r="K13" s="4">
        <v>1569</v>
      </c>
      <c r="L13" s="129">
        <v>79</v>
      </c>
      <c r="M13" s="4">
        <v>23043</v>
      </c>
      <c r="N13" s="4" t="s">
        <v>20</v>
      </c>
      <c r="O13" s="4" t="s">
        <v>20</v>
      </c>
      <c r="P13" s="27"/>
      <c r="Q13" s="27"/>
      <c r="R13" s="27"/>
    </row>
    <row r="14" spans="1:18" ht="13.05" customHeight="1" x14ac:dyDescent="0.25">
      <c r="A14" s="30" t="s">
        <v>38</v>
      </c>
      <c r="B14" s="8"/>
      <c r="C14" s="1"/>
      <c r="D14" s="129"/>
      <c r="E14" s="1"/>
      <c r="F14" s="129"/>
      <c r="G14" s="1"/>
      <c r="H14" s="129"/>
      <c r="I14" s="1"/>
      <c r="J14" s="1"/>
      <c r="K14" s="1"/>
      <c r="L14" s="129"/>
      <c r="M14" s="1"/>
      <c r="N14" s="1"/>
      <c r="O14" s="1"/>
      <c r="P14" s="27"/>
      <c r="Q14" s="27"/>
      <c r="R14" s="27"/>
    </row>
    <row r="15" spans="1:18" ht="13.05" customHeight="1" x14ac:dyDescent="0.25">
      <c r="A15" s="1" t="s">
        <v>18</v>
      </c>
      <c r="B15" s="8">
        <f>+D15+F15+L15</f>
        <v>42</v>
      </c>
      <c r="C15" s="4" t="s">
        <v>20</v>
      </c>
      <c r="D15" s="129">
        <v>26</v>
      </c>
      <c r="E15" s="26" t="s">
        <v>20</v>
      </c>
      <c r="F15" s="129">
        <v>1</v>
      </c>
      <c r="G15" s="8" t="s">
        <v>20</v>
      </c>
      <c r="H15" s="8" t="s">
        <v>20</v>
      </c>
      <c r="I15" s="8" t="s">
        <v>20</v>
      </c>
      <c r="J15" s="8" t="s">
        <v>20</v>
      </c>
      <c r="K15" s="8" t="s">
        <v>20</v>
      </c>
      <c r="L15" s="129">
        <v>15</v>
      </c>
      <c r="M15" s="4" t="s">
        <v>20</v>
      </c>
      <c r="N15" s="4" t="s">
        <v>20</v>
      </c>
      <c r="O15" s="4" t="s">
        <v>20</v>
      </c>
      <c r="P15" s="27"/>
      <c r="Q15" s="27"/>
      <c r="R15" s="27"/>
    </row>
    <row r="16" spans="1:18" ht="13.05" customHeight="1" x14ac:dyDescent="0.25">
      <c r="A16" s="1" t="s">
        <v>22</v>
      </c>
      <c r="B16" s="8" t="s">
        <v>20</v>
      </c>
      <c r="C16" s="8" t="s">
        <v>20</v>
      </c>
      <c r="D16" s="8" t="s">
        <v>20</v>
      </c>
      <c r="E16" s="8" t="s">
        <v>20</v>
      </c>
      <c r="F16" s="8" t="s">
        <v>20</v>
      </c>
      <c r="G16" s="8" t="s">
        <v>20</v>
      </c>
      <c r="H16" s="8" t="s">
        <v>20</v>
      </c>
      <c r="I16" s="8" t="s">
        <v>20</v>
      </c>
      <c r="J16" s="8" t="s">
        <v>20</v>
      </c>
      <c r="K16" s="8" t="s">
        <v>20</v>
      </c>
      <c r="L16" s="8" t="s">
        <v>20</v>
      </c>
      <c r="M16" s="8" t="s">
        <v>20</v>
      </c>
      <c r="N16" s="8" t="s">
        <v>20</v>
      </c>
      <c r="O16" s="8" t="s">
        <v>20</v>
      </c>
      <c r="P16" s="27"/>
      <c r="Q16" s="27"/>
      <c r="R16" s="27"/>
    </row>
    <row r="17" spans="1:18" ht="13.05" customHeight="1" x14ac:dyDescent="0.25">
      <c r="A17" s="1" t="s">
        <v>8</v>
      </c>
      <c r="B17" s="8">
        <f>+D17+F17+L17</f>
        <v>15</v>
      </c>
      <c r="C17" s="8">
        <f>+E17+G17+M17</f>
        <v>2161</v>
      </c>
      <c r="D17" s="129">
        <v>6</v>
      </c>
      <c r="E17" s="4">
        <v>650</v>
      </c>
      <c r="F17" s="129">
        <v>4</v>
      </c>
      <c r="G17" s="4">
        <v>1320</v>
      </c>
      <c r="H17" t="s">
        <v>20</v>
      </c>
      <c r="I17" s="4" t="s">
        <v>20</v>
      </c>
      <c r="J17" s="4" t="s">
        <v>20</v>
      </c>
      <c r="K17" s="4" t="s">
        <v>20</v>
      </c>
      <c r="L17" s="129">
        <v>5</v>
      </c>
      <c r="M17" s="4">
        <v>191</v>
      </c>
      <c r="N17" s="4" t="s">
        <v>20</v>
      </c>
      <c r="O17" s="4" t="s">
        <v>20</v>
      </c>
      <c r="P17" s="27"/>
      <c r="Q17" s="27"/>
      <c r="R17" s="27"/>
    </row>
    <row r="18" spans="1:18" ht="9.3000000000000007" customHeight="1" x14ac:dyDescent="0.25">
      <c r="A18" s="1"/>
      <c r="B18" s="28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7"/>
      <c r="Q18" s="27"/>
      <c r="R18" s="27"/>
    </row>
    <row r="19" spans="1:18" ht="13.05" customHeight="1" x14ac:dyDescent="0.25">
      <c r="A19" s="130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27"/>
      <c r="Q19" s="27"/>
      <c r="R19" s="27"/>
    </row>
    <row r="20" spans="1:18" ht="13.05" customHeight="1" x14ac:dyDescent="0.25">
      <c r="A20" s="130" t="s">
        <v>37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27"/>
      <c r="Q20" s="27"/>
      <c r="R20" s="27"/>
    </row>
    <row r="21" spans="1:18" ht="13.05" customHeigh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27"/>
      <c r="Q21" s="27"/>
      <c r="R21" s="27"/>
    </row>
    <row r="22" spans="1:18" ht="9.3000000000000007" customHeigh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</row>
  </sheetData>
  <mergeCells count="19">
    <mergeCell ref="A19:O19"/>
    <mergeCell ref="A20:O21"/>
    <mergeCell ref="N5:O5"/>
    <mergeCell ref="E6:E7"/>
    <mergeCell ref="G6:G7"/>
    <mergeCell ref="I6:I7"/>
    <mergeCell ref="K6:K7"/>
    <mergeCell ref="M6:M7"/>
    <mergeCell ref="O6:O7"/>
    <mergeCell ref="A1:O2"/>
    <mergeCell ref="A4:A7"/>
    <mergeCell ref="B4:C4"/>
    <mergeCell ref="D4:O4"/>
    <mergeCell ref="C5:C6"/>
    <mergeCell ref="D5:E5"/>
    <mergeCell ref="F5:G5"/>
    <mergeCell ref="H5:I5"/>
    <mergeCell ref="J5:K5"/>
    <mergeCell ref="L5:M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showGridLines="0" workbookViewId="0">
      <selection sqref="A1:O2"/>
    </sheetView>
  </sheetViews>
  <sheetFormatPr baseColWidth="10" defaultRowHeight="15" x14ac:dyDescent="0.25"/>
  <cols>
    <col min="1" max="1" width="15.75" customWidth="1"/>
    <col min="2" max="2" width="7.6640625" customWidth="1"/>
    <col min="3" max="3" width="6.6640625" customWidth="1"/>
    <col min="4" max="4" width="6" customWidth="1"/>
    <col min="5" max="5" width="6.6640625" customWidth="1"/>
    <col min="6" max="6" width="5.58203125" customWidth="1"/>
    <col min="7" max="7" width="6.6640625" customWidth="1"/>
    <col min="8" max="8" width="6.08203125" customWidth="1"/>
    <col min="9" max="9" width="6.6640625" customWidth="1"/>
    <col min="10" max="10" width="5.9140625" customWidth="1"/>
    <col min="11" max="11" width="6.6640625" customWidth="1"/>
    <col min="12" max="12" width="6.08203125" customWidth="1"/>
    <col min="13" max="13" width="6.6640625" customWidth="1"/>
    <col min="14" max="14" width="6.08203125" customWidth="1"/>
    <col min="15" max="15" width="6.6640625" customWidth="1"/>
  </cols>
  <sheetData>
    <row r="1" spans="1:18" ht="15.75" customHeight="1" x14ac:dyDescent="0.25">
      <c r="A1" s="133" t="s">
        <v>36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8" ht="15.75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</row>
    <row r="3" spans="1:18" ht="9.3000000000000007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8" ht="13.05" customHeight="1" x14ac:dyDescent="0.25">
      <c r="A4" s="134" t="s">
        <v>10</v>
      </c>
      <c r="B4" s="131" t="s">
        <v>11</v>
      </c>
      <c r="C4" s="131"/>
      <c r="D4" s="131" t="s">
        <v>13</v>
      </c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27"/>
      <c r="Q4" s="27"/>
      <c r="R4" s="27"/>
    </row>
    <row r="5" spans="1:18" ht="13.05" customHeight="1" x14ac:dyDescent="0.25">
      <c r="A5" s="134"/>
      <c r="B5" s="18" t="s">
        <v>15</v>
      </c>
      <c r="C5" s="132" t="s">
        <v>17</v>
      </c>
      <c r="D5" s="131" t="s">
        <v>3</v>
      </c>
      <c r="E5" s="131"/>
      <c r="F5" s="131" t="s">
        <v>4</v>
      </c>
      <c r="G5" s="131"/>
      <c r="H5" s="131" t="s">
        <v>5</v>
      </c>
      <c r="I5" s="131"/>
      <c r="J5" s="131" t="s">
        <v>6</v>
      </c>
      <c r="K5" s="131"/>
      <c r="L5" s="131" t="s">
        <v>35</v>
      </c>
      <c r="M5" s="131"/>
      <c r="N5" s="131" t="s">
        <v>7</v>
      </c>
      <c r="O5" s="131"/>
      <c r="P5" s="27"/>
      <c r="Q5" s="27"/>
      <c r="R5" s="27"/>
    </row>
    <row r="6" spans="1:18" ht="13.05" customHeight="1" x14ac:dyDescent="0.25">
      <c r="A6" s="134"/>
      <c r="B6" s="18" t="s">
        <v>16</v>
      </c>
      <c r="C6" s="132"/>
      <c r="D6" s="18" t="s">
        <v>15</v>
      </c>
      <c r="E6" s="132" t="s">
        <v>17</v>
      </c>
      <c r="F6" s="18" t="s">
        <v>15</v>
      </c>
      <c r="G6" s="132" t="s">
        <v>17</v>
      </c>
      <c r="H6" s="18" t="s">
        <v>15</v>
      </c>
      <c r="I6" s="132" t="s">
        <v>17</v>
      </c>
      <c r="J6" s="18" t="s">
        <v>15</v>
      </c>
      <c r="K6" s="132" t="s">
        <v>17</v>
      </c>
      <c r="L6" s="18" t="s">
        <v>15</v>
      </c>
      <c r="M6" s="132" t="s">
        <v>17</v>
      </c>
      <c r="N6" s="18" t="s">
        <v>15</v>
      </c>
      <c r="O6" s="132" t="s">
        <v>17</v>
      </c>
      <c r="P6" s="27"/>
      <c r="Q6" s="27"/>
      <c r="R6" s="27"/>
    </row>
    <row r="7" spans="1:18" ht="13.05" customHeight="1" x14ac:dyDescent="0.25">
      <c r="A7" s="134"/>
      <c r="B7" s="1"/>
      <c r="C7" s="1"/>
      <c r="D7" s="18" t="s">
        <v>16</v>
      </c>
      <c r="E7" s="132"/>
      <c r="F7" s="18" t="s">
        <v>16</v>
      </c>
      <c r="G7" s="132"/>
      <c r="H7" s="18" t="s">
        <v>16</v>
      </c>
      <c r="I7" s="132"/>
      <c r="J7" s="18" t="s">
        <v>16</v>
      </c>
      <c r="K7" s="132"/>
      <c r="L7" s="18" t="s">
        <v>16</v>
      </c>
      <c r="M7" s="132"/>
      <c r="N7" s="18" t="s">
        <v>16</v>
      </c>
      <c r="O7" s="132"/>
      <c r="P7" s="27"/>
      <c r="Q7" s="27"/>
      <c r="R7" s="27"/>
    </row>
    <row r="8" spans="1:18" ht="9.3000000000000007" customHeight="1" x14ac:dyDescent="0.25">
      <c r="A8" s="1"/>
      <c r="B8" s="28"/>
      <c r="C8" s="28"/>
      <c r="D8" s="29"/>
      <c r="E8" s="29"/>
      <c r="F8" s="29"/>
      <c r="G8" s="29"/>
      <c r="H8" s="29"/>
      <c r="I8" s="29"/>
      <c r="J8" s="3"/>
      <c r="K8" s="3"/>
      <c r="L8" s="3"/>
      <c r="M8" s="3"/>
      <c r="N8" s="3"/>
      <c r="O8" s="3"/>
      <c r="P8" s="27"/>
      <c r="Q8" s="27"/>
      <c r="R8" s="27"/>
    </row>
    <row r="9" spans="1:18" ht="13.05" customHeight="1" x14ac:dyDescent="0.25">
      <c r="A9" s="1" t="s">
        <v>11</v>
      </c>
      <c r="B9" s="8">
        <f>SUM(B11:B17)</f>
        <v>1167</v>
      </c>
      <c r="C9" s="8">
        <f>SUM(C11:C17)</f>
        <v>639236</v>
      </c>
      <c r="D9" s="28">
        <f>SUM(D11:D17)</f>
        <v>563</v>
      </c>
      <c r="E9" s="28">
        <f t="shared" ref="E9:M9" si="0">SUM(E11:E17)</f>
        <v>143009</v>
      </c>
      <c r="F9" s="28">
        <f t="shared" si="0"/>
        <v>179</v>
      </c>
      <c r="G9" s="28">
        <f t="shared" si="0"/>
        <v>99253</v>
      </c>
      <c r="H9" s="28">
        <f t="shared" si="0"/>
        <v>46</v>
      </c>
      <c r="I9" s="28">
        <f t="shared" si="0"/>
        <v>28226</v>
      </c>
      <c r="J9" s="28">
        <f t="shared" si="0"/>
        <v>8</v>
      </c>
      <c r="K9" s="28">
        <f t="shared" si="0"/>
        <v>52354</v>
      </c>
      <c r="L9" s="28">
        <f t="shared" si="0"/>
        <v>371</v>
      </c>
      <c r="M9" s="28">
        <f t="shared" si="0"/>
        <v>316394</v>
      </c>
      <c r="N9" s="28" t="s">
        <v>20</v>
      </c>
      <c r="O9" s="28" t="s">
        <v>20</v>
      </c>
      <c r="P9" s="27"/>
      <c r="Q9" s="27"/>
      <c r="R9" s="27"/>
    </row>
    <row r="10" spans="1:18" ht="9.3000000000000007" customHeight="1" x14ac:dyDescent="0.25">
      <c r="A10" s="1"/>
      <c r="B10" s="8"/>
      <c r="C10" s="8"/>
      <c r="D10" s="29"/>
      <c r="E10" s="29"/>
      <c r="F10" s="29"/>
      <c r="G10" s="29"/>
      <c r="H10" s="29"/>
      <c r="I10" s="29"/>
      <c r="J10" s="3"/>
      <c r="K10" s="3"/>
      <c r="L10" s="3"/>
      <c r="M10" s="3"/>
      <c r="N10" s="3"/>
      <c r="O10" s="3"/>
      <c r="P10" s="27"/>
      <c r="Q10" s="27"/>
      <c r="R10" s="27"/>
    </row>
    <row r="11" spans="1:18" ht="13.05" customHeight="1" x14ac:dyDescent="0.25">
      <c r="A11" s="1" t="s">
        <v>0</v>
      </c>
      <c r="B11" s="8">
        <f>+D11+F11+H11+J11+L11</f>
        <v>450</v>
      </c>
      <c r="C11" s="8">
        <f>+E11+G11+I11+K11+M11</f>
        <v>479249</v>
      </c>
      <c r="D11" s="4">
        <v>180</v>
      </c>
      <c r="E11" s="4">
        <v>120853</v>
      </c>
      <c r="F11" s="4">
        <v>65</v>
      </c>
      <c r="G11" s="4">
        <v>38229</v>
      </c>
      <c r="H11" s="4">
        <v>17</v>
      </c>
      <c r="I11" s="4">
        <v>15254</v>
      </c>
      <c r="J11" s="4">
        <v>3</v>
      </c>
      <c r="K11" s="4">
        <v>852</v>
      </c>
      <c r="L11" s="4">
        <v>185</v>
      </c>
      <c r="M11" s="4">
        <v>304061</v>
      </c>
      <c r="N11" s="4" t="s">
        <v>20</v>
      </c>
      <c r="O11" s="4" t="s">
        <v>20</v>
      </c>
      <c r="P11" s="27"/>
      <c r="Q11" s="27"/>
      <c r="R11" s="27"/>
    </row>
    <row r="12" spans="1:18" ht="13.05" customHeight="1" x14ac:dyDescent="0.25">
      <c r="A12" s="1" t="s">
        <v>39</v>
      </c>
      <c r="B12" s="8">
        <f>+D12+F12+H12+L12</f>
        <v>203</v>
      </c>
      <c r="C12" s="8" t="s">
        <v>20</v>
      </c>
      <c r="D12" s="4">
        <v>91</v>
      </c>
      <c r="E12" s="4" t="s">
        <v>20</v>
      </c>
      <c r="F12" s="4">
        <v>52</v>
      </c>
      <c r="G12" s="4" t="s">
        <v>20</v>
      </c>
      <c r="H12" s="4">
        <v>5</v>
      </c>
      <c r="I12" s="4" t="s">
        <v>20</v>
      </c>
      <c r="J12" s="4" t="s">
        <v>20</v>
      </c>
      <c r="K12" s="4" t="s">
        <v>20</v>
      </c>
      <c r="L12" s="4">
        <v>55</v>
      </c>
      <c r="M12" s="4" t="s">
        <v>20</v>
      </c>
      <c r="N12" s="4" t="s">
        <v>20</v>
      </c>
      <c r="O12" s="4" t="s">
        <v>20</v>
      </c>
      <c r="P12" s="27"/>
      <c r="Q12" s="27"/>
      <c r="R12" s="27"/>
    </row>
    <row r="13" spans="1:18" ht="13.05" customHeight="1" x14ac:dyDescent="0.25">
      <c r="A13" s="1" t="s">
        <v>2</v>
      </c>
      <c r="B13" s="8">
        <f>+D13+F13+H13+J13+L13</f>
        <v>308</v>
      </c>
      <c r="C13" s="8">
        <f>+E13+G13+I13+K13+M13</f>
        <v>111943</v>
      </c>
      <c r="D13" s="4">
        <v>175</v>
      </c>
      <c r="E13" s="4">
        <v>16911</v>
      </c>
      <c r="F13" s="4">
        <v>35</v>
      </c>
      <c r="G13" s="4">
        <v>23812</v>
      </c>
      <c r="H13" s="4">
        <v>14</v>
      </c>
      <c r="I13" s="4">
        <v>9372</v>
      </c>
      <c r="J13" s="4">
        <v>5</v>
      </c>
      <c r="K13" s="4">
        <v>51502</v>
      </c>
      <c r="L13" s="4">
        <v>79</v>
      </c>
      <c r="M13" s="4">
        <v>10346</v>
      </c>
      <c r="N13" s="4" t="s">
        <v>20</v>
      </c>
      <c r="O13" s="4" t="s">
        <v>20</v>
      </c>
      <c r="P13" s="27"/>
      <c r="Q13" s="27"/>
      <c r="R13" s="27"/>
    </row>
    <row r="14" spans="1:18" ht="13.05" customHeight="1" x14ac:dyDescent="0.25">
      <c r="A14" s="30" t="s">
        <v>38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7"/>
      <c r="Q14" s="27"/>
      <c r="R14" s="27"/>
    </row>
    <row r="15" spans="1:18" ht="13.05" customHeight="1" x14ac:dyDescent="0.25">
      <c r="A15" s="1" t="s">
        <v>18</v>
      </c>
      <c r="B15" s="8">
        <f>+D15+F15+L15</f>
        <v>37</v>
      </c>
      <c r="C15" s="8" t="s">
        <v>20</v>
      </c>
      <c r="D15" s="25">
        <v>24</v>
      </c>
      <c r="E15" s="26" t="s">
        <v>20</v>
      </c>
      <c r="F15" s="26">
        <v>1</v>
      </c>
      <c r="G15" s="26" t="s">
        <v>20</v>
      </c>
      <c r="H15" s="26" t="s">
        <v>20</v>
      </c>
      <c r="I15" s="26" t="s">
        <v>20</v>
      </c>
      <c r="J15" s="26" t="s">
        <v>20</v>
      </c>
      <c r="K15" s="26" t="s">
        <v>20</v>
      </c>
      <c r="L15" s="26">
        <v>12</v>
      </c>
      <c r="M15" s="26" t="s">
        <v>20</v>
      </c>
      <c r="N15" s="4" t="s">
        <v>20</v>
      </c>
      <c r="O15" s="4" t="s">
        <v>20</v>
      </c>
      <c r="P15" s="27"/>
      <c r="Q15" s="27"/>
      <c r="R15" s="27"/>
    </row>
    <row r="16" spans="1:18" ht="13.05" customHeight="1" x14ac:dyDescent="0.25">
      <c r="A16" s="1" t="s">
        <v>8</v>
      </c>
      <c r="B16" s="8">
        <f>+D16+F16+H16+L16</f>
        <v>169</v>
      </c>
      <c r="C16" s="8">
        <f>+E16+G16+I16+M16</f>
        <v>48044</v>
      </c>
      <c r="D16" s="4">
        <v>93</v>
      </c>
      <c r="E16" s="4">
        <v>5245</v>
      </c>
      <c r="F16" s="4">
        <v>26</v>
      </c>
      <c r="G16" s="4">
        <v>37212</v>
      </c>
      <c r="H16" s="4">
        <v>10</v>
      </c>
      <c r="I16" s="4">
        <v>3600</v>
      </c>
      <c r="J16" s="4"/>
      <c r="K16" s="4"/>
      <c r="L16" s="4">
        <v>40</v>
      </c>
      <c r="M16" s="4">
        <v>1987</v>
      </c>
      <c r="N16" s="4" t="s">
        <v>20</v>
      </c>
      <c r="O16" s="4" t="s">
        <v>20</v>
      </c>
      <c r="P16" s="27"/>
      <c r="Q16" s="27"/>
      <c r="R16" s="27"/>
    </row>
    <row r="17" spans="1:18" ht="13.05" customHeight="1" x14ac:dyDescent="0.25">
      <c r="A17" s="1" t="s">
        <v>7</v>
      </c>
      <c r="B17" s="8" t="s">
        <v>20</v>
      </c>
      <c r="C17" s="8" t="s">
        <v>20</v>
      </c>
      <c r="D17" s="4" t="s">
        <v>20</v>
      </c>
      <c r="E17" s="4" t="s">
        <v>20</v>
      </c>
      <c r="F17" s="4" t="s">
        <v>20</v>
      </c>
      <c r="G17" s="4" t="s">
        <v>20</v>
      </c>
      <c r="H17" s="4" t="s">
        <v>20</v>
      </c>
      <c r="I17" s="4" t="s">
        <v>20</v>
      </c>
      <c r="J17" s="4" t="s">
        <v>20</v>
      </c>
      <c r="K17" s="4" t="s">
        <v>20</v>
      </c>
      <c r="L17" s="4" t="s">
        <v>20</v>
      </c>
      <c r="M17" s="4" t="s">
        <v>20</v>
      </c>
      <c r="N17" s="4" t="s">
        <v>20</v>
      </c>
      <c r="O17" s="4" t="s">
        <v>20</v>
      </c>
      <c r="P17" s="27"/>
      <c r="Q17" s="27"/>
      <c r="R17" s="27"/>
    </row>
    <row r="18" spans="1:18" ht="9.3000000000000007" customHeight="1" x14ac:dyDescent="0.25">
      <c r="A18" s="1"/>
      <c r="B18" s="28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7"/>
      <c r="Q18" s="27"/>
      <c r="R18" s="27"/>
    </row>
    <row r="19" spans="1:18" ht="13.05" customHeight="1" x14ac:dyDescent="0.25">
      <c r="A19" s="130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27"/>
      <c r="Q19" s="27"/>
      <c r="R19" s="27"/>
    </row>
    <row r="20" spans="1:18" ht="13.05" customHeight="1" x14ac:dyDescent="0.25">
      <c r="A20" s="130" t="s">
        <v>37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27"/>
      <c r="Q20" s="27"/>
      <c r="R20" s="27"/>
    </row>
    <row r="21" spans="1:18" ht="13.05" customHeigh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27"/>
      <c r="Q21" s="27"/>
      <c r="R21" s="27"/>
    </row>
    <row r="22" spans="1:18" ht="9.3000000000000007" customHeigh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</row>
  </sheetData>
  <mergeCells count="19">
    <mergeCell ref="A20:O21"/>
    <mergeCell ref="A1:O2"/>
    <mergeCell ref="A4:A7"/>
    <mergeCell ref="B4:C4"/>
    <mergeCell ref="D4:O4"/>
    <mergeCell ref="C5:C6"/>
    <mergeCell ref="D5:E5"/>
    <mergeCell ref="F5:G5"/>
    <mergeCell ref="H5:I5"/>
    <mergeCell ref="J5:K5"/>
    <mergeCell ref="L5:M5"/>
    <mergeCell ref="N5:O5"/>
    <mergeCell ref="E6:E7"/>
    <mergeCell ref="G6:G7"/>
    <mergeCell ref="I6:I7"/>
    <mergeCell ref="K6:K7"/>
    <mergeCell ref="M6:M7"/>
    <mergeCell ref="O6:O7"/>
    <mergeCell ref="A19:O19"/>
  </mergeCells>
  <pageMargins left="0.7" right="0.7" top="0.75" bottom="0.75" header="0.3" footer="0.3"/>
  <pageSetup paperSize="9" orientation="portrait" r:id="rId1"/>
  <ignoredErrors>
    <ignoredError sqref="B1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showGridLines="0" workbookViewId="0">
      <selection sqref="A1:U2"/>
    </sheetView>
  </sheetViews>
  <sheetFormatPr baseColWidth="10" defaultColWidth="9.6640625" defaultRowHeight="9.6" x14ac:dyDescent="0.15"/>
  <cols>
    <col min="1" max="1" width="14.6640625" style="5" customWidth="1"/>
    <col min="2" max="2" width="7.6640625" style="5" customWidth="1"/>
    <col min="3" max="3" width="6.6640625" style="6" customWidth="1"/>
    <col min="4" max="4" width="0.9140625" style="6" customWidth="1"/>
    <col min="5" max="5" width="6" style="6" customWidth="1"/>
    <col min="6" max="6" width="6.6640625" style="5" customWidth="1"/>
    <col min="7" max="7" width="0.9140625" style="5" customWidth="1"/>
    <col min="8" max="8" width="5.58203125" style="6" customWidth="1"/>
    <col min="9" max="9" width="6.6640625" style="7" customWidth="1"/>
    <col min="10" max="10" width="0.9140625" style="7" customWidth="1"/>
    <col min="11" max="11" width="6.08203125" style="5" customWidth="1"/>
    <col min="12" max="12" width="6.6640625" style="6" customWidth="1"/>
    <col min="13" max="13" width="0.9140625" style="6" customWidth="1"/>
    <col min="14" max="14" width="5.9140625" style="6" customWidth="1"/>
    <col min="15" max="15" width="6.6640625" style="5" customWidth="1"/>
    <col min="16" max="16" width="0.9140625" style="5" customWidth="1"/>
    <col min="17" max="17" width="6.08203125" style="5" customWidth="1"/>
    <col min="18" max="18" width="6.6640625" style="5" customWidth="1"/>
    <col min="19" max="19" width="0.9140625" style="5" customWidth="1"/>
    <col min="20" max="20" width="6.08203125" style="5" customWidth="1"/>
    <col min="21" max="21" width="6.6640625" style="5" customWidth="1"/>
    <col min="22" max="16384" width="9.6640625" style="5"/>
  </cols>
  <sheetData>
    <row r="1" spans="1:24" s="1" customFormat="1" ht="15.75" customHeight="1" x14ac:dyDescent="0.25">
      <c r="A1" s="133" t="s">
        <v>34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</row>
    <row r="2" spans="1:24" s="1" customFormat="1" ht="15.75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</row>
    <row r="3" spans="1:24" s="1" customFormat="1" ht="9.3000000000000007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4" s="1" customFormat="1" ht="13.05" customHeight="1" x14ac:dyDescent="0.25">
      <c r="A4" s="138" t="s">
        <v>10</v>
      </c>
      <c r="B4" s="135" t="s">
        <v>11</v>
      </c>
      <c r="C4" s="135"/>
      <c r="D4" s="15"/>
      <c r="E4" s="135" t="s">
        <v>13</v>
      </c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</row>
    <row r="5" spans="1:24" s="1" customFormat="1" ht="13.05" customHeight="1" x14ac:dyDescent="0.25">
      <c r="A5" s="138"/>
      <c r="B5" s="17" t="s">
        <v>15</v>
      </c>
      <c r="C5" s="137" t="s">
        <v>17</v>
      </c>
      <c r="D5" s="2"/>
      <c r="E5" s="136" t="s">
        <v>3</v>
      </c>
      <c r="F5" s="136"/>
      <c r="G5" s="2"/>
      <c r="H5" s="136" t="s">
        <v>4</v>
      </c>
      <c r="I5" s="136"/>
      <c r="J5" s="2"/>
      <c r="K5" s="136" t="s">
        <v>5</v>
      </c>
      <c r="L5" s="136"/>
      <c r="M5" s="2"/>
      <c r="N5" s="136" t="s">
        <v>6</v>
      </c>
      <c r="O5" s="136"/>
      <c r="P5" s="2"/>
      <c r="Q5" s="136" t="s">
        <v>35</v>
      </c>
      <c r="R5" s="136"/>
      <c r="S5" s="2"/>
      <c r="T5" s="136" t="s">
        <v>7</v>
      </c>
      <c r="U5" s="136"/>
    </row>
    <row r="6" spans="1:24" s="1" customFormat="1" ht="13.05" customHeight="1" x14ac:dyDescent="0.25">
      <c r="A6" s="138"/>
      <c r="B6" s="17" t="s">
        <v>16</v>
      </c>
      <c r="C6" s="132"/>
      <c r="D6" s="18"/>
      <c r="E6" s="17" t="s">
        <v>15</v>
      </c>
      <c r="F6" s="137" t="s">
        <v>17</v>
      </c>
      <c r="G6" s="18"/>
      <c r="H6" s="17" t="s">
        <v>15</v>
      </c>
      <c r="I6" s="137" t="s">
        <v>17</v>
      </c>
      <c r="J6" s="139"/>
      <c r="K6" s="17" t="s">
        <v>15</v>
      </c>
      <c r="L6" s="137" t="s">
        <v>17</v>
      </c>
      <c r="M6" s="18"/>
      <c r="N6" s="17" t="s">
        <v>15</v>
      </c>
      <c r="O6" s="137" t="s">
        <v>17</v>
      </c>
      <c r="P6" s="18"/>
      <c r="Q6" s="17" t="s">
        <v>15</v>
      </c>
      <c r="R6" s="137" t="s">
        <v>17</v>
      </c>
      <c r="S6" s="18"/>
      <c r="T6" s="17" t="s">
        <v>15</v>
      </c>
      <c r="U6" s="137" t="s">
        <v>17</v>
      </c>
    </row>
    <row r="7" spans="1:24" s="1" customFormat="1" ht="13.05" customHeight="1" x14ac:dyDescent="0.25">
      <c r="A7" s="138"/>
      <c r="D7" s="17"/>
      <c r="E7" s="17" t="s">
        <v>16</v>
      </c>
      <c r="F7" s="132"/>
      <c r="G7" s="17"/>
      <c r="H7" s="17" t="s">
        <v>16</v>
      </c>
      <c r="I7" s="132"/>
      <c r="J7" s="140"/>
      <c r="K7" s="17" t="s">
        <v>16</v>
      </c>
      <c r="L7" s="132"/>
      <c r="M7" s="17"/>
      <c r="N7" s="17" t="s">
        <v>16</v>
      </c>
      <c r="O7" s="132"/>
      <c r="P7" s="17"/>
      <c r="Q7" s="17" t="s">
        <v>16</v>
      </c>
      <c r="R7" s="132"/>
      <c r="S7" s="17"/>
      <c r="T7" s="17" t="s">
        <v>16</v>
      </c>
      <c r="U7" s="132"/>
      <c r="W7" s="20"/>
      <c r="X7" s="20"/>
    </row>
    <row r="8" spans="1:24" s="1" customFormat="1" ht="9.3000000000000007" customHeight="1" x14ac:dyDescent="0.25">
      <c r="A8" s="15"/>
      <c r="B8" s="8"/>
      <c r="C8" s="8"/>
      <c r="D8" s="4"/>
      <c r="E8" s="4"/>
      <c r="F8" s="4"/>
      <c r="G8" s="4"/>
      <c r="H8" s="4"/>
      <c r="I8" s="4"/>
      <c r="J8" s="4"/>
      <c r="K8" s="4"/>
      <c r="L8" s="4"/>
      <c r="M8" s="9"/>
      <c r="N8" s="3"/>
      <c r="O8" s="3"/>
      <c r="P8" s="3"/>
      <c r="Q8" s="3"/>
      <c r="R8" s="3"/>
      <c r="S8" s="3"/>
      <c r="T8" s="3"/>
      <c r="U8" s="3"/>
      <c r="W8" s="20"/>
      <c r="X8" s="20"/>
    </row>
    <row r="9" spans="1:24" s="1" customFormat="1" ht="13.05" customHeight="1" x14ac:dyDescent="0.25">
      <c r="A9" s="15" t="s">
        <v>12</v>
      </c>
      <c r="B9" s="8">
        <f>SUM(B11:B17)</f>
        <v>1043</v>
      </c>
      <c r="C9" s="8">
        <f>SUM(C11:C17)</f>
        <v>604347.51</v>
      </c>
      <c r="D9" s="10"/>
      <c r="E9" s="8">
        <f>SUM(E11:E17)</f>
        <v>693</v>
      </c>
      <c r="F9" s="8">
        <f t="shared" ref="F9:S9" si="0">SUM(F11:F17)</f>
        <v>243906.33</v>
      </c>
      <c r="G9" s="8">
        <f t="shared" si="0"/>
        <v>0</v>
      </c>
      <c r="H9" s="8">
        <f t="shared" si="0"/>
        <v>132</v>
      </c>
      <c r="I9" s="8">
        <f t="shared" si="0"/>
        <v>74423.78</v>
      </c>
      <c r="J9" s="8">
        <f t="shared" si="0"/>
        <v>0</v>
      </c>
      <c r="K9" s="8">
        <f t="shared" si="0"/>
        <v>23</v>
      </c>
      <c r="L9" s="8">
        <f t="shared" si="0"/>
        <v>21913</v>
      </c>
      <c r="M9" s="8">
        <f t="shared" si="0"/>
        <v>0</v>
      </c>
      <c r="N9" s="8">
        <f t="shared" si="0"/>
        <v>5</v>
      </c>
      <c r="O9" s="8">
        <f t="shared" si="0"/>
        <v>838</v>
      </c>
      <c r="P9" s="8">
        <f t="shared" si="0"/>
        <v>0</v>
      </c>
      <c r="Q9" s="8">
        <f t="shared" si="0"/>
        <v>190</v>
      </c>
      <c r="R9" s="8">
        <f t="shared" si="0"/>
        <v>263266.40000000002</v>
      </c>
      <c r="S9" s="8">
        <f t="shared" si="0"/>
        <v>190</v>
      </c>
      <c r="T9" s="8" t="s">
        <v>20</v>
      </c>
      <c r="U9" s="8" t="s">
        <v>20</v>
      </c>
      <c r="W9" s="20"/>
      <c r="X9" s="20"/>
    </row>
    <row r="10" spans="1:24" s="1" customFormat="1" ht="9.3000000000000007" customHeight="1" x14ac:dyDescent="0.25">
      <c r="A10" s="15"/>
      <c r="B10" s="8"/>
      <c r="C10" s="8"/>
      <c r="D10" s="4"/>
      <c r="E10" s="4"/>
      <c r="F10" s="4"/>
      <c r="G10" s="4"/>
      <c r="H10" s="4"/>
      <c r="I10" s="4"/>
      <c r="J10" s="4"/>
      <c r="K10" s="4"/>
      <c r="L10" s="4"/>
      <c r="M10" s="9"/>
      <c r="N10" s="3"/>
      <c r="O10" s="3"/>
      <c r="P10" s="3"/>
      <c r="Q10" s="3"/>
      <c r="R10" s="3"/>
      <c r="S10" s="3"/>
      <c r="T10" s="3"/>
      <c r="U10" s="3"/>
      <c r="W10" s="20"/>
      <c r="X10" s="20"/>
    </row>
    <row r="11" spans="1:24" s="1" customFormat="1" ht="13.05" customHeight="1" x14ac:dyDescent="0.25">
      <c r="A11" s="15" t="s">
        <v>0</v>
      </c>
      <c r="B11" s="8">
        <f>+E11+H11+K11+N11+Q11</f>
        <v>436</v>
      </c>
      <c r="C11" s="8">
        <f>+F11+I11+L11+O11+R11</f>
        <v>531191.03</v>
      </c>
      <c r="D11" s="11"/>
      <c r="E11" s="4">
        <v>278</v>
      </c>
      <c r="F11" s="4">
        <v>222507.93</v>
      </c>
      <c r="G11" s="4"/>
      <c r="H11" s="4">
        <v>50</v>
      </c>
      <c r="I11" s="4">
        <v>37133</v>
      </c>
      <c r="J11" s="4"/>
      <c r="K11" s="4">
        <v>7</v>
      </c>
      <c r="L11" s="4">
        <v>18477</v>
      </c>
      <c r="M11" s="4"/>
      <c r="N11" s="4">
        <v>2</v>
      </c>
      <c r="O11" s="4">
        <v>538</v>
      </c>
      <c r="P11" s="4"/>
      <c r="Q11" s="4">
        <v>99</v>
      </c>
      <c r="R11" s="4">
        <v>252535.1</v>
      </c>
      <c r="S11" s="4">
        <v>99</v>
      </c>
      <c r="T11" s="4" t="s">
        <v>20</v>
      </c>
      <c r="U11" s="4" t="s">
        <v>20</v>
      </c>
      <c r="W11" s="20"/>
      <c r="X11" s="20"/>
    </row>
    <row r="12" spans="1:24" s="1" customFormat="1" ht="13.05" customHeight="1" x14ac:dyDescent="0.25">
      <c r="A12" s="15" t="s">
        <v>1</v>
      </c>
      <c r="B12" s="8">
        <f>+E12+H12+K12+Q12</f>
        <v>199</v>
      </c>
      <c r="C12" s="8" t="s">
        <v>20</v>
      </c>
      <c r="D12" s="11"/>
      <c r="E12" s="4">
        <v>131</v>
      </c>
      <c r="F12" s="4" t="s">
        <v>20</v>
      </c>
      <c r="G12" s="4"/>
      <c r="H12" s="4">
        <v>31</v>
      </c>
      <c r="I12" s="4" t="s">
        <v>20</v>
      </c>
      <c r="J12" s="4"/>
      <c r="K12" s="4">
        <v>6</v>
      </c>
      <c r="L12" s="4" t="s">
        <v>20</v>
      </c>
      <c r="M12" s="4"/>
      <c r="N12" s="4" t="s">
        <v>20</v>
      </c>
      <c r="O12" s="4" t="s">
        <v>20</v>
      </c>
      <c r="P12" s="4"/>
      <c r="Q12" s="4">
        <v>31</v>
      </c>
      <c r="R12" s="4" t="s">
        <v>20</v>
      </c>
      <c r="S12" s="4">
        <v>31</v>
      </c>
      <c r="T12" s="4" t="s">
        <v>20</v>
      </c>
      <c r="U12" s="4" t="s">
        <v>20</v>
      </c>
      <c r="W12" s="20"/>
      <c r="X12" s="20"/>
    </row>
    <row r="13" spans="1:24" s="1" customFormat="1" ht="13.05" customHeight="1" x14ac:dyDescent="0.25">
      <c r="A13" s="15" t="s">
        <v>2</v>
      </c>
      <c r="B13" s="8">
        <f>+E13+H13+K13+N13+Q13</f>
        <v>241</v>
      </c>
      <c r="C13" s="8">
        <f>+F13+I13+L13+O13+R13</f>
        <v>54324.200000000004</v>
      </c>
      <c r="D13" s="11"/>
      <c r="E13" s="4">
        <v>162</v>
      </c>
      <c r="F13" s="4">
        <v>15428.6</v>
      </c>
      <c r="G13" s="4"/>
      <c r="H13" s="4">
        <v>28</v>
      </c>
      <c r="I13" s="4">
        <v>29445.8</v>
      </c>
      <c r="J13" s="4"/>
      <c r="K13" s="4">
        <v>6</v>
      </c>
      <c r="L13" s="4">
        <v>2590</v>
      </c>
      <c r="M13" s="4"/>
      <c r="N13" s="4">
        <v>3</v>
      </c>
      <c r="O13" s="4">
        <v>300</v>
      </c>
      <c r="Q13" s="4">
        <v>42</v>
      </c>
      <c r="R13" s="4">
        <v>6559.8</v>
      </c>
      <c r="S13" s="1">
        <v>42</v>
      </c>
      <c r="T13" s="4" t="s">
        <v>20</v>
      </c>
      <c r="U13" s="4" t="s">
        <v>20</v>
      </c>
      <c r="W13" s="20"/>
      <c r="X13" s="20"/>
    </row>
    <row r="14" spans="1:24" s="1" customFormat="1" ht="13.05" customHeight="1" x14ac:dyDescent="0.25">
      <c r="A14" s="15" t="s">
        <v>9</v>
      </c>
      <c r="W14" s="20"/>
      <c r="X14" s="20"/>
    </row>
    <row r="15" spans="1:24" s="1" customFormat="1" ht="13.05" customHeight="1" x14ac:dyDescent="0.25">
      <c r="A15" s="15" t="s">
        <v>18</v>
      </c>
      <c r="B15" s="8">
        <f>+E15+H15+Q15</f>
        <v>37</v>
      </c>
      <c r="C15" s="8" t="s">
        <v>20</v>
      </c>
      <c r="E15" s="25">
        <v>33</v>
      </c>
      <c r="F15" s="26" t="s">
        <v>20</v>
      </c>
      <c r="G15" s="26"/>
      <c r="H15" s="26">
        <v>1</v>
      </c>
      <c r="I15" s="26" t="s">
        <v>20</v>
      </c>
      <c r="J15" s="26"/>
      <c r="K15" s="26" t="s">
        <v>20</v>
      </c>
      <c r="L15" s="26" t="s">
        <v>20</v>
      </c>
      <c r="M15" s="26"/>
      <c r="N15" s="26" t="s">
        <v>20</v>
      </c>
      <c r="O15" s="26" t="s">
        <v>20</v>
      </c>
      <c r="P15" s="26"/>
      <c r="Q15" s="26">
        <v>3</v>
      </c>
      <c r="R15" s="26" t="s">
        <v>20</v>
      </c>
      <c r="S15" s="4">
        <v>3</v>
      </c>
      <c r="T15" s="4" t="s">
        <v>20</v>
      </c>
      <c r="U15" s="4" t="s">
        <v>20</v>
      </c>
      <c r="W15" s="20"/>
      <c r="X15" s="20"/>
    </row>
    <row r="16" spans="1:24" s="1" customFormat="1" ht="13.05" customHeight="1" x14ac:dyDescent="0.25">
      <c r="A16" s="15" t="s">
        <v>8</v>
      </c>
      <c r="B16" s="8">
        <f>+E16+H16+K16+Q16</f>
        <v>130</v>
      </c>
      <c r="C16" s="8">
        <f>+F16+I16+L16+R16</f>
        <v>18832.28</v>
      </c>
      <c r="D16" s="11"/>
      <c r="E16" s="4">
        <v>89</v>
      </c>
      <c r="F16" s="4">
        <v>5969.8</v>
      </c>
      <c r="G16" s="4"/>
      <c r="H16" s="4">
        <v>22</v>
      </c>
      <c r="I16" s="4">
        <v>7844.98</v>
      </c>
      <c r="J16" s="4"/>
      <c r="K16" s="4">
        <v>4</v>
      </c>
      <c r="L16" s="4">
        <v>846</v>
      </c>
      <c r="M16" s="4"/>
      <c r="N16" s="4"/>
      <c r="O16" s="4"/>
      <c r="P16" s="4"/>
      <c r="Q16" s="4">
        <v>15</v>
      </c>
      <c r="R16" s="4">
        <v>4171.5</v>
      </c>
      <c r="S16" s="4">
        <v>15</v>
      </c>
      <c r="T16" s="4" t="s">
        <v>20</v>
      </c>
      <c r="U16" s="4" t="s">
        <v>20</v>
      </c>
      <c r="W16" s="20"/>
      <c r="X16" s="20"/>
    </row>
    <row r="17" spans="1:21" s="1" customFormat="1" ht="13.05" customHeight="1" x14ac:dyDescent="0.25">
      <c r="A17" s="15" t="s">
        <v>7</v>
      </c>
      <c r="B17" s="8" t="s">
        <v>20</v>
      </c>
      <c r="C17" s="8" t="s">
        <v>20</v>
      </c>
      <c r="D17" s="8"/>
      <c r="E17" s="4" t="s">
        <v>20</v>
      </c>
      <c r="F17" s="4" t="s">
        <v>20</v>
      </c>
      <c r="G17" s="4"/>
      <c r="H17" s="4" t="s">
        <v>20</v>
      </c>
      <c r="I17" s="4" t="s">
        <v>20</v>
      </c>
      <c r="J17" s="4"/>
      <c r="K17" s="4" t="s">
        <v>20</v>
      </c>
      <c r="L17" s="4" t="s">
        <v>20</v>
      </c>
      <c r="M17" s="4"/>
      <c r="N17" s="4" t="s">
        <v>20</v>
      </c>
      <c r="O17" s="4" t="s">
        <v>20</v>
      </c>
      <c r="P17" s="4"/>
      <c r="Q17" s="4" t="s">
        <v>20</v>
      </c>
      <c r="R17" s="4" t="s">
        <v>20</v>
      </c>
      <c r="S17" s="4"/>
      <c r="T17" s="4" t="s">
        <v>20</v>
      </c>
      <c r="U17" s="4" t="s">
        <v>20</v>
      </c>
    </row>
    <row r="18" spans="1:21" s="1" customFormat="1" ht="9.3000000000000007" customHeight="1" x14ac:dyDescent="0.25">
      <c r="A18" s="15"/>
      <c r="B18" s="8"/>
      <c r="C18" s="8"/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s="1" customFormat="1" ht="13.05" customHeight="1" x14ac:dyDescent="0.25">
      <c r="A19" s="14" t="s">
        <v>14</v>
      </c>
      <c r="C19" s="13"/>
      <c r="D19" s="13"/>
      <c r="E19" s="13"/>
      <c r="H19" s="13"/>
      <c r="I19" s="2"/>
      <c r="J19" s="2"/>
      <c r="L19" s="13"/>
      <c r="M19" s="13"/>
      <c r="N19" s="13"/>
    </row>
    <row r="20" spans="1:21" s="1" customFormat="1" ht="13.05" customHeight="1" x14ac:dyDescent="0.25">
      <c r="A20" s="14" t="s">
        <v>29</v>
      </c>
      <c r="C20" s="13"/>
      <c r="D20" s="13"/>
      <c r="E20" s="13"/>
      <c r="H20" s="13"/>
      <c r="I20" s="2"/>
      <c r="J20" s="2"/>
      <c r="L20" s="13"/>
      <c r="M20" s="13"/>
      <c r="N20" s="13"/>
    </row>
    <row r="21" spans="1:21" s="1" customFormat="1" ht="13.05" customHeight="1" x14ac:dyDescent="0.25">
      <c r="A21" s="14" t="s">
        <v>25</v>
      </c>
      <c r="C21" s="13"/>
      <c r="D21" s="13"/>
      <c r="E21" s="13"/>
      <c r="H21" s="13"/>
      <c r="I21" s="2"/>
      <c r="J21" s="2"/>
      <c r="L21" s="13"/>
      <c r="M21" s="13"/>
      <c r="N21" s="13"/>
    </row>
    <row r="22" spans="1:21" s="1" customFormat="1" ht="9.3000000000000007" customHeight="1" x14ac:dyDescent="0.25">
      <c r="I22" s="2"/>
      <c r="J22" s="2"/>
    </row>
  </sheetData>
  <mergeCells count="18">
    <mergeCell ref="L6:L7"/>
    <mergeCell ref="O6:O7"/>
    <mergeCell ref="R6:R7"/>
    <mergeCell ref="U6:U7"/>
    <mergeCell ref="A4:A7"/>
    <mergeCell ref="B4:C4"/>
    <mergeCell ref="C5:C6"/>
    <mergeCell ref="F6:F7"/>
    <mergeCell ref="I6:I7"/>
    <mergeCell ref="J6:J7"/>
    <mergeCell ref="A1:U2"/>
    <mergeCell ref="E4:U4"/>
    <mergeCell ref="E5:F5"/>
    <mergeCell ref="H5:I5"/>
    <mergeCell ref="K5:L5"/>
    <mergeCell ref="N5:O5"/>
    <mergeCell ref="Q5:R5"/>
    <mergeCell ref="T5:U5"/>
  </mergeCells>
  <pageMargins left="0.7" right="0.7" top="0.75" bottom="0.75" header="0.3" footer="0.3"/>
  <pageSetup paperSize="9" orientation="portrait" r:id="rId1"/>
  <ignoredErrors>
    <ignoredError sqref="B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showGridLines="0" workbookViewId="0">
      <selection sqref="A1:U2"/>
    </sheetView>
  </sheetViews>
  <sheetFormatPr baseColWidth="10" defaultColWidth="9.6640625" defaultRowHeight="9.6" x14ac:dyDescent="0.15"/>
  <cols>
    <col min="1" max="1" width="14.6640625" style="5" customWidth="1"/>
    <col min="2" max="2" width="6" style="5" customWidth="1"/>
    <col min="3" max="3" width="6.6640625" style="6" customWidth="1"/>
    <col min="4" max="4" width="0.9140625" style="6" customWidth="1"/>
    <col min="5" max="5" width="6" style="6" customWidth="1"/>
    <col min="6" max="6" width="6.6640625" style="5" customWidth="1"/>
    <col min="7" max="7" width="0.9140625" style="5" customWidth="1"/>
    <col min="8" max="8" width="5.58203125" style="6" customWidth="1"/>
    <col min="9" max="9" width="6.6640625" style="7" customWidth="1"/>
    <col min="10" max="10" width="0.9140625" style="7" customWidth="1"/>
    <col min="11" max="11" width="6.08203125" style="5" customWidth="1"/>
    <col min="12" max="12" width="6.6640625" style="6" customWidth="1"/>
    <col min="13" max="13" width="0.9140625" style="6" customWidth="1"/>
    <col min="14" max="14" width="5.9140625" style="6" customWidth="1"/>
    <col min="15" max="15" width="6.6640625" style="5" customWidth="1"/>
    <col min="16" max="16" width="0.9140625" style="5" customWidth="1"/>
    <col min="17" max="17" width="6.08203125" style="5" customWidth="1"/>
    <col min="18" max="18" width="6.6640625" style="5" customWidth="1"/>
    <col min="19" max="19" width="0.9140625" style="5" customWidth="1"/>
    <col min="20" max="20" width="6.08203125" style="5" customWidth="1"/>
    <col min="21" max="21" width="6.6640625" style="5" customWidth="1"/>
    <col min="22" max="16384" width="9.6640625" style="5"/>
  </cols>
  <sheetData>
    <row r="1" spans="1:24" s="1" customFormat="1" ht="15.75" customHeight="1" x14ac:dyDescent="0.25">
      <c r="A1" s="133" t="s">
        <v>33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</row>
    <row r="2" spans="1:24" s="1" customFormat="1" ht="15.75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</row>
    <row r="3" spans="1:24" s="1" customFormat="1" ht="9.3000000000000007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4" s="1" customFormat="1" ht="12" x14ac:dyDescent="0.25">
      <c r="A4" s="138" t="s">
        <v>10</v>
      </c>
      <c r="B4" s="140" t="s">
        <v>11</v>
      </c>
      <c r="C4" s="140"/>
      <c r="D4" s="15"/>
      <c r="E4" s="135" t="s">
        <v>13</v>
      </c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</row>
    <row r="5" spans="1:24" s="1" customFormat="1" ht="13.05" customHeight="1" x14ac:dyDescent="0.25">
      <c r="A5" s="138"/>
      <c r="B5" s="140"/>
      <c r="C5" s="140"/>
      <c r="D5" s="2"/>
      <c r="E5" s="136" t="s">
        <v>3</v>
      </c>
      <c r="F5" s="136"/>
      <c r="G5" s="2"/>
      <c r="H5" s="136" t="s">
        <v>4</v>
      </c>
      <c r="I5" s="136"/>
      <c r="J5" s="2"/>
      <c r="K5" s="136" t="s">
        <v>5</v>
      </c>
      <c r="L5" s="136"/>
      <c r="M5" s="2"/>
      <c r="N5" s="136" t="s">
        <v>6</v>
      </c>
      <c r="O5" s="136"/>
      <c r="P5" s="2"/>
      <c r="Q5" s="136" t="s">
        <v>22</v>
      </c>
      <c r="R5" s="136"/>
      <c r="S5" s="2"/>
      <c r="T5" s="136" t="s">
        <v>7</v>
      </c>
      <c r="U5" s="136"/>
    </row>
    <row r="6" spans="1:24" s="1" customFormat="1" ht="24" x14ac:dyDescent="0.25">
      <c r="A6" s="138"/>
      <c r="B6" s="17" t="s">
        <v>31</v>
      </c>
      <c r="C6" s="23" t="s">
        <v>17</v>
      </c>
      <c r="D6" s="18"/>
      <c r="E6" s="17" t="s">
        <v>31</v>
      </c>
      <c r="F6" s="22" t="s">
        <v>17</v>
      </c>
      <c r="G6" s="18"/>
      <c r="H6" s="17" t="s">
        <v>31</v>
      </c>
      <c r="I6" s="22" t="s">
        <v>17</v>
      </c>
      <c r="J6" s="24"/>
      <c r="K6" s="17" t="s">
        <v>31</v>
      </c>
      <c r="L6" s="22" t="s">
        <v>17</v>
      </c>
      <c r="M6" s="18"/>
      <c r="N6" s="17" t="s">
        <v>31</v>
      </c>
      <c r="O6" s="22" t="s">
        <v>17</v>
      </c>
      <c r="P6" s="18"/>
      <c r="Q6" s="17" t="s">
        <v>31</v>
      </c>
      <c r="R6" s="22" t="s">
        <v>17</v>
      </c>
      <c r="S6" s="18"/>
      <c r="T6" s="17" t="s">
        <v>31</v>
      </c>
      <c r="U6" s="22" t="s">
        <v>17</v>
      </c>
    </row>
    <row r="7" spans="1:24" s="1" customFormat="1" ht="12" x14ac:dyDescent="0.25">
      <c r="A7" s="15"/>
      <c r="B7" s="8"/>
      <c r="C7" s="8"/>
      <c r="D7" s="4"/>
      <c r="E7" s="4"/>
      <c r="F7" s="4"/>
      <c r="G7" s="4"/>
      <c r="H7" s="4"/>
      <c r="I7" s="4"/>
      <c r="J7" s="4"/>
      <c r="K7" s="4"/>
      <c r="L7" s="4"/>
      <c r="M7" s="9"/>
      <c r="N7" s="3"/>
      <c r="O7" s="3"/>
      <c r="P7" s="3"/>
      <c r="Q7" s="3"/>
      <c r="R7" s="3"/>
      <c r="S7" s="3"/>
      <c r="T7" s="3"/>
      <c r="U7" s="3"/>
      <c r="W7" s="20"/>
      <c r="X7" s="20"/>
    </row>
    <row r="8" spans="1:24" s="1" customFormat="1" ht="12" x14ac:dyDescent="0.25">
      <c r="A8" s="15" t="s">
        <v>12</v>
      </c>
      <c r="B8" s="8">
        <v>779</v>
      </c>
      <c r="C8" s="8">
        <v>355831.80999999994</v>
      </c>
      <c r="D8" s="10"/>
      <c r="E8" s="8">
        <v>495</v>
      </c>
      <c r="F8" s="8">
        <v>171818.80999999997</v>
      </c>
      <c r="G8" s="8"/>
      <c r="H8" s="8">
        <v>140</v>
      </c>
      <c r="I8" s="8">
        <v>65395</v>
      </c>
      <c r="J8" s="8"/>
      <c r="K8" s="8">
        <v>15</v>
      </c>
      <c r="L8" s="8">
        <v>8603</v>
      </c>
      <c r="M8" s="8"/>
      <c r="N8" s="8">
        <v>4</v>
      </c>
      <c r="O8" s="8">
        <v>1663</v>
      </c>
      <c r="P8" s="8"/>
      <c r="Q8" s="8">
        <v>125</v>
      </c>
      <c r="R8" s="8">
        <v>108352</v>
      </c>
      <c r="S8" s="8"/>
      <c r="T8" s="8" t="s">
        <v>20</v>
      </c>
      <c r="U8" s="8" t="s">
        <v>20</v>
      </c>
      <c r="W8" s="20"/>
      <c r="X8" s="20"/>
    </row>
    <row r="9" spans="1:24" s="1" customFormat="1" ht="12" x14ac:dyDescent="0.25">
      <c r="A9" s="15"/>
      <c r="B9" s="8"/>
      <c r="C9" s="8"/>
      <c r="D9" s="4"/>
      <c r="E9" s="4"/>
      <c r="F9" s="4"/>
      <c r="G9" s="4"/>
      <c r="H9" s="4"/>
      <c r="I9" s="4"/>
      <c r="J9" s="4"/>
      <c r="K9" s="4"/>
      <c r="L9" s="4"/>
      <c r="M9" s="9"/>
      <c r="N9" s="3"/>
      <c r="O9" s="3"/>
      <c r="P9" s="3"/>
      <c r="Q9" s="3"/>
      <c r="R9" s="3"/>
      <c r="S9" s="3"/>
      <c r="T9" s="3"/>
      <c r="U9" s="3"/>
      <c r="W9" s="20"/>
      <c r="X9" s="20"/>
    </row>
    <row r="10" spans="1:24" s="1" customFormat="1" ht="12" x14ac:dyDescent="0.25">
      <c r="A10" s="15" t="s">
        <v>0</v>
      </c>
      <c r="B10" s="8">
        <v>286</v>
      </c>
      <c r="C10" s="8">
        <v>309296.43999999994</v>
      </c>
      <c r="D10" s="11"/>
      <c r="E10" s="4">
        <v>183</v>
      </c>
      <c r="F10" s="4">
        <v>158798.43999999997</v>
      </c>
      <c r="G10" s="4"/>
      <c r="H10" s="4">
        <v>47</v>
      </c>
      <c r="I10" s="4">
        <v>40592</v>
      </c>
      <c r="J10" s="4"/>
      <c r="K10" s="4">
        <v>6</v>
      </c>
      <c r="L10" s="4">
        <v>7618</v>
      </c>
      <c r="M10" s="4"/>
      <c r="N10" s="4">
        <v>2</v>
      </c>
      <c r="O10" s="4">
        <v>959</v>
      </c>
      <c r="P10" s="4"/>
      <c r="Q10" s="4">
        <v>48</v>
      </c>
      <c r="R10" s="4">
        <v>101329</v>
      </c>
      <c r="S10" s="4"/>
      <c r="T10" s="4" t="s">
        <v>20</v>
      </c>
      <c r="U10" s="4" t="s">
        <v>20</v>
      </c>
      <c r="W10" s="20"/>
      <c r="X10" s="20"/>
    </row>
    <row r="11" spans="1:24" s="1" customFormat="1" ht="12" x14ac:dyDescent="0.25">
      <c r="A11" s="15" t="s">
        <v>23</v>
      </c>
      <c r="B11" s="8" t="s">
        <v>20</v>
      </c>
      <c r="C11" s="8" t="s">
        <v>20</v>
      </c>
      <c r="D11" s="11"/>
      <c r="E11" s="4" t="s">
        <v>20</v>
      </c>
      <c r="F11" s="4" t="s">
        <v>20</v>
      </c>
      <c r="G11" s="4"/>
      <c r="H11" s="4" t="s">
        <v>20</v>
      </c>
      <c r="I11" s="4" t="s">
        <v>20</v>
      </c>
      <c r="J11" s="4"/>
      <c r="K11" s="4" t="s">
        <v>20</v>
      </c>
      <c r="L11" s="4" t="s">
        <v>20</v>
      </c>
      <c r="M11" s="4"/>
      <c r="N11" s="4" t="s">
        <v>20</v>
      </c>
      <c r="O11" s="4" t="s">
        <v>20</v>
      </c>
      <c r="P11" s="4"/>
      <c r="Q11" s="4" t="s">
        <v>20</v>
      </c>
      <c r="R11" s="4" t="s">
        <v>20</v>
      </c>
      <c r="S11" s="4"/>
      <c r="T11" s="4" t="s">
        <v>20</v>
      </c>
      <c r="U11" s="4" t="s">
        <v>20</v>
      </c>
      <c r="W11" s="20"/>
      <c r="X11" s="20"/>
    </row>
    <row r="12" spans="1:24" s="1" customFormat="1" ht="12" x14ac:dyDescent="0.25">
      <c r="A12" s="15" t="s">
        <v>1</v>
      </c>
      <c r="B12" s="8">
        <v>254</v>
      </c>
      <c r="C12" s="8" t="s">
        <v>20</v>
      </c>
      <c r="D12" s="11"/>
      <c r="E12" s="4">
        <v>160</v>
      </c>
      <c r="F12" s="4" t="s">
        <v>20</v>
      </c>
      <c r="G12" s="4"/>
      <c r="H12" s="4">
        <v>58</v>
      </c>
      <c r="I12" s="4" t="s">
        <v>20</v>
      </c>
      <c r="J12" s="4"/>
      <c r="K12" s="4">
        <v>3</v>
      </c>
      <c r="L12" s="4" t="s">
        <v>20</v>
      </c>
      <c r="M12" s="4"/>
      <c r="N12" s="4" t="s">
        <v>20</v>
      </c>
      <c r="O12" s="4" t="s">
        <v>20</v>
      </c>
      <c r="P12" s="4"/>
      <c r="Q12" s="4">
        <v>33</v>
      </c>
      <c r="R12" s="4" t="s">
        <v>20</v>
      </c>
      <c r="S12" s="4"/>
      <c r="T12" s="4" t="s">
        <v>20</v>
      </c>
      <c r="U12" s="4" t="s">
        <v>20</v>
      </c>
      <c r="W12" s="20"/>
      <c r="X12" s="20"/>
    </row>
    <row r="13" spans="1:24" s="1" customFormat="1" ht="12" x14ac:dyDescent="0.25">
      <c r="A13" s="15" t="s">
        <v>2</v>
      </c>
      <c r="B13" s="8">
        <v>200</v>
      </c>
      <c r="C13" s="8">
        <v>45414</v>
      </c>
      <c r="D13" s="11"/>
      <c r="E13" s="4">
        <v>121</v>
      </c>
      <c r="F13" s="4">
        <v>12598</v>
      </c>
      <c r="G13" s="4"/>
      <c r="H13" s="4">
        <v>31</v>
      </c>
      <c r="I13" s="4">
        <v>24125</v>
      </c>
      <c r="J13" s="4"/>
      <c r="K13" s="4">
        <v>5</v>
      </c>
      <c r="L13" s="4">
        <v>985</v>
      </c>
      <c r="M13" s="4"/>
      <c r="N13" s="4">
        <v>2</v>
      </c>
      <c r="O13" s="4">
        <v>704</v>
      </c>
      <c r="P13" s="4"/>
      <c r="Q13" s="4">
        <v>41</v>
      </c>
      <c r="R13" s="4">
        <v>7002</v>
      </c>
      <c r="S13" s="4"/>
      <c r="T13" s="4" t="s">
        <v>20</v>
      </c>
      <c r="U13" s="4" t="s">
        <v>20</v>
      </c>
      <c r="W13" s="20"/>
      <c r="X13" s="20"/>
    </row>
    <row r="14" spans="1:24" s="1" customFormat="1" ht="12" x14ac:dyDescent="0.25">
      <c r="A14" s="15" t="s">
        <v>9</v>
      </c>
      <c r="B14" s="8"/>
      <c r="C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W14" s="20"/>
      <c r="X14" s="20"/>
    </row>
    <row r="15" spans="1:24" s="1" customFormat="1" ht="12" x14ac:dyDescent="0.25">
      <c r="A15" s="15" t="s">
        <v>18</v>
      </c>
      <c r="B15" s="8">
        <v>29</v>
      </c>
      <c r="C15" s="8" t="s">
        <v>20</v>
      </c>
      <c r="D15" s="11"/>
      <c r="E15" s="4">
        <v>26</v>
      </c>
      <c r="F15" s="4" t="s">
        <v>20</v>
      </c>
      <c r="G15" s="4"/>
      <c r="H15" s="4" t="s">
        <v>20</v>
      </c>
      <c r="I15" s="4" t="s">
        <v>20</v>
      </c>
      <c r="J15" s="4"/>
      <c r="K15" s="4">
        <v>1</v>
      </c>
      <c r="L15" s="4" t="s">
        <v>20</v>
      </c>
      <c r="M15" s="4"/>
      <c r="N15" s="4" t="s">
        <v>20</v>
      </c>
      <c r="O15" s="4" t="s">
        <v>20</v>
      </c>
      <c r="P15" s="4"/>
      <c r="Q15" s="4">
        <v>2</v>
      </c>
      <c r="R15" s="4" t="s">
        <v>20</v>
      </c>
      <c r="S15" s="4"/>
      <c r="T15" s="4" t="s">
        <v>20</v>
      </c>
      <c r="U15" s="4" t="s">
        <v>20</v>
      </c>
      <c r="W15" s="20"/>
      <c r="X15" s="20"/>
    </row>
    <row r="16" spans="1:24" s="1" customFormat="1" ht="12" x14ac:dyDescent="0.25">
      <c r="A16" s="15" t="s">
        <v>8</v>
      </c>
      <c r="B16" s="8">
        <v>10</v>
      </c>
      <c r="C16" s="8">
        <v>1121.3699999999999</v>
      </c>
      <c r="D16" s="3"/>
      <c r="E16" s="4">
        <v>5</v>
      </c>
      <c r="F16" s="4">
        <v>422.37</v>
      </c>
      <c r="G16" s="4"/>
      <c r="H16" s="4">
        <v>4</v>
      </c>
      <c r="I16" s="4">
        <v>678</v>
      </c>
      <c r="J16" s="4"/>
      <c r="K16" s="4" t="s">
        <v>20</v>
      </c>
      <c r="L16" s="4" t="s">
        <v>20</v>
      </c>
      <c r="M16" s="4"/>
      <c r="N16" s="4" t="s">
        <v>20</v>
      </c>
      <c r="O16" s="4" t="s">
        <v>20</v>
      </c>
      <c r="P16" s="4"/>
      <c r="Q16" s="4">
        <v>1</v>
      </c>
      <c r="R16" s="4">
        <v>21</v>
      </c>
      <c r="S16" s="4"/>
      <c r="T16" s="4" t="s">
        <v>20</v>
      </c>
      <c r="U16" s="4" t="s">
        <v>20</v>
      </c>
      <c r="W16" s="20"/>
      <c r="X16" s="20"/>
    </row>
    <row r="17" spans="1:21" s="1" customFormat="1" ht="12" x14ac:dyDescent="0.25">
      <c r="A17" s="16"/>
      <c r="B17" s="3"/>
      <c r="C17" s="3"/>
      <c r="D17" s="3"/>
      <c r="E17" s="3"/>
      <c r="F17" s="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s="1" customFormat="1" ht="12" x14ac:dyDescent="0.25">
      <c r="A18" s="14" t="s">
        <v>14</v>
      </c>
      <c r="C18" s="13"/>
      <c r="D18" s="13"/>
      <c r="E18" s="13"/>
      <c r="H18" s="13"/>
      <c r="I18" s="2"/>
      <c r="J18" s="2"/>
      <c r="L18" s="13"/>
      <c r="M18" s="13"/>
      <c r="N18" s="13"/>
    </row>
    <row r="19" spans="1:21" s="1" customFormat="1" ht="12" x14ac:dyDescent="0.25">
      <c r="A19" s="14" t="s">
        <v>29</v>
      </c>
      <c r="C19" s="13"/>
      <c r="D19" s="13"/>
      <c r="E19" s="13"/>
      <c r="H19" s="13"/>
      <c r="I19" s="2"/>
      <c r="J19" s="2"/>
      <c r="L19" s="13"/>
      <c r="M19" s="13"/>
      <c r="N19" s="13"/>
    </row>
    <row r="20" spans="1:21" s="1" customFormat="1" ht="12" x14ac:dyDescent="0.25">
      <c r="A20" s="14" t="s">
        <v>25</v>
      </c>
      <c r="C20" s="13"/>
      <c r="D20" s="13"/>
      <c r="E20" s="13"/>
      <c r="H20" s="13"/>
      <c r="I20" s="2"/>
      <c r="J20" s="2"/>
      <c r="L20" s="13"/>
      <c r="M20" s="13"/>
      <c r="N20" s="13"/>
    </row>
    <row r="21" spans="1:21" s="1" customFormat="1" ht="12" x14ac:dyDescent="0.25">
      <c r="I21" s="2"/>
      <c r="J21" s="2"/>
    </row>
  </sheetData>
  <mergeCells count="10">
    <mergeCell ref="A1:U2"/>
    <mergeCell ref="B4:C5"/>
    <mergeCell ref="A4:A6"/>
    <mergeCell ref="E4:U4"/>
    <mergeCell ref="E5:F5"/>
    <mergeCell ref="H5:I5"/>
    <mergeCell ref="K5:L5"/>
    <mergeCell ref="N5:O5"/>
    <mergeCell ref="Q5:R5"/>
    <mergeCell ref="T5:U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showGridLines="0" workbookViewId="0"/>
  </sheetViews>
  <sheetFormatPr baseColWidth="10" defaultColWidth="9.6640625" defaultRowHeight="9.6" x14ac:dyDescent="0.15"/>
  <cols>
    <col min="1" max="1" width="14.6640625" style="5" customWidth="1"/>
    <col min="2" max="2" width="6" style="5" customWidth="1"/>
    <col min="3" max="3" width="6.6640625" style="6" customWidth="1"/>
    <col min="4" max="4" width="0.9140625" style="6" customWidth="1"/>
    <col min="5" max="5" width="6" style="6" customWidth="1"/>
    <col min="6" max="6" width="6.6640625" style="5" customWidth="1"/>
    <col min="7" max="7" width="0.9140625" style="5" customWidth="1"/>
    <col min="8" max="8" width="5.58203125" style="6" customWidth="1"/>
    <col min="9" max="9" width="6.6640625" style="7" customWidth="1"/>
    <col min="10" max="10" width="0.9140625" style="7" customWidth="1"/>
    <col min="11" max="11" width="6.08203125" style="5" customWidth="1"/>
    <col min="12" max="12" width="6.6640625" style="6" customWidth="1"/>
    <col min="13" max="13" width="0.9140625" style="6" customWidth="1"/>
    <col min="14" max="14" width="5.9140625" style="6" customWidth="1"/>
    <col min="15" max="15" width="6.6640625" style="5" customWidth="1"/>
    <col min="16" max="16" width="0.9140625" style="5" customWidth="1"/>
    <col min="17" max="17" width="6.08203125" style="5" customWidth="1"/>
    <col min="18" max="18" width="6.6640625" style="5" customWidth="1"/>
    <col min="19" max="19" width="0.9140625" style="5" customWidth="1"/>
    <col min="20" max="20" width="6.08203125" style="5" customWidth="1"/>
    <col min="21" max="21" width="6.6640625" style="5" customWidth="1"/>
    <col min="22" max="16384" width="9.6640625" style="5"/>
  </cols>
  <sheetData>
    <row r="1" spans="1:24" s="1" customFormat="1" ht="15" customHeight="1" x14ac:dyDescent="0.3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4" s="1" customFormat="1" ht="15" customHeight="1" x14ac:dyDescent="0.3">
      <c r="A2" s="19" t="s">
        <v>21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4" s="1" customFormat="1" ht="9.3000000000000007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4" s="1" customFormat="1" ht="13.05" customHeight="1" x14ac:dyDescent="0.25">
      <c r="A4" s="138" t="s">
        <v>10</v>
      </c>
      <c r="B4" s="135" t="s">
        <v>11</v>
      </c>
      <c r="C4" s="135"/>
      <c r="D4" s="15"/>
      <c r="E4" s="135" t="s">
        <v>13</v>
      </c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</row>
    <row r="5" spans="1:24" s="1" customFormat="1" ht="13.05" customHeight="1" x14ac:dyDescent="0.25">
      <c r="A5" s="138"/>
      <c r="B5" s="17" t="s">
        <v>15</v>
      </c>
      <c r="C5" s="137" t="s">
        <v>17</v>
      </c>
      <c r="D5" s="2"/>
      <c r="E5" s="136" t="s">
        <v>3</v>
      </c>
      <c r="F5" s="136"/>
      <c r="G5" s="2"/>
      <c r="H5" s="136" t="s">
        <v>4</v>
      </c>
      <c r="I5" s="136"/>
      <c r="J5" s="2"/>
      <c r="K5" s="136" t="s">
        <v>5</v>
      </c>
      <c r="L5" s="136"/>
      <c r="M5" s="2"/>
      <c r="N5" s="136" t="s">
        <v>6</v>
      </c>
      <c r="O5" s="136"/>
      <c r="P5" s="2"/>
      <c r="Q5" s="136" t="s">
        <v>22</v>
      </c>
      <c r="R5" s="136"/>
      <c r="S5" s="2"/>
      <c r="T5" s="136" t="s">
        <v>7</v>
      </c>
      <c r="U5" s="136"/>
    </row>
    <row r="6" spans="1:24" s="1" customFormat="1" ht="13.05" customHeight="1" x14ac:dyDescent="0.25">
      <c r="A6" s="138"/>
      <c r="B6" s="17" t="s">
        <v>16</v>
      </c>
      <c r="C6" s="132"/>
      <c r="D6" s="18"/>
      <c r="E6" s="17" t="s">
        <v>15</v>
      </c>
      <c r="F6" s="137" t="s">
        <v>17</v>
      </c>
      <c r="G6" s="18"/>
      <c r="H6" s="17" t="s">
        <v>15</v>
      </c>
      <c r="I6" s="137" t="s">
        <v>17</v>
      </c>
      <c r="J6" s="139"/>
      <c r="K6" s="17" t="s">
        <v>15</v>
      </c>
      <c r="L6" s="137" t="s">
        <v>17</v>
      </c>
      <c r="M6" s="18"/>
      <c r="N6" s="17" t="s">
        <v>15</v>
      </c>
      <c r="O6" s="137" t="s">
        <v>17</v>
      </c>
      <c r="P6" s="18"/>
      <c r="Q6" s="17" t="s">
        <v>15</v>
      </c>
      <c r="R6" s="137" t="s">
        <v>17</v>
      </c>
      <c r="S6" s="18"/>
      <c r="T6" s="17" t="s">
        <v>15</v>
      </c>
      <c r="U6" s="137" t="s">
        <v>17</v>
      </c>
    </row>
    <row r="7" spans="1:24" s="1" customFormat="1" ht="13.05" customHeight="1" x14ac:dyDescent="0.25">
      <c r="A7" s="138"/>
      <c r="D7" s="17"/>
      <c r="E7" s="17" t="s">
        <v>16</v>
      </c>
      <c r="F7" s="132"/>
      <c r="G7" s="17"/>
      <c r="H7" s="17" t="s">
        <v>16</v>
      </c>
      <c r="I7" s="132"/>
      <c r="J7" s="140"/>
      <c r="K7" s="17" t="s">
        <v>16</v>
      </c>
      <c r="L7" s="132"/>
      <c r="M7" s="17"/>
      <c r="N7" s="17" t="s">
        <v>16</v>
      </c>
      <c r="O7" s="132"/>
      <c r="P7" s="17"/>
      <c r="Q7" s="17" t="s">
        <v>16</v>
      </c>
      <c r="R7" s="132"/>
      <c r="S7" s="17"/>
      <c r="T7" s="17" t="s">
        <v>16</v>
      </c>
      <c r="U7" s="132"/>
    </row>
    <row r="8" spans="1:24" s="1" customFormat="1" ht="9.3000000000000007" customHeight="1" x14ac:dyDescent="0.25">
      <c r="A8" s="15"/>
      <c r="B8" s="8"/>
      <c r="C8" s="8"/>
      <c r="D8" s="4"/>
      <c r="E8" s="4"/>
      <c r="F8" s="4"/>
      <c r="G8" s="4"/>
      <c r="H8" s="4"/>
      <c r="I8" s="4"/>
      <c r="J8" s="4"/>
      <c r="K8" s="4"/>
      <c r="L8" s="4"/>
      <c r="M8" s="9"/>
      <c r="N8" s="3"/>
      <c r="O8" s="3"/>
      <c r="P8" s="3"/>
      <c r="Q8" s="3"/>
      <c r="R8" s="3"/>
      <c r="S8" s="3"/>
      <c r="T8" s="3"/>
      <c r="U8" s="3"/>
      <c r="W8" s="20"/>
      <c r="X8" s="20"/>
    </row>
    <row r="9" spans="1:24" s="1" customFormat="1" ht="13.05" customHeight="1" x14ac:dyDescent="0.25">
      <c r="A9" s="15" t="s">
        <v>12</v>
      </c>
      <c r="B9" s="8">
        <v>1176</v>
      </c>
      <c r="C9" s="8">
        <v>451330.53</v>
      </c>
      <c r="D9" s="10"/>
      <c r="E9" s="8">
        <v>676</v>
      </c>
      <c r="F9" s="8">
        <v>131838.95000000001</v>
      </c>
      <c r="G9" s="8"/>
      <c r="H9" s="8">
        <v>181</v>
      </c>
      <c r="I9" s="8">
        <v>36694.479999999996</v>
      </c>
      <c r="J9" s="8"/>
      <c r="K9" s="8">
        <v>57</v>
      </c>
      <c r="L9" s="8">
        <v>45261.26</v>
      </c>
      <c r="M9" s="8"/>
      <c r="N9" s="8">
        <v>36</v>
      </c>
      <c r="O9" s="8">
        <v>70963.839999999997</v>
      </c>
      <c r="P9" s="8"/>
      <c r="Q9" s="8">
        <v>224</v>
      </c>
      <c r="R9" s="8">
        <v>166568</v>
      </c>
      <c r="S9" s="8"/>
      <c r="T9" s="8">
        <v>2</v>
      </c>
      <c r="U9" s="8">
        <v>4</v>
      </c>
      <c r="W9" s="20"/>
      <c r="X9" s="20"/>
    </row>
    <row r="10" spans="1:24" s="1" customFormat="1" ht="9.3000000000000007" customHeight="1" x14ac:dyDescent="0.25">
      <c r="A10" s="15"/>
      <c r="B10" s="8"/>
      <c r="C10" s="8"/>
      <c r="D10" s="4"/>
      <c r="E10" s="4"/>
      <c r="F10" s="4"/>
      <c r="G10" s="4"/>
      <c r="H10" s="4"/>
      <c r="I10" s="4"/>
      <c r="J10" s="4"/>
      <c r="K10" s="4"/>
      <c r="L10" s="4"/>
      <c r="M10" s="9"/>
      <c r="N10" s="3"/>
      <c r="O10" s="3"/>
      <c r="P10" s="3"/>
      <c r="Q10" s="3"/>
      <c r="R10" s="3"/>
      <c r="S10" s="3"/>
      <c r="T10" s="3"/>
      <c r="U10" s="3"/>
      <c r="W10" s="20"/>
      <c r="X10" s="20"/>
    </row>
    <row r="11" spans="1:24" s="1" customFormat="1" ht="13.05" customHeight="1" x14ac:dyDescent="0.25">
      <c r="A11" s="15" t="s">
        <v>0</v>
      </c>
      <c r="B11" s="8">
        <v>393</v>
      </c>
      <c r="C11" s="8">
        <v>320604.01</v>
      </c>
      <c r="D11" s="11"/>
      <c r="E11" s="4">
        <v>216</v>
      </c>
      <c r="F11" s="4">
        <v>110792.3</v>
      </c>
      <c r="G11" s="4"/>
      <c r="H11" s="4">
        <v>54</v>
      </c>
      <c r="I11" s="4">
        <v>25978</v>
      </c>
      <c r="J11" s="4"/>
      <c r="K11" s="4">
        <v>19</v>
      </c>
      <c r="L11" s="4">
        <v>10635.26</v>
      </c>
      <c r="M11" s="4"/>
      <c r="N11" s="4">
        <v>16</v>
      </c>
      <c r="O11" s="4">
        <v>30519.45</v>
      </c>
      <c r="P11" s="4"/>
      <c r="Q11" s="4">
        <v>87</v>
      </c>
      <c r="R11" s="4">
        <v>142677</v>
      </c>
      <c r="S11" s="4"/>
      <c r="T11" s="4">
        <v>1</v>
      </c>
      <c r="U11" s="4">
        <v>2</v>
      </c>
      <c r="W11" s="20"/>
      <c r="X11" s="20"/>
    </row>
    <row r="12" spans="1:24" s="1" customFormat="1" ht="13.05" customHeight="1" x14ac:dyDescent="0.25">
      <c r="A12" s="15" t="s">
        <v>23</v>
      </c>
      <c r="B12" s="8" t="s">
        <v>20</v>
      </c>
      <c r="C12" s="8" t="s">
        <v>20</v>
      </c>
      <c r="D12" s="11"/>
      <c r="E12" s="4" t="s">
        <v>20</v>
      </c>
      <c r="F12" s="4" t="s">
        <v>20</v>
      </c>
      <c r="G12" s="4"/>
      <c r="H12" s="4" t="s">
        <v>20</v>
      </c>
      <c r="I12" s="4" t="s">
        <v>20</v>
      </c>
      <c r="J12" s="4"/>
      <c r="K12" s="4" t="s">
        <v>20</v>
      </c>
      <c r="L12" s="4" t="s">
        <v>20</v>
      </c>
      <c r="M12" s="4"/>
      <c r="N12" s="4" t="s">
        <v>20</v>
      </c>
      <c r="O12" s="4" t="s">
        <v>20</v>
      </c>
      <c r="P12" s="4"/>
      <c r="Q12" s="4" t="s">
        <v>20</v>
      </c>
      <c r="R12" s="4" t="s">
        <v>20</v>
      </c>
      <c r="S12" s="4"/>
      <c r="T12" s="4" t="s">
        <v>20</v>
      </c>
      <c r="U12" s="4" t="s">
        <v>20</v>
      </c>
      <c r="W12" s="20"/>
      <c r="X12" s="20"/>
    </row>
    <row r="13" spans="1:24" s="1" customFormat="1" ht="13.05" customHeight="1" x14ac:dyDescent="0.25">
      <c r="A13" s="15" t="s">
        <v>1</v>
      </c>
      <c r="B13" s="8">
        <v>345</v>
      </c>
      <c r="C13" s="8" t="s">
        <v>20</v>
      </c>
      <c r="D13" s="11"/>
      <c r="E13" s="4">
        <v>192</v>
      </c>
      <c r="F13" s="4" t="s">
        <v>20</v>
      </c>
      <c r="G13" s="4"/>
      <c r="H13" s="4">
        <v>78</v>
      </c>
      <c r="I13" s="4" t="s">
        <v>20</v>
      </c>
      <c r="J13" s="4"/>
      <c r="K13" s="4">
        <v>16</v>
      </c>
      <c r="L13" s="4" t="s">
        <v>20</v>
      </c>
      <c r="M13" s="4"/>
      <c r="N13" s="4">
        <v>9</v>
      </c>
      <c r="O13" s="4" t="s">
        <v>20</v>
      </c>
      <c r="P13" s="4"/>
      <c r="Q13" s="4">
        <v>50</v>
      </c>
      <c r="R13" s="4" t="s">
        <v>20</v>
      </c>
      <c r="S13" s="4"/>
      <c r="T13" s="4" t="s">
        <v>20</v>
      </c>
      <c r="U13" s="4" t="s">
        <v>20</v>
      </c>
      <c r="W13" s="20"/>
      <c r="X13" s="20"/>
    </row>
    <row r="14" spans="1:24" s="1" customFormat="1" ht="13.05" customHeight="1" x14ac:dyDescent="0.25">
      <c r="A14" s="15" t="s">
        <v>2</v>
      </c>
      <c r="B14" s="8">
        <v>383</v>
      </c>
      <c r="C14" s="8">
        <v>129845.52</v>
      </c>
      <c r="D14" s="11"/>
      <c r="E14" s="4">
        <v>228</v>
      </c>
      <c r="F14" s="4">
        <v>20937.649999999998</v>
      </c>
      <c r="G14" s="4"/>
      <c r="H14" s="4">
        <v>46</v>
      </c>
      <c r="I14" s="4">
        <v>9987.48</v>
      </c>
      <c r="J14" s="4"/>
      <c r="K14" s="4">
        <v>22</v>
      </c>
      <c r="L14" s="4">
        <v>34626</v>
      </c>
      <c r="M14" s="4"/>
      <c r="N14" s="4">
        <v>11</v>
      </c>
      <c r="O14" s="4">
        <v>40444.39</v>
      </c>
      <c r="P14" s="4"/>
      <c r="Q14" s="4">
        <v>75</v>
      </c>
      <c r="R14" s="4">
        <v>23848</v>
      </c>
      <c r="S14" s="4"/>
      <c r="T14" s="4">
        <v>1</v>
      </c>
      <c r="U14" s="4">
        <v>2</v>
      </c>
      <c r="W14" s="20"/>
      <c r="X14" s="20"/>
    </row>
    <row r="15" spans="1:24" s="1" customFormat="1" ht="13.05" customHeight="1" x14ac:dyDescent="0.25">
      <c r="A15" s="15" t="s">
        <v>9</v>
      </c>
      <c r="B15" s="8"/>
      <c r="C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W15" s="20"/>
      <c r="X15" s="20"/>
    </row>
    <row r="16" spans="1:24" s="1" customFormat="1" ht="13.05" customHeight="1" x14ac:dyDescent="0.25">
      <c r="A16" s="15" t="s">
        <v>18</v>
      </c>
      <c r="B16" s="8">
        <v>49</v>
      </c>
      <c r="C16" s="8" t="s">
        <v>20</v>
      </c>
      <c r="D16" s="11"/>
      <c r="E16" s="4">
        <v>38</v>
      </c>
      <c r="F16" s="4" t="s">
        <v>20</v>
      </c>
      <c r="G16" s="4"/>
      <c r="H16" s="4">
        <v>1</v>
      </c>
      <c r="I16" s="4" t="s">
        <v>20</v>
      </c>
      <c r="J16" s="4"/>
      <c r="K16" s="4" t="s">
        <v>20</v>
      </c>
      <c r="L16" s="4" t="s">
        <v>20</v>
      </c>
      <c r="M16" s="4"/>
      <c r="N16" s="4" t="s">
        <v>20</v>
      </c>
      <c r="O16" s="4" t="s">
        <v>20</v>
      </c>
      <c r="P16" s="4"/>
      <c r="Q16" s="4">
        <v>10</v>
      </c>
      <c r="R16" s="4" t="s">
        <v>20</v>
      </c>
      <c r="S16" s="4"/>
      <c r="T16" s="4" t="s">
        <v>20</v>
      </c>
      <c r="U16" s="4" t="s">
        <v>20</v>
      </c>
      <c r="W16" s="20"/>
      <c r="X16" s="20"/>
    </row>
    <row r="17" spans="1:24" s="1" customFormat="1" ht="13.05" customHeight="1" x14ac:dyDescent="0.25">
      <c r="A17" s="15" t="s">
        <v>8</v>
      </c>
      <c r="B17" s="8">
        <v>6</v>
      </c>
      <c r="C17" s="8">
        <v>881</v>
      </c>
      <c r="D17" s="3"/>
      <c r="E17" s="4">
        <v>2</v>
      </c>
      <c r="F17" s="4">
        <v>109</v>
      </c>
      <c r="G17" s="4"/>
      <c r="H17" s="4">
        <v>2</v>
      </c>
      <c r="I17" s="4">
        <v>729</v>
      </c>
      <c r="J17" s="4"/>
      <c r="K17" s="4" t="s">
        <v>20</v>
      </c>
      <c r="L17" s="4" t="s">
        <v>20</v>
      </c>
      <c r="M17" s="4"/>
      <c r="N17" s="4" t="s">
        <v>20</v>
      </c>
      <c r="O17" s="4" t="s">
        <v>20</v>
      </c>
      <c r="P17" s="4"/>
      <c r="Q17" s="4">
        <v>2</v>
      </c>
      <c r="R17" s="4">
        <v>43</v>
      </c>
      <c r="S17" s="4"/>
      <c r="T17" s="4" t="s">
        <v>20</v>
      </c>
      <c r="U17" s="4" t="s">
        <v>20</v>
      </c>
      <c r="W17" s="20"/>
      <c r="X17" s="20"/>
    </row>
    <row r="18" spans="1:24" s="1" customFormat="1" ht="9.3000000000000007" customHeight="1" x14ac:dyDescent="0.25">
      <c r="A18" s="16"/>
      <c r="B18" s="3"/>
      <c r="C18" s="3"/>
      <c r="D18" s="3"/>
      <c r="E18" s="3"/>
      <c r="F18" s="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4" s="1" customFormat="1" ht="13.05" customHeight="1" x14ac:dyDescent="0.25">
      <c r="A19" s="14" t="s">
        <v>14</v>
      </c>
      <c r="C19" s="13"/>
      <c r="D19" s="13"/>
      <c r="E19" s="13"/>
      <c r="H19" s="13"/>
      <c r="I19" s="2"/>
      <c r="J19" s="2"/>
      <c r="L19" s="13"/>
      <c r="M19" s="13"/>
      <c r="N19" s="13"/>
    </row>
    <row r="20" spans="1:24" s="1" customFormat="1" ht="13.05" customHeight="1" x14ac:dyDescent="0.25">
      <c r="A20" s="14" t="s">
        <v>24</v>
      </c>
      <c r="C20" s="13"/>
      <c r="D20" s="13"/>
      <c r="E20" s="13"/>
      <c r="H20" s="13"/>
      <c r="I20" s="2"/>
      <c r="J20" s="2"/>
      <c r="L20" s="13"/>
      <c r="M20" s="13"/>
      <c r="N20" s="13"/>
    </row>
    <row r="21" spans="1:24" s="1" customFormat="1" ht="13.05" customHeight="1" x14ac:dyDescent="0.25">
      <c r="A21" s="14" t="s">
        <v>25</v>
      </c>
      <c r="C21" s="13"/>
      <c r="D21" s="13"/>
      <c r="E21" s="13"/>
      <c r="H21" s="13"/>
      <c r="I21" s="2"/>
      <c r="J21" s="2"/>
      <c r="L21" s="13"/>
      <c r="M21" s="13"/>
      <c r="N21" s="13"/>
    </row>
    <row r="22" spans="1:24" s="1" customFormat="1" ht="13.05" customHeight="1" x14ac:dyDescent="0.25">
      <c r="A22" s="21" t="s">
        <v>28</v>
      </c>
      <c r="I22" s="2"/>
      <c r="J22" s="2"/>
    </row>
    <row r="23" spans="1:24" ht="9.3000000000000007" customHeight="1" x14ac:dyDescent="0.15"/>
  </sheetData>
  <mergeCells count="17">
    <mergeCell ref="A4:A7"/>
    <mergeCell ref="I6:I7"/>
    <mergeCell ref="J6:J7"/>
    <mergeCell ref="L6:L7"/>
    <mergeCell ref="O6:O7"/>
    <mergeCell ref="R6:R7"/>
    <mergeCell ref="F6:F7"/>
    <mergeCell ref="U6:U7"/>
    <mergeCell ref="B4:C4"/>
    <mergeCell ref="E4:U4"/>
    <mergeCell ref="C5:C6"/>
    <mergeCell ref="E5:F5"/>
    <mergeCell ref="H5:I5"/>
    <mergeCell ref="K5:L5"/>
    <mergeCell ref="N5:O5"/>
    <mergeCell ref="Q5:R5"/>
    <mergeCell ref="T5:U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showGridLines="0" workbookViewId="0">
      <selection sqref="A1:U2"/>
    </sheetView>
  </sheetViews>
  <sheetFormatPr baseColWidth="10" defaultColWidth="9.6640625" defaultRowHeight="9.6" x14ac:dyDescent="0.15"/>
  <cols>
    <col min="1" max="1" width="14.08203125" style="5" customWidth="1"/>
    <col min="2" max="2" width="6" style="5" customWidth="1"/>
    <col min="3" max="3" width="6.6640625" style="6" customWidth="1"/>
    <col min="4" max="4" width="0.9140625" style="6" customWidth="1"/>
    <col min="5" max="5" width="6" style="6" customWidth="1"/>
    <col min="6" max="6" width="6.6640625" style="5" customWidth="1"/>
    <col min="7" max="7" width="0.9140625" style="5" customWidth="1"/>
    <col min="8" max="8" width="5.58203125" style="6" customWidth="1"/>
    <col min="9" max="9" width="6.6640625" style="7" customWidth="1"/>
    <col min="10" max="10" width="0.9140625" style="7" customWidth="1"/>
    <col min="11" max="11" width="6.08203125" style="5" customWidth="1"/>
    <col min="12" max="12" width="6.6640625" style="6" customWidth="1"/>
    <col min="13" max="13" width="0.9140625" style="6" customWidth="1"/>
    <col min="14" max="14" width="5.9140625" style="6" customWidth="1"/>
    <col min="15" max="15" width="6.6640625" style="5" customWidth="1"/>
    <col min="16" max="16" width="0.9140625" style="5" customWidth="1"/>
    <col min="17" max="17" width="6.08203125" style="5" customWidth="1"/>
    <col min="18" max="18" width="6.6640625" style="5" customWidth="1"/>
    <col min="19" max="19" width="0.9140625" style="5" customWidth="1"/>
    <col min="20" max="20" width="6.08203125" style="5" customWidth="1"/>
    <col min="21" max="21" width="6.6640625" style="5" customWidth="1"/>
    <col min="22" max="16384" width="9.6640625" style="5"/>
  </cols>
  <sheetData>
    <row r="1" spans="1:24" s="1" customFormat="1" ht="15" customHeight="1" x14ac:dyDescent="0.25">
      <c r="A1" s="133" t="s">
        <v>32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</row>
    <row r="2" spans="1:24" s="1" customFormat="1" ht="15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</row>
    <row r="3" spans="1:24" s="1" customFormat="1" ht="9.3000000000000007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4" s="1" customFormat="1" ht="13.05" customHeight="1" x14ac:dyDescent="0.25">
      <c r="A4" s="138" t="s">
        <v>10</v>
      </c>
      <c r="B4" s="135" t="s">
        <v>11</v>
      </c>
      <c r="C4" s="135"/>
      <c r="D4" s="15"/>
      <c r="E4" s="135" t="s">
        <v>13</v>
      </c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</row>
    <row r="5" spans="1:24" s="1" customFormat="1" ht="13.05" customHeight="1" x14ac:dyDescent="0.25">
      <c r="A5" s="138"/>
      <c r="B5" s="142" t="s">
        <v>31</v>
      </c>
      <c r="C5" s="137" t="s">
        <v>17</v>
      </c>
      <c r="D5" s="2"/>
      <c r="E5" s="136" t="s">
        <v>3</v>
      </c>
      <c r="F5" s="136"/>
      <c r="G5" s="2"/>
      <c r="H5" s="136" t="s">
        <v>4</v>
      </c>
      <c r="I5" s="136"/>
      <c r="J5" s="2"/>
      <c r="K5" s="136" t="s">
        <v>5</v>
      </c>
      <c r="L5" s="136"/>
      <c r="M5" s="2"/>
      <c r="N5" s="136" t="s">
        <v>6</v>
      </c>
      <c r="O5" s="136"/>
      <c r="P5" s="2"/>
      <c r="Q5" s="136" t="s">
        <v>22</v>
      </c>
      <c r="R5" s="136"/>
      <c r="S5" s="2"/>
      <c r="T5" s="136" t="s">
        <v>7</v>
      </c>
      <c r="U5" s="136"/>
    </row>
    <row r="6" spans="1:24" s="1" customFormat="1" ht="13.05" customHeight="1" x14ac:dyDescent="0.25">
      <c r="A6" s="138"/>
      <c r="B6" s="143"/>
      <c r="C6" s="132"/>
      <c r="D6" s="18"/>
      <c r="E6" s="142" t="s">
        <v>31</v>
      </c>
      <c r="F6" s="137" t="s">
        <v>17</v>
      </c>
      <c r="G6" s="18"/>
      <c r="H6" s="142" t="s">
        <v>31</v>
      </c>
      <c r="I6" s="137" t="s">
        <v>17</v>
      </c>
      <c r="J6" s="139"/>
      <c r="K6" s="142" t="s">
        <v>31</v>
      </c>
      <c r="L6" s="137" t="s">
        <v>17</v>
      </c>
      <c r="M6" s="18"/>
      <c r="N6" s="142" t="s">
        <v>31</v>
      </c>
      <c r="O6" s="137" t="s">
        <v>17</v>
      </c>
      <c r="P6" s="18"/>
      <c r="Q6" s="142" t="s">
        <v>31</v>
      </c>
      <c r="R6" s="137" t="s">
        <v>17</v>
      </c>
      <c r="S6" s="18"/>
      <c r="T6" s="142" t="s">
        <v>31</v>
      </c>
      <c r="U6" s="137" t="s">
        <v>17</v>
      </c>
    </row>
    <row r="7" spans="1:24" s="1" customFormat="1" ht="13.05" customHeight="1" x14ac:dyDescent="0.25">
      <c r="A7" s="138"/>
      <c r="D7" s="17"/>
      <c r="E7" s="143"/>
      <c r="F7" s="132"/>
      <c r="G7" s="17"/>
      <c r="H7" s="143"/>
      <c r="I7" s="132"/>
      <c r="J7" s="140"/>
      <c r="K7" s="143"/>
      <c r="L7" s="132"/>
      <c r="M7" s="17"/>
      <c r="N7" s="143"/>
      <c r="O7" s="132"/>
      <c r="P7" s="17"/>
      <c r="Q7" s="143"/>
      <c r="R7" s="132"/>
      <c r="S7" s="17"/>
      <c r="T7" s="143"/>
      <c r="U7" s="132"/>
    </row>
    <row r="8" spans="1:24" s="1" customFormat="1" ht="9.3000000000000007" customHeight="1" x14ac:dyDescent="0.25">
      <c r="A8" s="15"/>
      <c r="B8" s="8"/>
      <c r="C8" s="8"/>
      <c r="D8" s="4"/>
      <c r="E8" s="4"/>
      <c r="F8" s="4"/>
      <c r="G8" s="4"/>
      <c r="H8" s="4"/>
      <c r="I8" s="4"/>
      <c r="J8" s="4"/>
      <c r="K8" s="4"/>
      <c r="L8" s="4"/>
      <c r="M8" s="9"/>
      <c r="N8" s="3"/>
      <c r="O8" s="3"/>
      <c r="P8" s="3"/>
      <c r="Q8" s="3"/>
      <c r="R8" s="3"/>
      <c r="S8" s="3"/>
      <c r="T8" s="3"/>
      <c r="U8" s="3"/>
      <c r="W8" s="20"/>
      <c r="X8" s="20"/>
    </row>
    <row r="9" spans="1:24" s="1" customFormat="1" ht="13.05" customHeight="1" x14ac:dyDescent="0.25">
      <c r="A9" s="15" t="s">
        <v>12</v>
      </c>
      <c r="B9" s="8">
        <v>1151</v>
      </c>
      <c r="C9" s="8">
        <v>468494.16</v>
      </c>
      <c r="D9" s="10"/>
      <c r="E9" s="8">
        <v>629</v>
      </c>
      <c r="F9" s="8">
        <v>147751.60999999999</v>
      </c>
      <c r="G9" s="8"/>
      <c r="H9" s="8">
        <v>174</v>
      </c>
      <c r="I9" s="8">
        <v>113333</v>
      </c>
      <c r="J9" s="8"/>
      <c r="K9" s="8">
        <v>37</v>
      </c>
      <c r="L9" s="8">
        <v>27191</v>
      </c>
      <c r="M9" s="8"/>
      <c r="N9" s="8">
        <v>9</v>
      </c>
      <c r="O9" s="8">
        <v>7195</v>
      </c>
      <c r="P9" s="8"/>
      <c r="Q9" s="8">
        <v>301</v>
      </c>
      <c r="R9" s="8">
        <v>172902.55</v>
      </c>
      <c r="S9" s="8"/>
      <c r="T9" s="8">
        <v>1</v>
      </c>
      <c r="U9" s="8">
        <v>121</v>
      </c>
      <c r="W9" s="20"/>
      <c r="X9" s="20"/>
    </row>
    <row r="10" spans="1:24" s="1" customFormat="1" ht="9.3000000000000007" customHeight="1" x14ac:dyDescent="0.25">
      <c r="A10" s="15"/>
      <c r="B10" s="8"/>
      <c r="C10" s="8"/>
      <c r="D10" s="4"/>
      <c r="E10" s="4"/>
      <c r="F10" s="4"/>
      <c r="G10" s="4"/>
      <c r="H10" s="4"/>
      <c r="I10" s="4"/>
      <c r="J10" s="4"/>
      <c r="K10" s="4"/>
      <c r="L10" s="4"/>
      <c r="M10" s="9"/>
      <c r="N10" s="3"/>
      <c r="O10" s="3"/>
      <c r="P10" s="3"/>
      <c r="Q10" s="3"/>
      <c r="R10" s="3"/>
      <c r="S10" s="3"/>
      <c r="T10" s="3"/>
      <c r="U10" s="3"/>
      <c r="W10" s="20"/>
      <c r="X10" s="20"/>
    </row>
    <row r="11" spans="1:24" s="1" customFormat="1" ht="13.05" customHeight="1" x14ac:dyDescent="0.25">
      <c r="A11" s="15" t="s">
        <v>0</v>
      </c>
      <c r="B11" s="8">
        <v>450</v>
      </c>
      <c r="C11" s="8">
        <v>403755.61</v>
      </c>
      <c r="D11" s="11"/>
      <c r="E11" s="4">
        <v>233</v>
      </c>
      <c r="F11" s="4">
        <v>129267.61</v>
      </c>
      <c r="G11" s="4"/>
      <c r="H11" s="4">
        <v>73</v>
      </c>
      <c r="I11" s="4">
        <v>93542</v>
      </c>
      <c r="J11" s="4"/>
      <c r="K11" s="4">
        <v>15</v>
      </c>
      <c r="L11" s="4">
        <v>19727</v>
      </c>
      <c r="M11" s="4"/>
      <c r="N11" s="4">
        <v>1</v>
      </c>
      <c r="O11" s="4">
        <v>52</v>
      </c>
      <c r="P11" s="4"/>
      <c r="Q11" s="4">
        <v>128</v>
      </c>
      <c r="R11" s="4">
        <v>161167</v>
      </c>
      <c r="S11" s="4"/>
      <c r="T11" s="4" t="s">
        <v>20</v>
      </c>
      <c r="U11" s="4" t="s">
        <v>20</v>
      </c>
      <c r="W11" s="20"/>
      <c r="X11" s="20"/>
    </row>
    <row r="12" spans="1:24" s="1" customFormat="1" ht="13.05" customHeight="1" x14ac:dyDescent="0.25">
      <c r="A12" s="15" t="s">
        <v>23</v>
      </c>
      <c r="B12" s="8" t="s">
        <v>20</v>
      </c>
      <c r="C12" s="8" t="s">
        <v>20</v>
      </c>
      <c r="D12" s="11"/>
      <c r="E12" s="4" t="s">
        <v>20</v>
      </c>
      <c r="F12" s="4" t="s">
        <v>20</v>
      </c>
      <c r="G12" s="4"/>
      <c r="H12" s="4" t="s">
        <v>20</v>
      </c>
      <c r="I12" s="4" t="s">
        <v>20</v>
      </c>
      <c r="J12" s="4"/>
      <c r="K12" s="4" t="s">
        <v>20</v>
      </c>
      <c r="L12" s="4" t="s">
        <v>20</v>
      </c>
      <c r="M12" s="4"/>
      <c r="N12" s="4" t="s">
        <v>20</v>
      </c>
      <c r="O12" s="4" t="s">
        <v>20</v>
      </c>
      <c r="P12" s="4"/>
      <c r="Q12" s="4" t="s">
        <v>20</v>
      </c>
      <c r="R12" s="4" t="s">
        <v>20</v>
      </c>
      <c r="S12" s="4"/>
      <c r="T12" s="4" t="s">
        <v>20</v>
      </c>
      <c r="U12" s="4" t="s">
        <v>20</v>
      </c>
      <c r="W12" s="20"/>
      <c r="X12" s="20"/>
    </row>
    <row r="13" spans="1:24" s="1" customFormat="1" ht="13.05" customHeight="1" x14ac:dyDescent="0.25">
      <c r="A13" s="15" t="s">
        <v>1</v>
      </c>
      <c r="B13" s="8">
        <v>246</v>
      </c>
      <c r="C13" s="4" t="s">
        <v>20</v>
      </c>
      <c r="D13" s="11"/>
      <c r="E13" s="4">
        <v>144</v>
      </c>
      <c r="F13" s="4" t="s">
        <v>20</v>
      </c>
      <c r="G13" s="4"/>
      <c r="H13" s="4">
        <v>48</v>
      </c>
      <c r="I13" s="4" t="s">
        <v>20</v>
      </c>
      <c r="J13" s="4"/>
      <c r="K13" s="4">
        <v>7</v>
      </c>
      <c r="L13" s="4" t="s">
        <v>20</v>
      </c>
      <c r="M13" s="4"/>
      <c r="N13" s="4">
        <v>2</v>
      </c>
      <c r="O13" s="4" t="s">
        <v>20</v>
      </c>
      <c r="P13" s="4"/>
      <c r="Q13" s="4">
        <v>45</v>
      </c>
      <c r="R13" s="4" t="s">
        <v>20</v>
      </c>
      <c r="S13" s="4"/>
      <c r="T13" s="4" t="s">
        <v>20</v>
      </c>
      <c r="U13" s="4" t="s">
        <v>20</v>
      </c>
      <c r="W13" s="20"/>
      <c r="X13" s="20"/>
    </row>
    <row r="14" spans="1:24" s="1" customFormat="1" ht="13.05" customHeight="1" x14ac:dyDescent="0.25">
      <c r="A14" s="15" t="s">
        <v>2</v>
      </c>
      <c r="B14" s="8">
        <v>403</v>
      </c>
      <c r="C14" s="8">
        <v>63977.55</v>
      </c>
      <c r="D14" s="11"/>
      <c r="E14" s="4">
        <v>221</v>
      </c>
      <c r="F14" s="4">
        <v>18138</v>
      </c>
      <c r="G14" s="4"/>
      <c r="H14" s="4">
        <v>50</v>
      </c>
      <c r="I14" s="4">
        <v>19662</v>
      </c>
      <c r="J14" s="4"/>
      <c r="K14" s="4">
        <v>15</v>
      </c>
      <c r="L14" s="4">
        <v>7464</v>
      </c>
      <c r="M14" s="4"/>
      <c r="N14" s="4">
        <v>6</v>
      </c>
      <c r="O14" s="4">
        <v>7143</v>
      </c>
      <c r="P14" s="4"/>
      <c r="Q14" s="4">
        <v>110</v>
      </c>
      <c r="R14" s="4">
        <v>11449.55</v>
      </c>
      <c r="S14" s="4"/>
      <c r="T14" s="4">
        <v>1</v>
      </c>
      <c r="U14" s="4">
        <v>121</v>
      </c>
      <c r="W14" s="20"/>
      <c r="X14" s="20"/>
    </row>
    <row r="15" spans="1:24" s="1" customFormat="1" ht="13.05" customHeight="1" x14ac:dyDescent="0.25">
      <c r="A15" s="141" t="s">
        <v>30</v>
      </c>
      <c r="B15" s="8"/>
      <c r="C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W15" s="20"/>
      <c r="X15" s="20"/>
    </row>
    <row r="16" spans="1:24" s="1" customFormat="1" ht="13.05" customHeight="1" x14ac:dyDescent="0.25">
      <c r="A16" s="141"/>
      <c r="B16" s="8">
        <v>36</v>
      </c>
      <c r="C16" s="4" t="s">
        <v>20</v>
      </c>
      <c r="D16" s="11"/>
      <c r="E16" s="4">
        <v>21</v>
      </c>
      <c r="F16" s="4" t="s">
        <v>20</v>
      </c>
      <c r="G16" s="4"/>
      <c r="H16" s="4">
        <v>1</v>
      </c>
      <c r="I16" s="4" t="s">
        <v>20</v>
      </c>
      <c r="J16" s="4"/>
      <c r="K16" s="4" t="s">
        <v>20</v>
      </c>
      <c r="L16" s="4" t="s">
        <v>20</v>
      </c>
      <c r="M16" s="4"/>
      <c r="N16" s="4" t="s">
        <v>20</v>
      </c>
      <c r="O16" s="4" t="s">
        <v>20</v>
      </c>
      <c r="P16" s="4"/>
      <c r="Q16" s="4">
        <v>14</v>
      </c>
      <c r="R16" s="4" t="s">
        <v>20</v>
      </c>
      <c r="S16" s="4"/>
      <c r="T16" s="4" t="s">
        <v>20</v>
      </c>
      <c r="U16" s="4" t="s">
        <v>20</v>
      </c>
      <c r="W16" s="20"/>
      <c r="X16" s="20"/>
    </row>
    <row r="17" spans="1:24" s="1" customFormat="1" ht="13.05" customHeight="1" x14ac:dyDescent="0.25">
      <c r="A17" s="15" t="s">
        <v>8</v>
      </c>
      <c r="B17" s="8">
        <v>16</v>
      </c>
      <c r="C17" s="8">
        <v>761</v>
      </c>
      <c r="D17" s="3"/>
      <c r="E17" s="4">
        <v>10</v>
      </c>
      <c r="F17" s="4">
        <v>346</v>
      </c>
      <c r="G17" s="4"/>
      <c r="H17" s="4">
        <v>2</v>
      </c>
      <c r="I17" s="4">
        <v>129</v>
      </c>
      <c r="J17" s="4"/>
      <c r="K17" s="4" t="s">
        <v>20</v>
      </c>
      <c r="L17" s="4" t="s">
        <v>20</v>
      </c>
      <c r="M17" s="4"/>
      <c r="N17" s="4" t="s">
        <v>20</v>
      </c>
      <c r="O17" s="4" t="s">
        <v>20</v>
      </c>
      <c r="P17" s="4"/>
      <c r="Q17" s="4">
        <v>4</v>
      </c>
      <c r="R17" s="4">
        <v>286</v>
      </c>
      <c r="S17" s="4"/>
      <c r="T17" s="4" t="s">
        <v>20</v>
      </c>
      <c r="U17" s="4" t="s">
        <v>20</v>
      </c>
      <c r="W17" s="20"/>
      <c r="X17" s="20"/>
    </row>
    <row r="18" spans="1:24" s="1" customFormat="1" ht="9.3000000000000007" customHeight="1" x14ac:dyDescent="0.25">
      <c r="A18" s="16"/>
      <c r="B18" s="3"/>
      <c r="C18" s="3"/>
      <c r="D18" s="3"/>
      <c r="E18" s="3"/>
      <c r="F18" s="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4" s="1" customFormat="1" ht="13.05" customHeight="1" x14ac:dyDescent="0.25">
      <c r="A19" s="14" t="s">
        <v>14</v>
      </c>
      <c r="C19" s="13"/>
      <c r="D19" s="13"/>
      <c r="E19" s="13"/>
      <c r="H19" s="13"/>
      <c r="I19" s="2"/>
      <c r="J19" s="2"/>
      <c r="L19" s="13"/>
      <c r="M19" s="13"/>
      <c r="N19" s="13"/>
    </row>
    <row r="20" spans="1:24" s="1" customFormat="1" ht="13.05" customHeight="1" x14ac:dyDescent="0.25">
      <c r="A20" s="14" t="s">
        <v>24</v>
      </c>
      <c r="C20" s="13"/>
      <c r="D20" s="13"/>
      <c r="E20" s="13"/>
      <c r="H20" s="13"/>
      <c r="I20" s="2"/>
      <c r="J20" s="2"/>
      <c r="L20" s="13"/>
      <c r="M20" s="13"/>
      <c r="N20" s="13"/>
    </row>
    <row r="21" spans="1:24" s="1" customFormat="1" ht="13.05" customHeight="1" x14ac:dyDescent="0.25">
      <c r="A21" s="14" t="s">
        <v>25</v>
      </c>
      <c r="C21" s="13"/>
      <c r="D21" s="13"/>
      <c r="E21" s="13"/>
      <c r="H21" s="13"/>
      <c r="I21" s="2"/>
      <c r="J21" s="2"/>
      <c r="L21" s="13"/>
      <c r="M21" s="13"/>
      <c r="N21" s="13"/>
    </row>
    <row r="22" spans="1:24" s="1" customFormat="1" ht="13.05" customHeight="1" x14ac:dyDescent="0.25">
      <c r="A22" s="21" t="s">
        <v>28</v>
      </c>
      <c r="C22" s="13"/>
      <c r="D22" s="13"/>
      <c r="E22" s="13"/>
      <c r="H22" s="13"/>
      <c r="I22" s="2"/>
      <c r="J22" s="2"/>
      <c r="L22" s="13"/>
      <c r="M22" s="13"/>
      <c r="N22" s="13"/>
    </row>
    <row r="23" spans="1:24" s="1" customFormat="1" ht="13.05" customHeight="1" x14ac:dyDescent="0.25">
      <c r="I23" s="2"/>
      <c r="J23" s="2"/>
    </row>
    <row r="24" spans="1:24" ht="9.3000000000000007" customHeight="1" x14ac:dyDescent="0.15"/>
  </sheetData>
  <mergeCells count="26">
    <mergeCell ref="A1:U2"/>
    <mergeCell ref="T5:U5"/>
    <mergeCell ref="A4:A7"/>
    <mergeCell ref="I6:I7"/>
    <mergeCell ref="J6:J7"/>
    <mergeCell ref="L6:L7"/>
    <mergeCell ref="O6:O7"/>
    <mergeCell ref="R6:R7"/>
    <mergeCell ref="F6:F7"/>
    <mergeCell ref="B5:B6"/>
    <mergeCell ref="E6:E7"/>
    <mergeCell ref="H6:H7"/>
    <mergeCell ref="K6:K7"/>
    <mergeCell ref="N6:N7"/>
    <mergeCell ref="Q6:Q7"/>
    <mergeCell ref="A15:A16"/>
    <mergeCell ref="U6:U7"/>
    <mergeCell ref="B4:C4"/>
    <mergeCell ref="E4:U4"/>
    <mergeCell ref="C5:C6"/>
    <mergeCell ref="E5:F5"/>
    <mergeCell ref="H5:I5"/>
    <mergeCell ref="K5:L5"/>
    <mergeCell ref="N5:O5"/>
    <mergeCell ref="Q5:R5"/>
    <mergeCell ref="T6:T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showGridLines="0" workbookViewId="0"/>
  </sheetViews>
  <sheetFormatPr baseColWidth="10" defaultColWidth="9.6640625" defaultRowHeight="9.6" x14ac:dyDescent="0.15"/>
  <cols>
    <col min="1" max="1" width="14.6640625" style="5" customWidth="1"/>
    <col min="2" max="2" width="6" style="5" customWidth="1"/>
    <col min="3" max="3" width="6.6640625" style="6" customWidth="1"/>
    <col min="4" max="4" width="0.9140625" style="6" customWidth="1"/>
    <col min="5" max="5" width="6" style="6" customWidth="1"/>
    <col min="6" max="6" width="6.6640625" style="5" customWidth="1"/>
    <col min="7" max="7" width="0.9140625" style="5" customWidth="1"/>
    <col min="8" max="8" width="5.58203125" style="6" customWidth="1"/>
    <col min="9" max="9" width="6.6640625" style="7" customWidth="1"/>
    <col min="10" max="10" width="0.9140625" style="7" customWidth="1"/>
    <col min="11" max="11" width="6.08203125" style="5" customWidth="1"/>
    <col min="12" max="12" width="6.6640625" style="6" customWidth="1"/>
    <col min="13" max="13" width="0.9140625" style="6" customWidth="1"/>
    <col min="14" max="14" width="5.9140625" style="6" customWidth="1"/>
    <col min="15" max="15" width="6.6640625" style="5" customWidth="1"/>
    <col min="16" max="16" width="0.9140625" style="5" customWidth="1"/>
    <col min="17" max="17" width="6.08203125" style="5" customWidth="1"/>
    <col min="18" max="18" width="6.6640625" style="5" customWidth="1"/>
    <col min="19" max="19" width="0.9140625" style="5" customWidth="1"/>
    <col min="20" max="20" width="6.08203125" style="5" customWidth="1"/>
    <col min="21" max="21" width="6.6640625" style="5" customWidth="1"/>
    <col min="22" max="16384" width="9.6640625" style="5"/>
  </cols>
  <sheetData>
    <row r="1" spans="1:24" s="1" customFormat="1" ht="15" customHeight="1" x14ac:dyDescent="0.3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4" s="1" customFormat="1" ht="15" customHeight="1" x14ac:dyDescent="0.3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4" s="1" customFormat="1" ht="9.3000000000000007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4" s="1" customFormat="1" ht="13.05" customHeight="1" x14ac:dyDescent="0.25">
      <c r="A4" s="138" t="s">
        <v>10</v>
      </c>
      <c r="B4" s="135" t="s">
        <v>11</v>
      </c>
      <c r="C4" s="135"/>
      <c r="D4" s="15"/>
      <c r="E4" s="135" t="s">
        <v>13</v>
      </c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</row>
    <row r="5" spans="1:24" s="1" customFormat="1" ht="13.05" customHeight="1" x14ac:dyDescent="0.25">
      <c r="A5" s="138"/>
      <c r="B5" s="17" t="s">
        <v>15</v>
      </c>
      <c r="C5" s="137" t="s">
        <v>17</v>
      </c>
      <c r="D5" s="2"/>
      <c r="E5" s="136" t="s">
        <v>3</v>
      </c>
      <c r="F5" s="136"/>
      <c r="G5" s="2"/>
      <c r="H5" s="136" t="s">
        <v>4</v>
      </c>
      <c r="I5" s="136"/>
      <c r="J5" s="2"/>
      <c r="K5" s="136" t="s">
        <v>5</v>
      </c>
      <c r="L5" s="136"/>
      <c r="M5" s="2"/>
      <c r="N5" s="136" t="s">
        <v>6</v>
      </c>
      <c r="O5" s="136"/>
      <c r="P5" s="2"/>
      <c r="Q5" s="136" t="s">
        <v>22</v>
      </c>
      <c r="R5" s="136"/>
      <c r="S5" s="2"/>
      <c r="T5" s="136" t="s">
        <v>7</v>
      </c>
      <c r="U5" s="136"/>
    </row>
    <row r="6" spans="1:24" s="1" customFormat="1" ht="13.05" customHeight="1" x14ac:dyDescent="0.25">
      <c r="A6" s="138"/>
      <c r="B6" s="17" t="s">
        <v>16</v>
      </c>
      <c r="C6" s="132"/>
      <c r="D6" s="18"/>
      <c r="E6" s="17" t="s">
        <v>15</v>
      </c>
      <c r="F6" s="137" t="s">
        <v>17</v>
      </c>
      <c r="G6" s="18"/>
      <c r="H6" s="17" t="s">
        <v>15</v>
      </c>
      <c r="I6" s="137" t="s">
        <v>17</v>
      </c>
      <c r="J6" s="139"/>
      <c r="K6" s="17" t="s">
        <v>15</v>
      </c>
      <c r="L6" s="137" t="s">
        <v>17</v>
      </c>
      <c r="M6" s="18"/>
      <c r="N6" s="17" t="s">
        <v>15</v>
      </c>
      <c r="O6" s="137" t="s">
        <v>17</v>
      </c>
      <c r="P6" s="18"/>
      <c r="Q6" s="17" t="s">
        <v>15</v>
      </c>
      <c r="R6" s="137" t="s">
        <v>17</v>
      </c>
      <c r="S6" s="18"/>
      <c r="T6" s="17" t="s">
        <v>15</v>
      </c>
      <c r="U6" s="137" t="s">
        <v>17</v>
      </c>
    </row>
    <row r="7" spans="1:24" s="1" customFormat="1" ht="13.05" customHeight="1" x14ac:dyDescent="0.25">
      <c r="A7" s="138"/>
      <c r="D7" s="17"/>
      <c r="E7" s="17" t="s">
        <v>16</v>
      </c>
      <c r="F7" s="132"/>
      <c r="G7" s="17"/>
      <c r="H7" s="17" t="s">
        <v>16</v>
      </c>
      <c r="I7" s="132"/>
      <c r="J7" s="140"/>
      <c r="K7" s="17" t="s">
        <v>16</v>
      </c>
      <c r="L7" s="132"/>
      <c r="M7" s="17"/>
      <c r="N7" s="17" t="s">
        <v>16</v>
      </c>
      <c r="O7" s="132"/>
      <c r="P7" s="17"/>
      <c r="Q7" s="17" t="s">
        <v>16</v>
      </c>
      <c r="R7" s="132"/>
      <c r="S7" s="17"/>
      <c r="T7" s="17" t="s">
        <v>16</v>
      </c>
      <c r="U7" s="132"/>
    </row>
    <row r="8" spans="1:24" s="1" customFormat="1" ht="9.3000000000000007" customHeight="1" x14ac:dyDescent="0.25">
      <c r="A8" s="15"/>
      <c r="B8" s="8"/>
      <c r="C8" s="8"/>
      <c r="D8" s="4"/>
      <c r="E8" s="4"/>
      <c r="F8" s="4"/>
      <c r="G8" s="4"/>
      <c r="H8" s="4"/>
      <c r="I8" s="4"/>
      <c r="J8" s="4"/>
      <c r="K8" s="4"/>
      <c r="L8" s="4"/>
      <c r="M8" s="9"/>
      <c r="N8" s="3"/>
      <c r="O8" s="3"/>
      <c r="P8" s="3"/>
      <c r="Q8" s="3"/>
      <c r="R8" s="3"/>
      <c r="S8" s="3"/>
      <c r="T8" s="3"/>
      <c r="U8" s="3"/>
      <c r="W8" s="20"/>
      <c r="X8" s="20"/>
    </row>
    <row r="9" spans="1:24" s="1" customFormat="1" ht="13.05" customHeight="1" x14ac:dyDescent="0.25">
      <c r="A9" s="15" t="s">
        <v>12</v>
      </c>
      <c r="B9" s="8">
        <v>1401</v>
      </c>
      <c r="C9" s="8">
        <v>616095.1</v>
      </c>
      <c r="D9" s="10"/>
      <c r="E9" s="8">
        <v>715</v>
      </c>
      <c r="F9" s="8">
        <v>198994.32</v>
      </c>
      <c r="G9" s="8"/>
      <c r="H9" s="8">
        <v>243</v>
      </c>
      <c r="I9" s="8">
        <v>97689.18</v>
      </c>
      <c r="J9" s="8"/>
      <c r="K9" s="8">
        <v>32</v>
      </c>
      <c r="L9" s="8">
        <v>22140</v>
      </c>
      <c r="M9" s="8"/>
      <c r="N9" s="8">
        <v>25</v>
      </c>
      <c r="O9" s="8">
        <v>32875.5</v>
      </c>
      <c r="P9" s="8"/>
      <c r="Q9" s="8">
        <v>373</v>
      </c>
      <c r="R9" s="8">
        <v>260644.6</v>
      </c>
      <c r="S9" s="8"/>
      <c r="T9" s="8">
        <v>13</v>
      </c>
      <c r="U9" s="8">
        <v>3751.5</v>
      </c>
      <c r="W9" s="20"/>
      <c r="X9" s="20"/>
    </row>
    <row r="10" spans="1:24" s="1" customFormat="1" ht="9.3000000000000007" customHeight="1" x14ac:dyDescent="0.25">
      <c r="A10" s="15"/>
      <c r="B10" s="8"/>
      <c r="C10" s="8"/>
      <c r="D10" s="4"/>
      <c r="E10" s="4"/>
      <c r="F10" s="4"/>
      <c r="G10" s="4"/>
      <c r="H10" s="4"/>
      <c r="I10" s="4"/>
      <c r="J10" s="4"/>
      <c r="K10" s="4"/>
      <c r="L10" s="4"/>
      <c r="M10" s="9"/>
      <c r="N10" s="3"/>
      <c r="O10" s="3"/>
      <c r="P10" s="3"/>
      <c r="Q10" s="3"/>
      <c r="R10" s="3"/>
      <c r="S10" s="3"/>
      <c r="T10" s="3"/>
      <c r="U10" s="3"/>
      <c r="W10" s="20"/>
      <c r="X10" s="20"/>
    </row>
    <row r="11" spans="1:24" s="1" customFormat="1" ht="13.05" customHeight="1" x14ac:dyDescent="0.25">
      <c r="A11" s="15" t="s">
        <v>0</v>
      </c>
      <c r="B11" s="8">
        <v>570</v>
      </c>
      <c r="C11" s="8">
        <v>526540.51</v>
      </c>
      <c r="D11" s="11"/>
      <c r="E11" s="4">
        <v>274</v>
      </c>
      <c r="F11" s="4">
        <v>178386.81</v>
      </c>
      <c r="G11" s="4"/>
      <c r="H11" s="4">
        <v>93</v>
      </c>
      <c r="I11" s="4">
        <v>74699</v>
      </c>
      <c r="J11" s="4"/>
      <c r="K11" s="4">
        <v>11</v>
      </c>
      <c r="L11" s="4">
        <v>12492</v>
      </c>
      <c r="M11" s="4"/>
      <c r="N11" s="4">
        <v>14</v>
      </c>
      <c r="O11" s="4">
        <v>32112.6</v>
      </c>
      <c r="P11" s="4"/>
      <c r="Q11" s="4">
        <v>174</v>
      </c>
      <c r="R11" s="4">
        <v>228215.1</v>
      </c>
      <c r="S11" s="4"/>
      <c r="T11" s="4">
        <v>4</v>
      </c>
      <c r="U11" s="4">
        <v>635</v>
      </c>
      <c r="W11" s="20"/>
      <c r="X11" s="20"/>
    </row>
    <row r="12" spans="1:24" s="1" customFormat="1" ht="13.05" customHeight="1" x14ac:dyDescent="0.25">
      <c r="A12" s="15" t="s">
        <v>23</v>
      </c>
      <c r="B12" s="8" t="s">
        <v>20</v>
      </c>
      <c r="C12" s="8" t="s">
        <v>20</v>
      </c>
      <c r="D12" s="11"/>
      <c r="E12" s="4" t="s">
        <v>20</v>
      </c>
      <c r="F12" s="4" t="s">
        <v>20</v>
      </c>
      <c r="G12" s="4"/>
      <c r="H12" s="4" t="s">
        <v>20</v>
      </c>
      <c r="I12" s="4" t="s">
        <v>20</v>
      </c>
      <c r="J12" s="4"/>
      <c r="K12" s="4" t="s">
        <v>20</v>
      </c>
      <c r="L12" s="4" t="s">
        <v>20</v>
      </c>
      <c r="M12" s="4"/>
      <c r="N12" s="4" t="s">
        <v>20</v>
      </c>
      <c r="O12" s="4" t="s">
        <v>20</v>
      </c>
      <c r="P12" s="4"/>
      <c r="Q12" s="4" t="s">
        <v>20</v>
      </c>
      <c r="R12" s="4" t="s">
        <v>20</v>
      </c>
      <c r="S12" s="4"/>
      <c r="T12" s="4" t="s">
        <v>20</v>
      </c>
      <c r="U12" s="4" t="s">
        <v>20</v>
      </c>
      <c r="W12" s="20"/>
      <c r="X12" s="20"/>
    </row>
    <row r="13" spans="1:24" s="1" customFormat="1" ht="13.05" customHeight="1" x14ac:dyDescent="0.25">
      <c r="A13" s="15" t="s">
        <v>1</v>
      </c>
      <c r="B13" s="8">
        <v>298</v>
      </c>
      <c r="C13" s="8" t="s">
        <v>20</v>
      </c>
      <c r="D13" s="11"/>
      <c r="E13" s="4">
        <v>152</v>
      </c>
      <c r="F13" s="4" t="s">
        <v>20</v>
      </c>
      <c r="G13" s="4"/>
      <c r="H13" s="4">
        <v>75</v>
      </c>
      <c r="I13" s="4" t="s">
        <v>20</v>
      </c>
      <c r="J13" s="4"/>
      <c r="K13" s="4">
        <v>8</v>
      </c>
      <c r="L13" s="4" t="s">
        <v>20</v>
      </c>
      <c r="M13" s="4"/>
      <c r="N13" s="4">
        <v>4</v>
      </c>
      <c r="O13" s="4" t="s">
        <v>20</v>
      </c>
      <c r="P13" s="4"/>
      <c r="Q13" s="4">
        <v>57</v>
      </c>
      <c r="R13" s="4" t="s">
        <v>20</v>
      </c>
      <c r="S13" s="4"/>
      <c r="T13" s="4">
        <v>2</v>
      </c>
      <c r="U13" s="4" t="s">
        <v>20</v>
      </c>
      <c r="W13" s="20"/>
      <c r="X13" s="20"/>
    </row>
    <row r="14" spans="1:24" s="1" customFormat="1" ht="13.05" customHeight="1" x14ac:dyDescent="0.25">
      <c r="A14" s="15" t="s">
        <v>2</v>
      </c>
      <c r="B14" s="8">
        <v>461</v>
      </c>
      <c r="C14" s="8">
        <v>85735.59</v>
      </c>
      <c r="D14" s="11"/>
      <c r="E14" s="4">
        <v>247</v>
      </c>
      <c r="F14" s="4">
        <v>19575.509999999998</v>
      </c>
      <c r="G14" s="4"/>
      <c r="H14" s="4">
        <v>68</v>
      </c>
      <c r="I14" s="4">
        <v>21764.18</v>
      </c>
      <c r="J14" s="4"/>
      <c r="K14" s="4">
        <v>10</v>
      </c>
      <c r="L14" s="4">
        <v>9539</v>
      </c>
      <c r="M14" s="4"/>
      <c r="N14" s="4">
        <v>6</v>
      </c>
      <c r="O14" s="4">
        <v>758.9</v>
      </c>
      <c r="P14" s="4"/>
      <c r="Q14" s="4">
        <v>123</v>
      </c>
      <c r="R14" s="4">
        <v>30981.5</v>
      </c>
      <c r="S14" s="4"/>
      <c r="T14" s="4">
        <v>7</v>
      </c>
      <c r="U14" s="4">
        <v>3116.5</v>
      </c>
      <c r="W14" s="20"/>
      <c r="X14" s="20"/>
    </row>
    <row r="15" spans="1:24" s="1" customFormat="1" ht="13.05" customHeight="1" x14ac:dyDescent="0.25">
      <c r="A15" s="15" t="s">
        <v>9</v>
      </c>
      <c r="B15" s="8"/>
      <c r="C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W15" s="20"/>
      <c r="X15" s="20"/>
    </row>
    <row r="16" spans="1:24" s="1" customFormat="1" ht="13.05" customHeight="1" x14ac:dyDescent="0.25">
      <c r="A16" s="15" t="s">
        <v>18</v>
      </c>
      <c r="B16" s="8">
        <v>42</v>
      </c>
      <c r="C16" s="8" t="s">
        <v>20</v>
      </c>
      <c r="D16" s="11"/>
      <c r="E16" s="4">
        <v>29</v>
      </c>
      <c r="F16" s="4" t="s">
        <v>20</v>
      </c>
      <c r="G16" s="4"/>
      <c r="H16" s="4">
        <v>2</v>
      </c>
      <c r="I16" s="4" t="s">
        <v>20</v>
      </c>
      <c r="J16" s="4"/>
      <c r="K16" s="4" t="s">
        <v>20</v>
      </c>
      <c r="L16" s="4" t="s">
        <v>20</v>
      </c>
      <c r="M16" s="4"/>
      <c r="N16" s="4" t="s">
        <v>20</v>
      </c>
      <c r="O16" s="4" t="s">
        <v>20</v>
      </c>
      <c r="P16" s="4"/>
      <c r="Q16" s="4">
        <v>11</v>
      </c>
      <c r="R16" s="4" t="s">
        <v>20</v>
      </c>
      <c r="S16" s="4"/>
      <c r="T16" s="4" t="s">
        <v>20</v>
      </c>
      <c r="U16" s="4" t="s">
        <v>20</v>
      </c>
      <c r="W16" s="20"/>
      <c r="X16" s="20"/>
    </row>
    <row r="17" spans="1:24" s="1" customFormat="1" ht="13.05" customHeight="1" x14ac:dyDescent="0.25">
      <c r="A17" s="15" t="s">
        <v>8</v>
      </c>
      <c r="B17" s="8">
        <v>30</v>
      </c>
      <c r="C17" s="8">
        <v>3819</v>
      </c>
      <c r="D17" s="3"/>
      <c r="E17" s="4">
        <v>13</v>
      </c>
      <c r="F17" s="4">
        <v>1032</v>
      </c>
      <c r="G17" s="4"/>
      <c r="H17" s="4">
        <v>5</v>
      </c>
      <c r="I17" s="4">
        <v>1226</v>
      </c>
      <c r="J17" s="4"/>
      <c r="K17" s="4">
        <v>3</v>
      </c>
      <c r="L17" s="4">
        <v>109</v>
      </c>
      <c r="M17" s="4"/>
      <c r="N17" s="4">
        <v>1</v>
      </c>
      <c r="O17" s="4">
        <v>4</v>
      </c>
      <c r="P17" s="4"/>
      <c r="Q17" s="4">
        <v>8</v>
      </c>
      <c r="R17" s="4">
        <v>1448</v>
      </c>
      <c r="S17" s="4"/>
      <c r="T17" s="4" t="s">
        <v>20</v>
      </c>
      <c r="U17" s="4" t="s">
        <v>20</v>
      </c>
      <c r="W17" s="20"/>
      <c r="X17" s="20"/>
    </row>
    <row r="18" spans="1:24" s="1" customFormat="1" ht="9.3000000000000007" customHeight="1" x14ac:dyDescent="0.25">
      <c r="A18" s="16"/>
      <c r="B18" s="3"/>
      <c r="C18" s="3"/>
      <c r="D18" s="3"/>
      <c r="E18" s="3"/>
      <c r="F18" s="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4" s="1" customFormat="1" ht="13.05" customHeight="1" x14ac:dyDescent="0.25">
      <c r="A19" s="14" t="s">
        <v>14</v>
      </c>
      <c r="C19" s="13"/>
      <c r="D19" s="13"/>
      <c r="E19" s="13"/>
      <c r="H19" s="13"/>
      <c r="I19" s="2"/>
      <c r="J19" s="2"/>
      <c r="L19" s="13"/>
      <c r="M19" s="13"/>
      <c r="N19" s="13"/>
    </row>
    <row r="20" spans="1:24" s="1" customFormat="1" ht="13.05" customHeight="1" x14ac:dyDescent="0.25">
      <c r="A20" s="14" t="s">
        <v>24</v>
      </c>
      <c r="C20" s="13"/>
      <c r="D20" s="13"/>
      <c r="E20" s="13"/>
      <c r="H20" s="13"/>
      <c r="I20" s="2"/>
      <c r="J20" s="2"/>
      <c r="L20" s="13"/>
      <c r="M20" s="13"/>
      <c r="N20" s="13"/>
    </row>
    <row r="21" spans="1:24" s="1" customFormat="1" ht="13.05" customHeight="1" x14ac:dyDescent="0.25">
      <c r="A21" s="14" t="s">
        <v>25</v>
      </c>
      <c r="C21" s="13"/>
      <c r="D21" s="13"/>
      <c r="E21" s="13"/>
      <c r="H21" s="13"/>
      <c r="I21" s="2"/>
      <c r="J21" s="2"/>
      <c r="L21" s="13"/>
      <c r="M21" s="13"/>
      <c r="N21" s="13"/>
    </row>
    <row r="22" spans="1:24" s="1" customFormat="1" ht="13.05" customHeight="1" x14ac:dyDescent="0.25">
      <c r="A22" s="21" t="s">
        <v>28</v>
      </c>
      <c r="I22" s="2"/>
      <c r="J22" s="2"/>
    </row>
    <row r="23" spans="1:24" ht="9.3000000000000007" customHeight="1" x14ac:dyDescent="0.15"/>
  </sheetData>
  <mergeCells count="17">
    <mergeCell ref="A4:A7"/>
    <mergeCell ref="I6:I7"/>
    <mergeCell ref="J6:J7"/>
    <mergeCell ref="L6:L7"/>
    <mergeCell ref="O6:O7"/>
    <mergeCell ref="R6:R7"/>
    <mergeCell ref="F6:F7"/>
    <mergeCell ref="U6:U7"/>
    <mergeCell ref="B4:C4"/>
    <mergeCell ref="E4:U4"/>
    <mergeCell ref="C5:C6"/>
    <mergeCell ref="E5:F5"/>
    <mergeCell ref="H5:I5"/>
    <mergeCell ref="K5:L5"/>
    <mergeCell ref="N5:O5"/>
    <mergeCell ref="Q5:R5"/>
    <mergeCell ref="T5:U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showGridLines="0" workbookViewId="0"/>
  </sheetViews>
  <sheetFormatPr baseColWidth="10" defaultColWidth="9.6640625" defaultRowHeight="9.6" x14ac:dyDescent="0.15"/>
  <cols>
    <col min="1" max="1" width="14.6640625" style="5" customWidth="1"/>
    <col min="2" max="2" width="6" style="5" customWidth="1"/>
    <col min="3" max="3" width="6.6640625" style="6" customWidth="1"/>
    <col min="4" max="4" width="0.9140625" style="6" customWidth="1"/>
    <col min="5" max="5" width="6" style="6" customWidth="1"/>
    <col min="6" max="6" width="6.6640625" style="5" customWidth="1"/>
    <col min="7" max="7" width="0.9140625" style="5" customWidth="1"/>
    <col min="8" max="8" width="5.58203125" style="6" customWidth="1"/>
    <col min="9" max="9" width="6.6640625" style="7" customWidth="1"/>
    <col min="10" max="10" width="0.9140625" style="7" customWidth="1"/>
    <col min="11" max="11" width="6.08203125" style="5" customWidth="1"/>
    <col min="12" max="12" width="6.6640625" style="6" customWidth="1"/>
    <col min="13" max="13" width="0.9140625" style="6" customWidth="1"/>
    <col min="14" max="14" width="5.9140625" style="6" customWidth="1"/>
    <col min="15" max="15" width="6.6640625" style="5" customWidth="1"/>
    <col min="16" max="16" width="0.9140625" style="5" customWidth="1"/>
    <col min="17" max="17" width="6.08203125" style="5" customWidth="1"/>
    <col min="18" max="18" width="6.6640625" style="5" customWidth="1"/>
    <col min="19" max="19" width="0.9140625" style="5" customWidth="1"/>
    <col min="20" max="20" width="6.08203125" style="5" customWidth="1"/>
    <col min="21" max="21" width="6.6640625" style="5" customWidth="1"/>
    <col min="22" max="16384" width="9.6640625" style="5"/>
  </cols>
  <sheetData>
    <row r="1" spans="1:24" s="1" customFormat="1" ht="15" customHeight="1" x14ac:dyDescent="0.3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4" s="1" customFormat="1" ht="15" customHeight="1" x14ac:dyDescent="0.3">
      <c r="A2" s="19" t="s">
        <v>27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4" s="1" customFormat="1" ht="9.3000000000000007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4" s="1" customFormat="1" ht="13.05" customHeight="1" x14ac:dyDescent="0.25">
      <c r="A4" s="138" t="s">
        <v>10</v>
      </c>
      <c r="B4" s="135" t="s">
        <v>11</v>
      </c>
      <c r="C4" s="135"/>
      <c r="D4" s="15"/>
      <c r="E4" s="135" t="s">
        <v>13</v>
      </c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</row>
    <row r="5" spans="1:24" s="1" customFormat="1" ht="13.05" customHeight="1" x14ac:dyDescent="0.25">
      <c r="A5" s="138"/>
      <c r="B5" s="17" t="s">
        <v>15</v>
      </c>
      <c r="C5" s="137" t="s">
        <v>17</v>
      </c>
      <c r="D5" s="2"/>
      <c r="E5" s="136" t="s">
        <v>3</v>
      </c>
      <c r="F5" s="136"/>
      <c r="G5" s="2"/>
      <c r="H5" s="136" t="s">
        <v>4</v>
      </c>
      <c r="I5" s="136"/>
      <c r="J5" s="2"/>
      <c r="K5" s="136" t="s">
        <v>5</v>
      </c>
      <c r="L5" s="136"/>
      <c r="M5" s="2"/>
      <c r="N5" s="136" t="s">
        <v>6</v>
      </c>
      <c r="O5" s="136"/>
      <c r="P5" s="2"/>
      <c r="Q5" s="136" t="s">
        <v>22</v>
      </c>
      <c r="R5" s="136"/>
      <c r="S5" s="2"/>
      <c r="T5" s="136" t="s">
        <v>7</v>
      </c>
      <c r="U5" s="136"/>
    </row>
    <row r="6" spans="1:24" s="1" customFormat="1" ht="13.05" customHeight="1" x14ac:dyDescent="0.25">
      <c r="A6" s="138"/>
      <c r="B6" s="17" t="s">
        <v>16</v>
      </c>
      <c r="C6" s="132"/>
      <c r="D6" s="18"/>
      <c r="E6" s="17" t="s">
        <v>15</v>
      </c>
      <c r="F6" s="137" t="s">
        <v>17</v>
      </c>
      <c r="G6" s="18"/>
      <c r="H6" s="17" t="s">
        <v>15</v>
      </c>
      <c r="I6" s="137" t="s">
        <v>17</v>
      </c>
      <c r="J6" s="139"/>
      <c r="K6" s="17" t="s">
        <v>15</v>
      </c>
      <c r="L6" s="137" t="s">
        <v>17</v>
      </c>
      <c r="M6" s="18"/>
      <c r="N6" s="17" t="s">
        <v>15</v>
      </c>
      <c r="O6" s="137" t="s">
        <v>17</v>
      </c>
      <c r="P6" s="18"/>
      <c r="Q6" s="17" t="s">
        <v>15</v>
      </c>
      <c r="R6" s="137" t="s">
        <v>17</v>
      </c>
      <c r="S6" s="18"/>
      <c r="T6" s="17" t="s">
        <v>15</v>
      </c>
      <c r="U6" s="137" t="s">
        <v>17</v>
      </c>
    </row>
    <row r="7" spans="1:24" s="1" customFormat="1" ht="13.05" customHeight="1" x14ac:dyDescent="0.25">
      <c r="A7" s="138"/>
      <c r="D7" s="17"/>
      <c r="E7" s="17" t="s">
        <v>16</v>
      </c>
      <c r="F7" s="132"/>
      <c r="G7" s="17"/>
      <c r="H7" s="17" t="s">
        <v>16</v>
      </c>
      <c r="I7" s="132"/>
      <c r="J7" s="140"/>
      <c r="K7" s="17" t="s">
        <v>16</v>
      </c>
      <c r="L7" s="132"/>
      <c r="M7" s="17"/>
      <c r="N7" s="17" t="s">
        <v>16</v>
      </c>
      <c r="O7" s="132"/>
      <c r="P7" s="17"/>
      <c r="Q7" s="17" t="s">
        <v>16</v>
      </c>
      <c r="R7" s="132"/>
      <c r="S7" s="17"/>
      <c r="T7" s="17" t="s">
        <v>16</v>
      </c>
      <c r="U7" s="132"/>
    </row>
    <row r="8" spans="1:24" s="1" customFormat="1" ht="9.3000000000000007" customHeight="1" x14ac:dyDescent="0.25">
      <c r="A8" s="15"/>
      <c r="B8" s="8"/>
      <c r="C8" s="8"/>
      <c r="D8" s="4"/>
      <c r="E8" s="4"/>
      <c r="F8" s="4"/>
      <c r="G8" s="4"/>
      <c r="H8" s="4"/>
      <c r="I8" s="4"/>
      <c r="J8" s="4"/>
      <c r="K8" s="4"/>
      <c r="L8" s="4"/>
      <c r="M8" s="9"/>
      <c r="N8" s="3"/>
      <c r="O8" s="3"/>
      <c r="P8" s="3"/>
      <c r="Q8" s="3"/>
      <c r="R8" s="3"/>
      <c r="S8" s="3"/>
      <c r="T8" s="3"/>
      <c r="U8" s="3"/>
      <c r="W8" s="20"/>
      <c r="X8" s="20"/>
    </row>
    <row r="9" spans="1:24" s="1" customFormat="1" ht="13.05" customHeight="1" x14ac:dyDescent="0.25">
      <c r="A9" s="15" t="s">
        <v>12</v>
      </c>
      <c r="B9" s="8">
        <v>955</v>
      </c>
      <c r="C9" s="8">
        <v>426758.14</v>
      </c>
      <c r="D9" s="10"/>
      <c r="E9" s="8">
        <v>508</v>
      </c>
      <c r="F9" s="8">
        <v>85825.880000000019</v>
      </c>
      <c r="G9" s="8"/>
      <c r="H9" s="8">
        <v>176</v>
      </c>
      <c r="I9" s="8">
        <v>75776.06</v>
      </c>
      <c r="J9" s="8"/>
      <c r="K9" s="8">
        <v>30</v>
      </c>
      <c r="L9" s="8">
        <v>27853</v>
      </c>
      <c r="M9" s="8"/>
      <c r="N9" s="8">
        <v>23</v>
      </c>
      <c r="O9" s="8">
        <v>2364.71</v>
      </c>
      <c r="P9" s="8"/>
      <c r="Q9" s="8">
        <v>216</v>
      </c>
      <c r="R9" s="8">
        <v>234714.48999999996</v>
      </c>
      <c r="S9" s="8"/>
      <c r="T9" s="8">
        <v>2</v>
      </c>
      <c r="U9" s="8">
        <v>224</v>
      </c>
      <c r="V9" s="20"/>
      <c r="W9" s="20"/>
      <c r="X9" s="20"/>
    </row>
    <row r="10" spans="1:24" s="1" customFormat="1" ht="9.3000000000000007" customHeight="1" x14ac:dyDescent="0.25">
      <c r="A10" s="15"/>
      <c r="B10" s="8"/>
      <c r="C10" s="8"/>
      <c r="D10" s="4"/>
      <c r="E10" s="4"/>
      <c r="F10" s="4"/>
      <c r="G10" s="4"/>
      <c r="H10" s="4"/>
      <c r="I10" s="4"/>
      <c r="J10" s="4"/>
      <c r="K10" s="4"/>
      <c r="L10" s="4"/>
      <c r="M10" s="9"/>
      <c r="N10" s="3"/>
      <c r="O10" s="3"/>
      <c r="P10" s="3"/>
      <c r="Q10" s="3"/>
      <c r="R10" s="3"/>
      <c r="S10" s="3"/>
      <c r="T10" s="3"/>
      <c r="U10" s="3"/>
      <c r="W10" s="20"/>
      <c r="X10" s="20"/>
    </row>
    <row r="11" spans="1:24" s="1" customFormat="1" ht="13.05" customHeight="1" x14ac:dyDescent="0.25">
      <c r="A11" s="15" t="s">
        <v>0</v>
      </c>
      <c r="B11" s="8">
        <v>381</v>
      </c>
      <c r="C11" s="8">
        <v>353359.5</v>
      </c>
      <c r="D11" s="11"/>
      <c r="E11" s="4">
        <v>187</v>
      </c>
      <c r="F11" s="4">
        <v>67364.530000000013</v>
      </c>
      <c r="G11" s="4"/>
      <c r="H11" s="4">
        <v>71</v>
      </c>
      <c r="I11" s="4">
        <v>60948.12</v>
      </c>
      <c r="J11" s="4"/>
      <c r="K11" s="4">
        <v>10</v>
      </c>
      <c r="L11" s="4">
        <v>14420</v>
      </c>
      <c r="M11" s="4"/>
      <c r="N11" s="4">
        <v>5</v>
      </c>
      <c r="O11" s="4">
        <v>846.1</v>
      </c>
      <c r="P11" s="4"/>
      <c r="Q11" s="4">
        <v>107</v>
      </c>
      <c r="R11" s="4">
        <v>209758.74999999997</v>
      </c>
      <c r="S11" s="4"/>
      <c r="T11" s="4">
        <v>1</v>
      </c>
      <c r="U11" s="4">
        <v>22</v>
      </c>
      <c r="W11" s="20"/>
      <c r="X11" s="20"/>
    </row>
    <row r="12" spans="1:24" s="1" customFormat="1" ht="13.05" customHeight="1" x14ac:dyDescent="0.25">
      <c r="A12" s="15" t="s">
        <v>23</v>
      </c>
      <c r="B12" s="8" t="s">
        <v>20</v>
      </c>
      <c r="C12" s="8" t="s">
        <v>20</v>
      </c>
      <c r="D12" s="11"/>
      <c r="E12" s="4" t="s">
        <v>20</v>
      </c>
      <c r="F12" s="4" t="s">
        <v>20</v>
      </c>
      <c r="G12" s="4"/>
      <c r="H12" s="4" t="s">
        <v>20</v>
      </c>
      <c r="I12" s="4" t="s">
        <v>20</v>
      </c>
      <c r="J12" s="4"/>
      <c r="K12" s="4" t="s">
        <v>20</v>
      </c>
      <c r="L12" s="4" t="s">
        <v>20</v>
      </c>
      <c r="M12" s="4"/>
      <c r="N12" s="4" t="s">
        <v>20</v>
      </c>
      <c r="O12" s="4" t="s">
        <v>20</v>
      </c>
      <c r="P12" s="4"/>
      <c r="Q12" s="4" t="s">
        <v>20</v>
      </c>
      <c r="R12" s="4" t="s">
        <v>20</v>
      </c>
      <c r="S12" s="4"/>
      <c r="T12" s="4" t="s">
        <v>20</v>
      </c>
      <c r="U12" s="4" t="s">
        <v>20</v>
      </c>
      <c r="W12" s="20"/>
      <c r="X12" s="20"/>
    </row>
    <row r="13" spans="1:24" s="1" customFormat="1" ht="13.05" customHeight="1" x14ac:dyDescent="0.25">
      <c r="A13" s="15" t="s">
        <v>1</v>
      </c>
      <c r="B13" s="8">
        <v>205</v>
      </c>
      <c r="C13" s="8" t="s">
        <v>20</v>
      </c>
      <c r="D13" s="11"/>
      <c r="E13" s="4">
        <v>110</v>
      </c>
      <c r="F13" s="4" t="s">
        <v>20</v>
      </c>
      <c r="G13" s="4"/>
      <c r="H13" s="4">
        <v>52</v>
      </c>
      <c r="I13" s="4" t="s">
        <v>20</v>
      </c>
      <c r="J13" s="4"/>
      <c r="K13" s="4">
        <v>5</v>
      </c>
      <c r="L13" s="4" t="s">
        <v>20</v>
      </c>
      <c r="M13" s="4"/>
      <c r="N13" s="4">
        <v>5</v>
      </c>
      <c r="O13" s="4" t="s">
        <v>20</v>
      </c>
      <c r="P13" s="4"/>
      <c r="Q13" s="4">
        <v>33</v>
      </c>
      <c r="R13" s="4" t="s">
        <v>20</v>
      </c>
      <c r="S13" s="4"/>
      <c r="T13" s="4" t="s">
        <v>20</v>
      </c>
      <c r="U13" s="4" t="s">
        <v>20</v>
      </c>
      <c r="W13" s="20"/>
      <c r="X13" s="20"/>
    </row>
    <row r="14" spans="1:24" s="1" customFormat="1" ht="13.05" customHeight="1" x14ac:dyDescent="0.25">
      <c r="A14" s="15" t="s">
        <v>2</v>
      </c>
      <c r="B14" s="8">
        <v>329</v>
      </c>
      <c r="C14" s="8">
        <v>70351.06</v>
      </c>
      <c r="D14" s="11"/>
      <c r="E14" s="4">
        <v>184</v>
      </c>
      <c r="F14" s="4">
        <v>18017.05</v>
      </c>
      <c r="G14" s="4"/>
      <c r="H14" s="4">
        <v>51</v>
      </c>
      <c r="I14" s="4">
        <v>13316.939999999999</v>
      </c>
      <c r="J14" s="4"/>
      <c r="K14" s="4">
        <v>14</v>
      </c>
      <c r="L14" s="4">
        <v>13406</v>
      </c>
      <c r="M14" s="4"/>
      <c r="N14" s="4">
        <v>8</v>
      </c>
      <c r="O14" s="4">
        <v>518.27</v>
      </c>
      <c r="P14" s="4"/>
      <c r="Q14" s="4">
        <v>71</v>
      </c>
      <c r="R14" s="4">
        <v>24890.799999999999</v>
      </c>
      <c r="S14" s="4"/>
      <c r="T14" s="4">
        <v>1</v>
      </c>
      <c r="U14" s="4">
        <v>202</v>
      </c>
      <c r="W14" s="20"/>
      <c r="X14" s="20"/>
    </row>
    <row r="15" spans="1:24" s="1" customFormat="1" ht="13.05" customHeight="1" x14ac:dyDescent="0.25">
      <c r="A15" s="15" t="s">
        <v>9</v>
      </c>
      <c r="B15" s="8"/>
      <c r="C15" s="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W15" s="20"/>
      <c r="X15" s="20"/>
    </row>
    <row r="16" spans="1:24" s="1" customFormat="1" ht="13.05" customHeight="1" x14ac:dyDescent="0.25">
      <c r="A16" s="15" t="s">
        <v>18</v>
      </c>
      <c r="B16" s="8">
        <v>17</v>
      </c>
      <c r="C16" s="8" t="s">
        <v>20</v>
      </c>
      <c r="D16" s="11"/>
      <c r="E16" s="4">
        <v>15</v>
      </c>
      <c r="F16" s="4" t="s">
        <v>20</v>
      </c>
      <c r="G16" s="4"/>
      <c r="H16" s="4" t="s">
        <v>20</v>
      </c>
      <c r="I16" s="4" t="s">
        <v>20</v>
      </c>
      <c r="J16" s="4"/>
      <c r="K16" s="4" t="s">
        <v>20</v>
      </c>
      <c r="L16" s="4" t="s">
        <v>20</v>
      </c>
      <c r="M16" s="4"/>
      <c r="N16" s="4" t="s">
        <v>20</v>
      </c>
      <c r="O16" s="4" t="s">
        <v>20</v>
      </c>
      <c r="P16" s="4"/>
      <c r="Q16" s="4">
        <v>2</v>
      </c>
      <c r="R16" s="4" t="s">
        <v>20</v>
      </c>
      <c r="S16" s="4"/>
      <c r="T16" s="4" t="s">
        <v>20</v>
      </c>
      <c r="U16" s="4" t="s">
        <v>20</v>
      </c>
      <c r="W16" s="20"/>
      <c r="X16" s="20"/>
    </row>
    <row r="17" spans="1:24" s="1" customFormat="1" ht="13.05" customHeight="1" x14ac:dyDescent="0.25">
      <c r="A17" s="15" t="s">
        <v>8</v>
      </c>
      <c r="B17" s="8">
        <v>19</v>
      </c>
      <c r="C17" s="8">
        <v>2084.2399999999998</v>
      </c>
      <c r="D17" s="3"/>
      <c r="E17" s="4">
        <v>12</v>
      </c>
      <c r="F17" s="4">
        <v>444.3</v>
      </c>
      <c r="G17" s="4"/>
      <c r="H17" s="4">
        <v>2</v>
      </c>
      <c r="I17" s="4">
        <v>1511</v>
      </c>
      <c r="J17" s="4"/>
      <c r="K17" s="4">
        <v>1</v>
      </c>
      <c r="L17" s="4">
        <v>27</v>
      </c>
      <c r="M17" s="4"/>
      <c r="N17" s="4">
        <v>1</v>
      </c>
      <c r="O17" s="4">
        <v>37</v>
      </c>
      <c r="P17" s="4"/>
      <c r="Q17" s="4">
        <v>3</v>
      </c>
      <c r="R17" s="4">
        <v>64.94</v>
      </c>
      <c r="S17" s="4"/>
      <c r="T17" s="4" t="s">
        <v>20</v>
      </c>
      <c r="U17" s="4" t="s">
        <v>20</v>
      </c>
      <c r="W17" s="20"/>
      <c r="X17" s="20"/>
    </row>
    <row r="18" spans="1:24" s="1" customFormat="1" ht="13.05" customHeight="1" x14ac:dyDescent="0.25">
      <c r="A18" s="15" t="s">
        <v>7</v>
      </c>
      <c r="B18" s="8">
        <v>4</v>
      </c>
      <c r="C18" s="8">
        <v>963.34</v>
      </c>
      <c r="D18" s="3"/>
      <c r="E18" s="4" t="s">
        <v>20</v>
      </c>
      <c r="F18" s="4" t="s">
        <v>20</v>
      </c>
      <c r="G18" s="4"/>
      <c r="H18" s="4" t="s">
        <v>20</v>
      </c>
      <c r="I18" s="4" t="s">
        <v>20</v>
      </c>
      <c r="J18" s="4"/>
      <c r="K18" s="4" t="s">
        <v>20</v>
      </c>
      <c r="L18" s="4" t="s">
        <v>20</v>
      </c>
      <c r="M18" s="4"/>
      <c r="N18" s="4">
        <v>4</v>
      </c>
      <c r="O18" s="4">
        <v>963.34</v>
      </c>
      <c r="P18" s="4"/>
      <c r="Q18" s="4" t="s">
        <v>20</v>
      </c>
      <c r="R18" s="4" t="s">
        <v>20</v>
      </c>
      <c r="S18" s="4"/>
      <c r="T18" s="4" t="s">
        <v>20</v>
      </c>
      <c r="U18" s="4" t="s">
        <v>20</v>
      </c>
      <c r="W18" s="20"/>
      <c r="X18" s="20"/>
    </row>
    <row r="19" spans="1:24" s="1" customFormat="1" ht="9.3000000000000007" customHeight="1" x14ac:dyDescent="0.25">
      <c r="A19" s="16"/>
      <c r="B19" s="3"/>
      <c r="C19" s="3"/>
      <c r="D19" s="3"/>
      <c r="E19" s="3"/>
      <c r="F19" s="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4" s="1" customFormat="1" ht="13.05" customHeight="1" x14ac:dyDescent="0.25">
      <c r="A20" s="14" t="s">
        <v>14</v>
      </c>
      <c r="C20" s="13"/>
      <c r="D20" s="13"/>
      <c r="E20" s="13"/>
      <c r="H20" s="13"/>
      <c r="I20" s="2"/>
      <c r="J20" s="2"/>
      <c r="L20" s="13"/>
      <c r="M20" s="13"/>
      <c r="N20" s="13"/>
    </row>
    <row r="21" spans="1:24" s="1" customFormat="1" ht="13.05" customHeight="1" x14ac:dyDescent="0.25">
      <c r="A21" s="14" t="s">
        <v>24</v>
      </c>
      <c r="C21" s="13"/>
      <c r="D21" s="13"/>
      <c r="E21" s="13"/>
      <c r="H21" s="13"/>
      <c r="I21" s="2"/>
      <c r="J21" s="2"/>
      <c r="L21" s="13"/>
      <c r="M21" s="13"/>
      <c r="N21" s="13"/>
    </row>
    <row r="22" spans="1:24" s="1" customFormat="1" ht="13.05" customHeight="1" x14ac:dyDescent="0.25">
      <c r="A22" s="14" t="s">
        <v>25</v>
      </c>
      <c r="C22" s="13"/>
      <c r="D22" s="13"/>
      <c r="E22" s="13"/>
      <c r="H22" s="13"/>
      <c r="I22" s="2"/>
      <c r="J22" s="2"/>
      <c r="L22" s="13"/>
      <c r="M22" s="13"/>
      <c r="N22" s="13"/>
    </row>
    <row r="23" spans="1:24" s="1" customFormat="1" ht="13.05" customHeight="1" x14ac:dyDescent="0.25">
      <c r="A23" s="21" t="s">
        <v>28</v>
      </c>
      <c r="I23" s="2"/>
      <c r="J23" s="2"/>
    </row>
    <row r="24" spans="1:24" ht="9.3000000000000007" customHeight="1" x14ac:dyDescent="0.15"/>
  </sheetData>
  <mergeCells count="17">
    <mergeCell ref="A4:A7"/>
    <mergeCell ref="I6:I7"/>
    <mergeCell ref="J6:J7"/>
    <mergeCell ref="L6:L7"/>
    <mergeCell ref="O6:O7"/>
    <mergeCell ref="R6:R7"/>
    <mergeCell ref="F6:F7"/>
    <mergeCell ref="U6:U7"/>
    <mergeCell ref="B4:C4"/>
    <mergeCell ref="E4:U4"/>
    <mergeCell ref="C5:C6"/>
    <mergeCell ref="E5:F5"/>
    <mergeCell ref="H5:I5"/>
    <mergeCell ref="K5:L5"/>
    <mergeCell ref="N5:O5"/>
    <mergeCell ref="Q5:R5"/>
    <mergeCell ref="T5:U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7"/>
  <sheetViews>
    <sheetView showGridLines="0" workbookViewId="0"/>
  </sheetViews>
  <sheetFormatPr baseColWidth="10" defaultColWidth="9.75" defaultRowHeight="9.6" x14ac:dyDescent="0.15"/>
  <cols>
    <col min="1" max="1" width="14.75" style="45" customWidth="1"/>
    <col min="2" max="2" width="6" style="45" customWidth="1"/>
    <col min="3" max="3" width="6.75" style="46" customWidth="1"/>
    <col min="4" max="4" width="0.9140625" style="46" customWidth="1"/>
    <col min="5" max="5" width="6" style="46" customWidth="1"/>
    <col min="6" max="6" width="6.75" style="45" customWidth="1"/>
    <col min="7" max="7" width="0.9140625" style="45" customWidth="1"/>
    <col min="8" max="8" width="5.58203125" style="46" customWidth="1"/>
    <col min="9" max="9" width="6.75" style="47" customWidth="1"/>
    <col min="10" max="10" width="0.9140625" style="47" customWidth="1"/>
    <col min="11" max="11" width="6.08203125" style="45" customWidth="1"/>
    <col min="12" max="12" width="6.75" style="46" customWidth="1"/>
    <col min="13" max="13" width="0.9140625" style="46" customWidth="1"/>
    <col min="14" max="14" width="5.9140625" style="46" customWidth="1"/>
    <col min="15" max="15" width="6.75" style="45" customWidth="1"/>
    <col min="16" max="16" width="0.9140625" style="45" customWidth="1"/>
    <col min="17" max="17" width="6.08203125" style="45" customWidth="1"/>
    <col min="18" max="18" width="6.75" style="45" customWidth="1"/>
    <col min="19" max="16384" width="9.75" style="45"/>
  </cols>
  <sheetData>
    <row r="1" spans="1:70" s="32" customFormat="1" ht="15" customHeight="1" x14ac:dyDescent="0.25">
      <c r="A1" s="31" t="s">
        <v>41</v>
      </c>
      <c r="C1" s="33"/>
      <c r="D1" s="33"/>
      <c r="E1" s="33"/>
      <c r="H1" s="33"/>
      <c r="I1" s="34"/>
      <c r="J1" s="34"/>
      <c r="L1" s="33"/>
      <c r="M1" s="33"/>
      <c r="N1" s="33"/>
    </row>
    <row r="2" spans="1:70" s="32" customFormat="1" ht="15" customHeight="1" x14ac:dyDescent="0.25">
      <c r="A2" s="35" t="s">
        <v>42</v>
      </c>
      <c r="C2" s="33"/>
      <c r="D2" s="33"/>
      <c r="E2" s="33"/>
      <c r="H2" s="33"/>
      <c r="I2" s="34"/>
      <c r="J2" s="34"/>
      <c r="L2" s="33"/>
      <c r="M2" s="33"/>
      <c r="N2" s="33"/>
    </row>
    <row r="3" spans="1:70" s="32" customFormat="1" ht="9.3000000000000007" customHeight="1" x14ac:dyDescent="0.25">
      <c r="C3" s="33"/>
      <c r="D3" s="33"/>
      <c r="E3" s="33"/>
      <c r="H3" s="33"/>
      <c r="I3" s="34"/>
      <c r="J3" s="34"/>
      <c r="L3" s="33"/>
      <c r="M3" s="33"/>
      <c r="N3" s="33"/>
    </row>
    <row r="4" spans="1:70" s="32" customFormat="1" ht="13.05" customHeight="1" x14ac:dyDescent="0.25">
      <c r="A4" s="36" t="s">
        <v>10</v>
      </c>
      <c r="B4" s="148" t="s">
        <v>11</v>
      </c>
      <c r="C4" s="148"/>
      <c r="D4" s="36"/>
      <c r="E4" s="148" t="s">
        <v>13</v>
      </c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</row>
    <row r="5" spans="1:70" s="32" customFormat="1" ht="13.05" customHeight="1" x14ac:dyDescent="0.25">
      <c r="A5" s="37"/>
      <c r="B5" s="38" t="s">
        <v>15</v>
      </c>
      <c r="C5" s="146" t="s">
        <v>17</v>
      </c>
      <c r="D5" s="34"/>
      <c r="E5" s="149" t="s">
        <v>3</v>
      </c>
      <c r="F5" s="149"/>
      <c r="G5" s="34"/>
      <c r="H5" s="149" t="s">
        <v>4</v>
      </c>
      <c r="I5" s="149"/>
      <c r="J5" s="34"/>
      <c r="K5" s="149" t="s">
        <v>5</v>
      </c>
      <c r="L5" s="149"/>
      <c r="M5" s="34"/>
      <c r="N5" s="149" t="s">
        <v>6</v>
      </c>
      <c r="O5" s="149"/>
      <c r="P5" s="34"/>
      <c r="Q5" s="149" t="s">
        <v>7</v>
      </c>
      <c r="R5" s="149"/>
    </row>
    <row r="6" spans="1:70" s="32" customFormat="1" ht="13.05" customHeight="1" x14ac:dyDescent="0.25">
      <c r="A6" s="37"/>
      <c r="B6" s="38" t="s">
        <v>16</v>
      </c>
      <c r="C6" s="147"/>
      <c r="D6" s="39"/>
      <c r="E6" s="38" t="s">
        <v>15</v>
      </c>
      <c r="F6" s="146" t="s">
        <v>17</v>
      </c>
      <c r="G6" s="39"/>
      <c r="H6" s="38" t="s">
        <v>15</v>
      </c>
      <c r="I6" s="146" t="s">
        <v>17</v>
      </c>
      <c r="J6" s="144"/>
      <c r="K6" s="38" t="s">
        <v>15</v>
      </c>
      <c r="L6" s="146" t="s">
        <v>17</v>
      </c>
      <c r="M6" s="39"/>
      <c r="N6" s="38" t="s">
        <v>15</v>
      </c>
      <c r="O6" s="146" t="s">
        <v>17</v>
      </c>
      <c r="P6" s="39"/>
      <c r="Q6" s="38" t="s">
        <v>15</v>
      </c>
      <c r="R6" s="146" t="s">
        <v>17</v>
      </c>
    </row>
    <row r="7" spans="1:70" s="32" customFormat="1" ht="13.05" customHeight="1" x14ac:dyDescent="0.25">
      <c r="A7" s="37"/>
      <c r="D7" s="38"/>
      <c r="E7" s="38" t="s">
        <v>16</v>
      </c>
      <c r="F7" s="147"/>
      <c r="G7" s="38"/>
      <c r="H7" s="38" t="s">
        <v>16</v>
      </c>
      <c r="I7" s="147"/>
      <c r="J7" s="145"/>
      <c r="K7" s="38" t="s">
        <v>16</v>
      </c>
      <c r="L7" s="147"/>
      <c r="M7" s="38"/>
      <c r="N7" s="38" t="s">
        <v>16</v>
      </c>
      <c r="O7" s="147"/>
      <c r="P7" s="38"/>
      <c r="Q7" s="38" t="s">
        <v>16</v>
      </c>
      <c r="R7" s="147"/>
    </row>
    <row r="8" spans="1:70" s="32" customFormat="1" ht="9.3000000000000007" customHeight="1" x14ac:dyDescent="0.25">
      <c r="A8" s="37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</row>
    <row r="9" spans="1:70" s="40" customFormat="1" ht="9.3000000000000007" customHeight="1" x14ac:dyDescent="0.25">
      <c r="A9" s="36"/>
      <c r="B9" s="8"/>
      <c r="C9" s="8"/>
      <c r="D9" s="4"/>
      <c r="E9" s="4"/>
      <c r="F9" s="4"/>
      <c r="G9" s="4"/>
      <c r="H9" s="4"/>
      <c r="I9" s="4"/>
      <c r="J9" s="4"/>
      <c r="K9" s="4"/>
      <c r="L9" s="4"/>
      <c r="M9" s="9"/>
      <c r="N9" s="3"/>
      <c r="O9" s="3"/>
      <c r="P9" s="3"/>
      <c r="Q9" s="3"/>
      <c r="R9" s="3"/>
      <c r="S9" s="1"/>
      <c r="T9" s="20"/>
      <c r="U9" s="20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 s="40" customFormat="1" ht="13.05" customHeight="1" x14ac:dyDescent="0.25">
      <c r="A10" s="36" t="s">
        <v>12</v>
      </c>
      <c r="B10" s="8">
        <v>1470</v>
      </c>
      <c r="C10" s="8">
        <v>622843.30000000005</v>
      </c>
      <c r="D10" s="10"/>
      <c r="E10" s="8">
        <v>822</v>
      </c>
      <c r="F10" s="8">
        <v>226056.44</v>
      </c>
      <c r="G10" s="8"/>
      <c r="H10" s="8">
        <v>302</v>
      </c>
      <c r="I10" s="8">
        <v>152559.55000000002</v>
      </c>
      <c r="J10" s="8"/>
      <c r="K10" s="8">
        <v>38</v>
      </c>
      <c r="L10" s="8">
        <v>44843</v>
      </c>
      <c r="M10" s="8"/>
      <c r="N10" s="8">
        <v>307</v>
      </c>
      <c r="O10" s="8">
        <v>199352.31</v>
      </c>
      <c r="P10" s="8"/>
      <c r="Q10" s="8">
        <v>1</v>
      </c>
      <c r="R10" s="8">
        <v>32</v>
      </c>
      <c r="S10" s="1"/>
      <c r="T10" s="20"/>
      <c r="U10" s="20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s="40" customFormat="1" ht="9.3000000000000007" customHeight="1" x14ac:dyDescent="0.25">
      <c r="A11" s="36"/>
      <c r="B11" s="8"/>
      <c r="C11" s="8"/>
      <c r="D11" s="4"/>
      <c r="E11" s="4"/>
      <c r="F11" s="4"/>
      <c r="G11" s="4"/>
      <c r="H11" s="4"/>
      <c r="I11" s="4"/>
      <c r="J11" s="4"/>
      <c r="K11" s="4"/>
      <c r="L11" s="4"/>
      <c r="M11" s="9"/>
      <c r="N11" s="3"/>
      <c r="O11" s="3"/>
      <c r="P11" s="3"/>
      <c r="Q11" s="3"/>
      <c r="R11" s="3"/>
      <c r="S11" s="1"/>
      <c r="T11" s="20"/>
      <c r="U11" s="20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s="40" customFormat="1" ht="13.05" customHeight="1" x14ac:dyDescent="0.25">
      <c r="A12" s="36" t="s">
        <v>0</v>
      </c>
      <c r="B12" s="8">
        <v>584</v>
      </c>
      <c r="C12" s="8">
        <v>435599.92</v>
      </c>
      <c r="D12" s="11"/>
      <c r="E12" s="4">
        <v>323</v>
      </c>
      <c r="F12" s="4">
        <v>170609.3</v>
      </c>
      <c r="G12" s="4"/>
      <c r="H12" s="4">
        <v>109</v>
      </c>
      <c r="I12" s="4">
        <v>74176.320000000007</v>
      </c>
      <c r="J12" s="4"/>
      <c r="K12" s="4">
        <v>16</v>
      </c>
      <c r="L12" s="4">
        <v>20475.3</v>
      </c>
      <c r="M12" s="4"/>
      <c r="N12" s="4">
        <v>136</v>
      </c>
      <c r="O12" s="4">
        <v>170339</v>
      </c>
      <c r="P12" s="4"/>
      <c r="Q12" s="4" t="s">
        <v>20</v>
      </c>
      <c r="R12" s="4" t="s">
        <v>20</v>
      </c>
      <c r="S12" s="1"/>
      <c r="T12" s="20"/>
      <c r="U12" s="20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s="40" customFormat="1" ht="13.05" customHeight="1" x14ac:dyDescent="0.25">
      <c r="A13" s="36" t="s">
        <v>23</v>
      </c>
      <c r="B13" s="8">
        <v>3</v>
      </c>
      <c r="C13" s="8">
        <v>1503.48</v>
      </c>
      <c r="D13" s="11"/>
      <c r="E13" s="4">
        <v>1</v>
      </c>
      <c r="F13" s="4">
        <v>31</v>
      </c>
      <c r="G13" s="4"/>
      <c r="H13" s="4">
        <v>2</v>
      </c>
      <c r="I13" s="4">
        <v>1472.48</v>
      </c>
      <c r="J13" s="4"/>
      <c r="K13" s="4" t="s">
        <v>20</v>
      </c>
      <c r="L13" s="4" t="s">
        <v>20</v>
      </c>
      <c r="M13" s="4"/>
      <c r="N13" s="4" t="s">
        <v>20</v>
      </c>
      <c r="O13" s="4" t="s">
        <v>20</v>
      </c>
      <c r="P13" s="4"/>
      <c r="Q13" s="4" t="s">
        <v>20</v>
      </c>
      <c r="R13" s="4" t="s">
        <v>20</v>
      </c>
      <c r="S13" s="1"/>
      <c r="T13" s="20"/>
      <c r="U13" s="20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s="40" customFormat="1" ht="13.05" customHeight="1" x14ac:dyDescent="0.25">
      <c r="A14" s="36" t="s">
        <v>1</v>
      </c>
      <c r="B14" s="8">
        <v>332</v>
      </c>
      <c r="C14" s="8">
        <v>75172.19</v>
      </c>
      <c r="D14" s="11"/>
      <c r="E14" s="4">
        <v>183</v>
      </c>
      <c r="F14" s="4">
        <v>24807.4</v>
      </c>
      <c r="G14" s="4"/>
      <c r="H14" s="4">
        <v>97</v>
      </c>
      <c r="I14" s="4">
        <v>33312.58</v>
      </c>
      <c r="J14" s="4"/>
      <c r="K14" s="4">
        <v>6</v>
      </c>
      <c r="L14" s="4">
        <v>10661.4</v>
      </c>
      <c r="M14" s="4"/>
      <c r="N14" s="4">
        <v>46</v>
      </c>
      <c r="O14" s="4">
        <v>6390.81</v>
      </c>
      <c r="P14" s="4"/>
      <c r="Q14" s="4" t="s">
        <v>20</v>
      </c>
      <c r="R14" s="4" t="s">
        <v>20</v>
      </c>
      <c r="S14" s="1"/>
      <c r="T14" s="20"/>
      <c r="U14" s="20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s="40" customFormat="1" ht="13.05" customHeight="1" x14ac:dyDescent="0.25">
      <c r="A15" s="36" t="s">
        <v>2</v>
      </c>
      <c r="B15" s="8">
        <v>491</v>
      </c>
      <c r="C15" s="8">
        <v>94834.93</v>
      </c>
      <c r="D15" s="11"/>
      <c r="E15" s="4">
        <v>282</v>
      </c>
      <c r="F15" s="4">
        <v>23137.7</v>
      </c>
      <c r="G15" s="4"/>
      <c r="H15" s="4">
        <v>80</v>
      </c>
      <c r="I15" s="4">
        <v>38384.33</v>
      </c>
      <c r="J15" s="4"/>
      <c r="K15" s="4">
        <v>14</v>
      </c>
      <c r="L15" s="4">
        <v>13590.9</v>
      </c>
      <c r="M15" s="4"/>
      <c r="N15" s="4">
        <v>114</v>
      </c>
      <c r="O15" s="4">
        <v>19690</v>
      </c>
      <c r="P15" s="4"/>
      <c r="Q15" s="4">
        <v>1</v>
      </c>
      <c r="R15" s="4">
        <v>32</v>
      </c>
      <c r="S15" s="1"/>
      <c r="T15" s="20"/>
      <c r="U15" s="20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s="40" customFormat="1" ht="13.05" customHeight="1" x14ac:dyDescent="0.25">
      <c r="A16" s="36" t="s">
        <v>9</v>
      </c>
      <c r="B16" s="8"/>
      <c r="C16" s="8"/>
      <c r="D16" s="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1"/>
      <c r="T16" s="20"/>
      <c r="U16" s="20"/>
    </row>
    <row r="17" spans="1:21" s="40" customFormat="1" ht="13.05" customHeight="1" x14ac:dyDescent="0.25">
      <c r="A17" s="36" t="s">
        <v>18</v>
      </c>
      <c r="B17" s="8">
        <v>39</v>
      </c>
      <c r="C17" s="8">
        <v>14672.25</v>
      </c>
      <c r="D17" s="11"/>
      <c r="E17" s="4">
        <v>21</v>
      </c>
      <c r="F17" s="4">
        <v>7109.75</v>
      </c>
      <c r="G17" s="4"/>
      <c r="H17" s="4">
        <v>9</v>
      </c>
      <c r="I17" s="4">
        <v>4865</v>
      </c>
      <c r="J17" s="4"/>
      <c r="K17" s="4" t="s">
        <v>20</v>
      </c>
      <c r="L17" s="4" t="s">
        <v>20</v>
      </c>
      <c r="M17" s="4"/>
      <c r="N17" s="4">
        <v>9</v>
      </c>
      <c r="O17" s="4">
        <v>2697.5</v>
      </c>
      <c r="P17" s="4"/>
      <c r="Q17" s="4" t="s">
        <v>20</v>
      </c>
      <c r="R17" s="4" t="s">
        <v>20</v>
      </c>
      <c r="S17" s="1"/>
      <c r="T17" s="20"/>
      <c r="U17" s="20"/>
    </row>
    <row r="18" spans="1:21" s="40" customFormat="1" ht="13.05" customHeight="1" x14ac:dyDescent="0.25">
      <c r="A18" s="36" t="s">
        <v>43</v>
      </c>
      <c r="B18" s="8" t="s">
        <v>20</v>
      </c>
      <c r="C18" s="8" t="s">
        <v>20</v>
      </c>
      <c r="D18" s="28"/>
      <c r="E18" s="4" t="s">
        <v>20</v>
      </c>
      <c r="F18" s="4" t="s">
        <v>20</v>
      </c>
      <c r="G18" s="4"/>
      <c r="H18" s="4" t="s">
        <v>20</v>
      </c>
      <c r="I18" s="4" t="s">
        <v>20</v>
      </c>
      <c r="J18" s="4"/>
      <c r="K18" s="4" t="s">
        <v>20</v>
      </c>
      <c r="L18" s="4" t="s">
        <v>20</v>
      </c>
      <c r="M18" s="4"/>
      <c r="N18" s="4" t="s">
        <v>20</v>
      </c>
      <c r="O18" s="4" t="s">
        <v>20</v>
      </c>
      <c r="P18" s="4"/>
      <c r="Q18" s="4" t="s">
        <v>20</v>
      </c>
      <c r="R18" s="4" t="s">
        <v>20</v>
      </c>
      <c r="S18" s="1"/>
      <c r="T18" s="20"/>
      <c r="U18" s="20"/>
    </row>
    <row r="19" spans="1:21" s="40" customFormat="1" ht="13.05" customHeight="1" x14ac:dyDescent="0.25">
      <c r="A19" s="36" t="s">
        <v>8</v>
      </c>
      <c r="B19" s="8">
        <v>21</v>
      </c>
      <c r="C19" s="8">
        <v>1060.53</v>
      </c>
      <c r="D19" s="3"/>
      <c r="E19" s="4">
        <v>12</v>
      </c>
      <c r="F19" s="4">
        <v>361.29</v>
      </c>
      <c r="G19" s="4"/>
      <c r="H19" s="4">
        <v>5</v>
      </c>
      <c r="I19" s="4">
        <v>348.84</v>
      </c>
      <c r="J19" s="4"/>
      <c r="K19" s="4">
        <v>2</v>
      </c>
      <c r="L19" s="4">
        <v>115.4</v>
      </c>
      <c r="M19" s="4"/>
      <c r="N19" s="4">
        <v>2</v>
      </c>
      <c r="O19" s="4">
        <v>235</v>
      </c>
      <c r="P19" s="4"/>
      <c r="Q19" s="4" t="s">
        <v>20</v>
      </c>
      <c r="R19" s="4" t="s">
        <v>20</v>
      </c>
      <c r="S19" s="1"/>
      <c r="T19" s="20"/>
      <c r="U19" s="20"/>
    </row>
    <row r="20" spans="1:21" s="40" customFormat="1" ht="9.3000000000000007" customHeight="1" x14ac:dyDescent="0.25">
      <c r="A20" s="37"/>
      <c r="B20" s="3"/>
      <c r="C20" s="3"/>
      <c r="D20" s="3"/>
      <c r="E20" s="3"/>
      <c r="F20" s="3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"/>
    </row>
    <row r="21" spans="1:21" s="32" customFormat="1" ht="9.3000000000000007" customHeight="1" x14ac:dyDescent="0.25">
      <c r="A21" s="37"/>
      <c r="B21" s="37"/>
      <c r="C21" s="37"/>
      <c r="D21" s="37"/>
      <c r="E21" s="37"/>
      <c r="F21" s="37"/>
      <c r="G21" s="37"/>
      <c r="H21" s="37"/>
      <c r="I21" s="41"/>
      <c r="J21" s="41"/>
      <c r="K21" s="37"/>
      <c r="L21" s="37"/>
      <c r="M21" s="37"/>
      <c r="N21" s="37"/>
      <c r="O21" s="37"/>
      <c r="P21" s="37"/>
      <c r="Q21" s="37"/>
      <c r="R21" s="37"/>
    </row>
    <row r="22" spans="1:21" s="32" customFormat="1" ht="13.05" customHeight="1" x14ac:dyDescent="0.25">
      <c r="A22" s="35" t="s">
        <v>14</v>
      </c>
      <c r="C22" s="33"/>
      <c r="D22" s="33"/>
      <c r="E22" s="33"/>
      <c r="H22" s="33"/>
      <c r="I22" s="34"/>
      <c r="J22" s="34"/>
      <c r="L22" s="33"/>
      <c r="M22" s="33"/>
      <c r="N22" s="33"/>
    </row>
    <row r="23" spans="1:21" s="32" customFormat="1" ht="13.05" customHeight="1" x14ac:dyDescent="0.25">
      <c r="A23" s="35" t="s">
        <v>29</v>
      </c>
      <c r="C23" s="33"/>
      <c r="D23" s="33"/>
      <c r="E23" s="33"/>
      <c r="H23" s="33"/>
      <c r="I23" s="34"/>
      <c r="J23" s="34"/>
      <c r="L23" s="33"/>
      <c r="M23" s="33"/>
      <c r="N23" s="33"/>
    </row>
    <row r="24" spans="1:21" s="32" customFormat="1" ht="13.05" customHeight="1" x14ac:dyDescent="0.25">
      <c r="A24" s="35" t="s">
        <v>25</v>
      </c>
      <c r="C24" s="33"/>
      <c r="D24" s="33"/>
      <c r="E24" s="33"/>
      <c r="H24" s="33"/>
      <c r="I24" s="34"/>
      <c r="J24" s="34"/>
      <c r="L24" s="33"/>
      <c r="M24" s="33"/>
      <c r="N24" s="33"/>
    </row>
    <row r="25" spans="1:21" s="32" customFormat="1" ht="9.3000000000000007" customHeight="1" x14ac:dyDescent="0.25">
      <c r="A25" s="35" t="s">
        <v>44</v>
      </c>
      <c r="C25" s="33"/>
      <c r="D25" s="33"/>
      <c r="E25" s="33"/>
      <c r="H25" s="33"/>
      <c r="I25" s="34"/>
      <c r="J25" s="34"/>
      <c r="L25" s="33"/>
      <c r="M25" s="33"/>
      <c r="N25" s="33"/>
    </row>
    <row r="26" spans="1:21" s="1" customFormat="1" ht="13.05" customHeight="1" x14ac:dyDescent="0.25">
      <c r="I26" s="2"/>
      <c r="J26" s="2"/>
    </row>
    <row r="27" spans="1:21" s="42" customFormat="1" x14ac:dyDescent="0.15">
      <c r="C27" s="43"/>
      <c r="D27" s="43"/>
      <c r="E27" s="43"/>
      <c r="H27" s="43"/>
      <c r="I27" s="44"/>
      <c r="J27" s="44"/>
      <c r="L27" s="43"/>
      <c r="M27" s="43"/>
      <c r="N27" s="43"/>
    </row>
    <row r="28" spans="1:21" s="42" customFormat="1" x14ac:dyDescent="0.15">
      <c r="C28" s="43"/>
      <c r="D28" s="43"/>
      <c r="E28" s="43"/>
      <c r="H28" s="43"/>
      <c r="I28" s="44"/>
      <c r="J28" s="44"/>
      <c r="L28" s="43"/>
      <c r="M28" s="43"/>
      <c r="N28" s="43"/>
    </row>
    <row r="29" spans="1:21" s="42" customFormat="1" x14ac:dyDescent="0.15">
      <c r="C29" s="43"/>
      <c r="D29" s="43"/>
      <c r="E29" s="43"/>
      <c r="H29" s="43"/>
      <c r="I29" s="44"/>
      <c r="J29" s="44"/>
      <c r="L29" s="43"/>
      <c r="M29" s="43"/>
      <c r="N29" s="43"/>
    </row>
    <row r="30" spans="1:21" s="42" customFormat="1" x14ac:dyDescent="0.15">
      <c r="C30" s="43"/>
      <c r="D30" s="43"/>
      <c r="E30" s="43"/>
      <c r="H30" s="43"/>
      <c r="I30" s="44"/>
      <c r="J30" s="44"/>
      <c r="L30" s="43"/>
      <c r="M30" s="43"/>
      <c r="N30" s="43"/>
    </row>
    <row r="31" spans="1:21" s="42" customFormat="1" x14ac:dyDescent="0.15">
      <c r="C31" s="43"/>
      <c r="D31" s="43"/>
      <c r="E31" s="43"/>
      <c r="H31" s="43"/>
      <c r="I31" s="44"/>
      <c r="J31" s="44"/>
      <c r="L31" s="43"/>
      <c r="M31" s="43"/>
      <c r="N31" s="43"/>
    </row>
    <row r="32" spans="1:21" s="42" customFormat="1" x14ac:dyDescent="0.15">
      <c r="C32" s="43"/>
      <c r="D32" s="43"/>
      <c r="E32" s="43"/>
      <c r="H32" s="43"/>
      <c r="I32" s="44"/>
      <c r="J32" s="44"/>
      <c r="L32" s="43"/>
      <c r="M32" s="43"/>
      <c r="N32" s="43"/>
    </row>
    <row r="33" spans="3:14" s="42" customFormat="1" x14ac:dyDescent="0.15">
      <c r="C33" s="43"/>
      <c r="D33" s="43"/>
      <c r="E33" s="43"/>
      <c r="H33" s="43"/>
      <c r="I33" s="44"/>
      <c r="J33" s="44"/>
      <c r="L33" s="43"/>
      <c r="M33" s="43"/>
      <c r="N33" s="43"/>
    </row>
    <row r="34" spans="3:14" s="42" customFormat="1" x14ac:dyDescent="0.15">
      <c r="C34" s="43"/>
      <c r="D34" s="43"/>
      <c r="E34" s="43"/>
      <c r="H34" s="43"/>
      <c r="I34" s="44"/>
      <c r="J34" s="44"/>
      <c r="L34" s="43"/>
      <c r="M34" s="43"/>
      <c r="N34" s="43"/>
    </row>
    <row r="35" spans="3:14" s="42" customFormat="1" x14ac:dyDescent="0.15">
      <c r="C35" s="43"/>
      <c r="D35" s="43"/>
      <c r="E35" s="43"/>
      <c r="H35" s="43"/>
      <c r="I35" s="44"/>
      <c r="J35" s="44"/>
      <c r="L35" s="43"/>
      <c r="M35" s="43"/>
      <c r="N35" s="43"/>
    </row>
    <row r="36" spans="3:14" s="42" customFormat="1" x14ac:dyDescent="0.15">
      <c r="C36" s="43"/>
      <c r="D36" s="43"/>
      <c r="E36" s="43"/>
      <c r="H36" s="43"/>
      <c r="I36" s="44"/>
      <c r="J36" s="44"/>
      <c r="L36" s="43"/>
      <c r="M36" s="43"/>
      <c r="N36" s="43"/>
    </row>
    <row r="37" spans="3:14" s="42" customFormat="1" x14ac:dyDescent="0.15">
      <c r="C37" s="43"/>
      <c r="D37" s="43"/>
      <c r="E37" s="43"/>
      <c r="H37" s="43"/>
      <c r="I37" s="44"/>
      <c r="J37" s="44"/>
      <c r="L37" s="43"/>
      <c r="M37" s="43"/>
      <c r="N37" s="43"/>
    </row>
  </sheetData>
  <mergeCells count="14">
    <mergeCell ref="J6:J7"/>
    <mergeCell ref="L6:L7"/>
    <mergeCell ref="O6:O7"/>
    <mergeCell ref="R6:R7"/>
    <mergeCell ref="B4:C4"/>
    <mergeCell ref="E4:R4"/>
    <mergeCell ref="C5:C6"/>
    <mergeCell ref="E5:F5"/>
    <mergeCell ref="H5:I5"/>
    <mergeCell ref="K5:L5"/>
    <mergeCell ref="N5:O5"/>
    <mergeCell ref="Q5:R5"/>
    <mergeCell ref="F6:F7"/>
    <mergeCell ref="I6:I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5"/>
  <sheetViews>
    <sheetView showGridLines="0" workbookViewId="0"/>
  </sheetViews>
  <sheetFormatPr baseColWidth="10" defaultColWidth="9.75" defaultRowHeight="9.6" x14ac:dyDescent="0.15"/>
  <cols>
    <col min="1" max="1" width="14.75" style="45" customWidth="1"/>
    <col min="2" max="2" width="6" style="45" customWidth="1"/>
    <col min="3" max="3" width="6.58203125" style="46" customWidth="1"/>
    <col min="4" max="4" width="0.9140625" style="46" customWidth="1"/>
    <col min="5" max="5" width="6" style="46" customWidth="1"/>
    <col min="6" max="6" width="6.75" style="45" customWidth="1"/>
    <col min="7" max="7" width="0.9140625" style="45" customWidth="1"/>
    <col min="8" max="8" width="5.58203125" style="46" customWidth="1"/>
    <col min="9" max="9" width="6.75" style="47" customWidth="1"/>
    <col min="10" max="10" width="0.9140625" style="47" customWidth="1"/>
    <col min="11" max="11" width="6.08203125" style="45" customWidth="1"/>
    <col min="12" max="12" width="6.33203125" style="46" customWidth="1"/>
    <col min="13" max="13" width="0.9140625" style="46" customWidth="1"/>
    <col min="14" max="14" width="5.9140625" style="46" customWidth="1"/>
    <col min="15" max="15" width="6.08203125" style="45" customWidth="1"/>
    <col min="16" max="16" width="0.9140625" style="45" customWidth="1"/>
    <col min="17" max="17" width="6.08203125" style="45" customWidth="1"/>
    <col min="18" max="18" width="5.58203125" style="45" customWidth="1"/>
    <col min="19" max="16384" width="9.75" style="45"/>
  </cols>
  <sheetData>
    <row r="1" spans="1:70" s="32" customFormat="1" ht="15" customHeight="1" x14ac:dyDescent="0.25">
      <c r="A1" s="31" t="s">
        <v>41</v>
      </c>
      <c r="C1" s="33"/>
      <c r="D1" s="33"/>
      <c r="E1" s="33"/>
      <c r="H1" s="33"/>
      <c r="I1" s="34"/>
      <c r="J1" s="34"/>
      <c r="L1" s="33"/>
      <c r="M1" s="33"/>
      <c r="N1" s="33"/>
    </row>
    <row r="2" spans="1:70" s="32" customFormat="1" ht="15" customHeight="1" x14ac:dyDescent="0.25">
      <c r="A2" s="35" t="s">
        <v>52</v>
      </c>
      <c r="C2" s="33"/>
      <c r="D2" s="33"/>
      <c r="E2" s="33"/>
      <c r="H2" s="33"/>
      <c r="I2" s="34"/>
      <c r="J2" s="34"/>
      <c r="L2" s="33"/>
      <c r="M2" s="33"/>
      <c r="N2" s="33"/>
    </row>
    <row r="3" spans="1:70" s="32" customFormat="1" ht="9.3000000000000007" customHeight="1" x14ac:dyDescent="0.25">
      <c r="C3" s="33"/>
      <c r="D3" s="33"/>
      <c r="E3" s="33"/>
      <c r="H3" s="33"/>
      <c r="I3" s="34"/>
      <c r="J3" s="34"/>
      <c r="L3" s="33"/>
      <c r="M3" s="33"/>
      <c r="N3" s="33"/>
    </row>
    <row r="4" spans="1:70" s="32" customFormat="1" ht="13.05" customHeight="1" x14ac:dyDescent="0.25">
      <c r="A4" s="36" t="s">
        <v>10</v>
      </c>
      <c r="B4" s="148" t="s">
        <v>11</v>
      </c>
      <c r="C4" s="148"/>
      <c r="D4" s="36"/>
      <c r="E4" s="148" t="s">
        <v>13</v>
      </c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</row>
    <row r="5" spans="1:70" s="32" customFormat="1" ht="13.05" customHeight="1" x14ac:dyDescent="0.25">
      <c r="A5" s="37"/>
      <c r="B5" s="38" t="s">
        <v>15</v>
      </c>
      <c r="C5" s="39" t="s">
        <v>46</v>
      </c>
      <c r="D5" s="34"/>
      <c r="E5" s="149" t="s">
        <v>3</v>
      </c>
      <c r="F5" s="149"/>
      <c r="G5" s="34"/>
      <c r="H5" s="149" t="s">
        <v>4</v>
      </c>
      <c r="I5" s="149"/>
      <c r="J5" s="34"/>
      <c r="K5" s="149" t="s">
        <v>5</v>
      </c>
      <c r="L5" s="149"/>
      <c r="M5" s="34"/>
      <c r="N5" s="149" t="s">
        <v>6</v>
      </c>
      <c r="O5" s="149"/>
      <c r="P5" s="34"/>
      <c r="Q5" s="149" t="s">
        <v>7</v>
      </c>
      <c r="R5" s="149"/>
    </row>
    <row r="6" spans="1:70" s="32" customFormat="1" ht="13.05" customHeight="1" x14ac:dyDescent="0.25">
      <c r="A6" s="37"/>
      <c r="B6" s="38" t="s">
        <v>16</v>
      </c>
      <c r="C6" s="38" t="s">
        <v>48</v>
      </c>
      <c r="D6" s="39"/>
      <c r="E6" s="38" t="s">
        <v>15</v>
      </c>
      <c r="F6" s="39" t="s">
        <v>46</v>
      </c>
      <c r="G6" s="39"/>
      <c r="H6" s="38" t="s">
        <v>15</v>
      </c>
      <c r="I6" s="39" t="s">
        <v>46</v>
      </c>
      <c r="J6" s="39"/>
      <c r="K6" s="38" t="s">
        <v>15</v>
      </c>
      <c r="L6" s="39" t="s">
        <v>46</v>
      </c>
      <c r="M6" s="39"/>
      <c r="N6" s="38" t="s">
        <v>15</v>
      </c>
      <c r="O6" s="39" t="s">
        <v>46</v>
      </c>
      <c r="P6" s="39"/>
      <c r="Q6" s="38" t="s">
        <v>15</v>
      </c>
      <c r="R6" s="39" t="s">
        <v>46</v>
      </c>
    </row>
    <row r="7" spans="1:70" s="32" customFormat="1" ht="13.05" customHeight="1" x14ac:dyDescent="0.25">
      <c r="A7" s="37"/>
      <c r="D7" s="38"/>
      <c r="E7" s="38" t="s">
        <v>16</v>
      </c>
      <c r="F7" s="38" t="s">
        <v>48</v>
      </c>
      <c r="G7" s="38"/>
      <c r="H7" s="38" t="s">
        <v>16</v>
      </c>
      <c r="I7" s="38" t="s">
        <v>48</v>
      </c>
      <c r="J7" s="38"/>
      <c r="K7" s="38" t="s">
        <v>16</v>
      </c>
      <c r="L7" s="38" t="s">
        <v>48</v>
      </c>
      <c r="M7" s="38"/>
      <c r="N7" s="38" t="s">
        <v>16</v>
      </c>
      <c r="O7" s="38" t="s">
        <v>48</v>
      </c>
      <c r="P7" s="38"/>
      <c r="Q7" s="38" t="s">
        <v>16</v>
      </c>
      <c r="R7" s="38" t="s">
        <v>48</v>
      </c>
    </row>
    <row r="8" spans="1:70" s="32" customFormat="1" ht="9.3000000000000007" customHeight="1" x14ac:dyDescent="0.25">
      <c r="A8" s="37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</row>
    <row r="9" spans="1:70" s="40" customFormat="1" ht="9.3000000000000007" customHeight="1" x14ac:dyDescent="0.25">
      <c r="A9" s="36"/>
      <c r="B9" s="8"/>
      <c r="C9" s="59"/>
      <c r="D9" s="54"/>
      <c r="E9" s="54"/>
      <c r="F9" s="54"/>
      <c r="G9" s="54"/>
      <c r="H9" s="54"/>
      <c r="I9" s="54"/>
      <c r="J9" s="54"/>
      <c r="K9" s="54"/>
      <c r="L9" s="54"/>
      <c r="M9" s="55"/>
      <c r="N9" s="3"/>
      <c r="O9" s="3"/>
      <c r="P9" s="3"/>
      <c r="Q9" s="3"/>
      <c r="R9" s="3"/>
      <c r="S9" s="1"/>
      <c r="T9" s="20"/>
      <c r="U9" s="20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 s="40" customFormat="1" ht="13.05" customHeight="1" x14ac:dyDescent="0.25">
      <c r="A10" s="36" t="s">
        <v>12</v>
      </c>
      <c r="B10" s="8">
        <v>1762</v>
      </c>
      <c r="C10" s="8">
        <v>794791</v>
      </c>
      <c r="D10" s="60"/>
      <c r="E10" s="8">
        <v>902</v>
      </c>
      <c r="F10" s="8">
        <v>238406</v>
      </c>
      <c r="G10" s="8"/>
      <c r="H10" s="8">
        <v>394</v>
      </c>
      <c r="I10" s="8">
        <v>166600</v>
      </c>
      <c r="J10" s="8"/>
      <c r="K10" s="8">
        <v>85</v>
      </c>
      <c r="L10" s="8">
        <v>75923</v>
      </c>
      <c r="M10" s="8"/>
      <c r="N10" s="8">
        <v>378</v>
      </c>
      <c r="O10" s="8">
        <v>313792</v>
      </c>
      <c r="P10" s="8"/>
      <c r="Q10" s="8">
        <v>3</v>
      </c>
      <c r="R10" s="8">
        <v>70</v>
      </c>
      <c r="S10" s="1"/>
      <c r="T10" s="20"/>
      <c r="U10" s="20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s="40" customFormat="1" ht="9.3000000000000007" customHeight="1" x14ac:dyDescent="0.25">
      <c r="A11" s="36"/>
      <c r="B11" s="8"/>
      <c r="C11" s="59"/>
      <c r="D11" s="54"/>
      <c r="E11" s="54"/>
      <c r="F11" s="54"/>
      <c r="G11" s="54"/>
      <c r="H11" s="54"/>
      <c r="I11" s="54"/>
      <c r="J11" s="54"/>
      <c r="K11" s="54"/>
      <c r="L11" s="54"/>
      <c r="M11" s="55"/>
      <c r="N11" s="3"/>
      <c r="O11" s="3"/>
      <c r="P11" s="3"/>
      <c r="Q11" s="3"/>
      <c r="R11" s="3"/>
      <c r="S11" s="1"/>
      <c r="T11" s="20"/>
      <c r="U11" s="20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s="40" customFormat="1" ht="13.05" customHeight="1" x14ac:dyDescent="0.25">
      <c r="A12" s="36" t="s">
        <v>0</v>
      </c>
      <c r="B12" s="8">
        <v>684</v>
      </c>
      <c r="C12" s="8">
        <v>602958</v>
      </c>
      <c r="D12" s="53"/>
      <c r="E12" s="4">
        <v>322</v>
      </c>
      <c r="F12" s="4">
        <v>168627</v>
      </c>
      <c r="G12" s="4"/>
      <c r="H12" s="4">
        <v>141</v>
      </c>
      <c r="I12" s="4">
        <v>104521</v>
      </c>
      <c r="J12" s="4"/>
      <c r="K12" s="4">
        <v>31</v>
      </c>
      <c r="L12" s="4">
        <v>51267</v>
      </c>
      <c r="M12" s="4"/>
      <c r="N12" s="4">
        <v>189</v>
      </c>
      <c r="O12" s="4">
        <v>278525</v>
      </c>
      <c r="P12" s="4"/>
      <c r="Q12" s="4">
        <v>1</v>
      </c>
      <c r="R12" s="4">
        <v>18</v>
      </c>
      <c r="S12" s="1"/>
      <c r="T12" s="20"/>
      <c r="U12" s="20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s="40" customFormat="1" ht="13.05" customHeight="1" x14ac:dyDescent="0.25">
      <c r="A13" s="36" t="s">
        <v>23</v>
      </c>
      <c r="B13" s="8">
        <v>4</v>
      </c>
      <c r="C13" s="8">
        <v>635</v>
      </c>
      <c r="D13" s="53"/>
      <c r="E13" s="4" t="s">
        <v>20</v>
      </c>
      <c r="F13" s="4" t="s">
        <v>20</v>
      </c>
      <c r="G13" s="4"/>
      <c r="H13" s="4">
        <v>3</v>
      </c>
      <c r="I13" s="4">
        <v>559</v>
      </c>
      <c r="J13" s="4"/>
      <c r="K13" s="4" t="s">
        <v>20</v>
      </c>
      <c r="L13" s="4" t="s">
        <v>20</v>
      </c>
      <c r="M13" s="4"/>
      <c r="N13" s="4">
        <v>1</v>
      </c>
      <c r="O13" s="4">
        <v>76</v>
      </c>
      <c r="P13" s="4"/>
      <c r="Q13" s="4" t="s">
        <v>20</v>
      </c>
      <c r="R13" s="4" t="s">
        <v>20</v>
      </c>
      <c r="S13" s="1"/>
      <c r="T13" s="20"/>
      <c r="U13" s="20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s="40" customFormat="1" ht="13.05" customHeight="1" x14ac:dyDescent="0.25">
      <c r="A14" s="36" t="s">
        <v>1</v>
      </c>
      <c r="B14" s="8">
        <v>397</v>
      </c>
      <c r="C14" s="8">
        <v>79914</v>
      </c>
      <c r="D14" s="53"/>
      <c r="E14" s="4">
        <v>202</v>
      </c>
      <c r="F14" s="4">
        <v>30925</v>
      </c>
      <c r="G14" s="4"/>
      <c r="H14" s="4">
        <v>124</v>
      </c>
      <c r="I14" s="4">
        <v>31901</v>
      </c>
      <c r="J14" s="4"/>
      <c r="K14" s="4">
        <v>19</v>
      </c>
      <c r="L14" s="4">
        <v>2789</v>
      </c>
      <c r="M14" s="4"/>
      <c r="N14" s="4">
        <v>51</v>
      </c>
      <c r="O14" s="4">
        <v>14290</v>
      </c>
      <c r="P14" s="4"/>
      <c r="Q14" s="4">
        <v>1</v>
      </c>
      <c r="R14" s="4">
        <v>9</v>
      </c>
      <c r="S14" s="1"/>
      <c r="T14" s="20"/>
      <c r="U14" s="20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s="40" customFormat="1" ht="13.05" customHeight="1" x14ac:dyDescent="0.25">
      <c r="A15" s="36" t="s">
        <v>2</v>
      </c>
      <c r="B15" s="8">
        <v>583</v>
      </c>
      <c r="C15" s="8">
        <v>93488</v>
      </c>
      <c r="D15" s="53"/>
      <c r="E15" s="4">
        <v>316</v>
      </c>
      <c r="F15" s="4">
        <v>26562</v>
      </c>
      <c r="G15" s="4"/>
      <c r="H15" s="4">
        <v>114</v>
      </c>
      <c r="I15" s="4">
        <v>27799</v>
      </c>
      <c r="J15" s="4"/>
      <c r="K15" s="4">
        <v>34</v>
      </c>
      <c r="L15" s="4">
        <v>21832</v>
      </c>
      <c r="M15" s="4"/>
      <c r="N15" s="4">
        <v>119</v>
      </c>
      <c r="O15" s="4">
        <v>17295</v>
      </c>
      <c r="P15" s="4"/>
      <c r="Q15" s="4" t="s">
        <v>20</v>
      </c>
      <c r="R15" s="4" t="s">
        <v>20</v>
      </c>
      <c r="S15" s="1"/>
      <c r="T15" s="20"/>
      <c r="U15" s="20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s="40" customFormat="1" ht="13.05" customHeight="1" x14ac:dyDescent="0.25">
      <c r="A16" s="36" t="s">
        <v>9</v>
      </c>
      <c r="B16" s="8"/>
      <c r="C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T16" s="20"/>
      <c r="U16" s="20"/>
    </row>
    <row r="17" spans="1:21" s="40" customFormat="1" ht="13.05" customHeight="1" x14ac:dyDescent="0.25">
      <c r="A17" s="36" t="s">
        <v>49</v>
      </c>
      <c r="B17" s="8">
        <v>49</v>
      </c>
      <c r="C17" s="8">
        <v>15247</v>
      </c>
      <c r="D17" s="53"/>
      <c r="E17" s="4">
        <v>39</v>
      </c>
      <c r="F17" s="4">
        <v>11439</v>
      </c>
      <c r="G17" s="4"/>
      <c r="H17" s="4">
        <v>1</v>
      </c>
      <c r="I17" s="4">
        <v>756</v>
      </c>
      <c r="J17" s="4"/>
      <c r="K17" s="4" t="s">
        <v>20</v>
      </c>
      <c r="L17" s="4" t="s">
        <v>20</v>
      </c>
      <c r="M17" s="4"/>
      <c r="N17" s="4">
        <v>9</v>
      </c>
      <c r="O17" s="4">
        <v>3052</v>
      </c>
      <c r="P17" s="4"/>
      <c r="Q17" s="4" t="s">
        <v>20</v>
      </c>
      <c r="R17" s="4" t="s">
        <v>20</v>
      </c>
      <c r="T17" s="20"/>
      <c r="U17" s="20"/>
    </row>
    <row r="18" spans="1:21" s="40" customFormat="1" ht="13.05" customHeight="1" x14ac:dyDescent="0.25">
      <c r="A18" s="36" t="s">
        <v>43</v>
      </c>
      <c r="B18" s="8" t="s">
        <v>20</v>
      </c>
      <c r="C18" s="8" t="s">
        <v>20</v>
      </c>
      <c r="D18" s="57"/>
      <c r="E18" s="4" t="s">
        <v>20</v>
      </c>
      <c r="F18" s="4" t="s">
        <v>20</v>
      </c>
      <c r="G18" s="4"/>
      <c r="H18" s="4" t="s">
        <v>20</v>
      </c>
      <c r="I18" s="4" t="s">
        <v>20</v>
      </c>
      <c r="J18" s="4"/>
      <c r="K18" s="4" t="s">
        <v>20</v>
      </c>
      <c r="L18" s="4" t="s">
        <v>20</v>
      </c>
      <c r="M18" s="4"/>
      <c r="N18" s="4" t="s">
        <v>20</v>
      </c>
      <c r="O18" s="4" t="s">
        <v>20</v>
      </c>
      <c r="P18" s="4"/>
      <c r="Q18" s="4" t="s">
        <v>20</v>
      </c>
      <c r="R18" s="4" t="s">
        <v>20</v>
      </c>
      <c r="T18" s="20"/>
      <c r="U18" s="20"/>
    </row>
    <row r="19" spans="1:21" s="40" customFormat="1" ht="13.05" customHeight="1" x14ac:dyDescent="0.25">
      <c r="A19" s="36" t="s">
        <v>8</v>
      </c>
      <c r="B19" s="8">
        <v>2</v>
      </c>
      <c r="C19" s="8">
        <v>403</v>
      </c>
      <c r="D19" s="3"/>
      <c r="E19" s="4">
        <v>1</v>
      </c>
      <c r="F19" s="4">
        <v>286</v>
      </c>
      <c r="G19" s="4"/>
      <c r="H19" s="4">
        <v>1</v>
      </c>
      <c r="I19" s="4">
        <v>117</v>
      </c>
      <c r="J19" s="4"/>
      <c r="K19" s="4" t="s">
        <v>20</v>
      </c>
      <c r="L19" s="4" t="s">
        <v>20</v>
      </c>
      <c r="M19" s="4"/>
      <c r="N19" s="4" t="s">
        <v>20</v>
      </c>
      <c r="O19" s="4" t="s">
        <v>20</v>
      </c>
      <c r="P19" s="4"/>
      <c r="Q19" s="4" t="s">
        <v>20</v>
      </c>
      <c r="R19" s="4" t="s">
        <v>20</v>
      </c>
      <c r="T19" s="20"/>
      <c r="U19" s="20"/>
    </row>
    <row r="20" spans="1:21" s="40" customFormat="1" ht="13.05" customHeight="1" x14ac:dyDescent="0.25">
      <c r="A20" s="36" t="s">
        <v>7</v>
      </c>
      <c r="B20" s="8">
        <v>43</v>
      </c>
      <c r="C20" s="8">
        <v>2146</v>
      </c>
      <c r="D20" s="3"/>
      <c r="E20" s="4">
        <v>22</v>
      </c>
      <c r="F20" s="4">
        <v>567</v>
      </c>
      <c r="G20" s="4"/>
      <c r="H20" s="4">
        <v>10</v>
      </c>
      <c r="I20" s="4">
        <v>947</v>
      </c>
      <c r="J20" s="4"/>
      <c r="K20" s="4">
        <v>1</v>
      </c>
      <c r="L20" s="4">
        <v>35</v>
      </c>
      <c r="M20" s="4"/>
      <c r="N20" s="4">
        <v>9</v>
      </c>
      <c r="O20" s="4">
        <v>554</v>
      </c>
      <c r="P20" s="4"/>
      <c r="Q20" s="4">
        <v>1</v>
      </c>
      <c r="R20" s="4">
        <v>43</v>
      </c>
      <c r="T20" s="20"/>
      <c r="U20" s="20"/>
    </row>
    <row r="21" spans="1:21" s="40" customFormat="1" ht="9.3000000000000007" customHeight="1" x14ac:dyDescent="0.25">
      <c r="A21" s="37"/>
      <c r="B21" s="3"/>
      <c r="C21" s="3"/>
      <c r="D21" s="3"/>
      <c r="E21" s="3"/>
      <c r="F21" s="3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</row>
    <row r="22" spans="1:21" s="32" customFormat="1" ht="9.3000000000000007" customHeight="1" x14ac:dyDescent="0.25">
      <c r="A22" s="37"/>
      <c r="B22" s="37"/>
      <c r="C22" s="37"/>
      <c r="D22" s="37"/>
      <c r="E22" s="37"/>
      <c r="F22" s="37"/>
      <c r="G22" s="37"/>
      <c r="H22" s="37"/>
      <c r="I22" s="41"/>
      <c r="J22" s="41"/>
      <c r="K22" s="37"/>
      <c r="L22" s="37"/>
      <c r="M22" s="37"/>
      <c r="N22" s="37"/>
      <c r="O22" s="37"/>
      <c r="P22" s="37"/>
      <c r="Q22" s="37"/>
      <c r="R22" s="37"/>
    </row>
    <row r="23" spans="1:21" s="32" customFormat="1" ht="13.05" customHeight="1" x14ac:dyDescent="0.25">
      <c r="A23" s="35" t="s">
        <v>14</v>
      </c>
      <c r="C23" s="33"/>
      <c r="D23" s="33"/>
      <c r="E23" s="33"/>
      <c r="H23" s="33"/>
      <c r="I23" s="34"/>
      <c r="J23" s="34"/>
      <c r="L23" s="33"/>
      <c r="M23" s="33"/>
      <c r="N23" s="33"/>
    </row>
    <row r="24" spans="1:21" s="32" customFormat="1" ht="13.05" customHeight="1" x14ac:dyDescent="0.25">
      <c r="A24" s="35" t="s">
        <v>50</v>
      </c>
      <c r="C24" s="33"/>
      <c r="D24" s="33"/>
      <c r="E24" s="33"/>
      <c r="H24" s="33"/>
      <c r="I24" s="34"/>
      <c r="J24" s="34"/>
      <c r="L24" s="33"/>
      <c r="M24" s="33"/>
      <c r="N24" s="33"/>
    </row>
    <row r="25" spans="1:21" s="32" customFormat="1" ht="13.05" customHeight="1" x14ac:dyDescent="0.25">
      <c r="A25" s="35" t="s">
        <v>51</v>
      </c>
      <c r="C25" s="33"/>
      <c r="D25" s="33"/>
      <c r="E25" s="33"/>
      <c r="H25" s="33"/>
      <c r="I25" s="34"/>
      <c r="J25" s="34"/>
      <c r="L25" s="33"/>
      <c r="M25" s="33"/>
      <c r="N25" s="33"/>
    </row>
    <row r="26" spans="1:21" s="32" customFormat="1" ht="9.3000000000000007" customHeight="1" x14ac:dyDescent="0.25">
      <c r="A26" s="35" t="s">
        <v>44</v>
      </c>
      <c r="C26" s="33"/>
      <c r="D26" s="33"/>
      <c r="E26" s="33"/>
      <c r="H26" s="33"/>
      <c r="I26" s="34"/>
      <c r="J26" s="34"/>
      <c r="L26" s="33"/>
      <c r="M26" s="33"/>
      <c r="N26" s="33"/>
    </row>
    <row r="27" spans="1:21" s="1" customFormat="1" ht="13.05" customHeight="1" x14ac:dyDescent="0.25">
      <c r="I27" s="2"/>
      <c r="J27" s="2"/>
    </row>
    <row r="28" spans="1:21" s="1" customFormat="1" ht="13.05" customHeight="1" x14ac:dyDescent="0.25">
      <c r="A28" s="14"/>
      <c r="C28" s="13"/>
      <c r="D28" s="13"/>
      <c r="E28" s="13"/>
      <c r="H28" s="13"/>
      <c r="I28" s="2"/>
      <c r="J28" s="2"/>
      <c r="L28" s="13"/>
      <c r="M28" s="13"/>
      <c r="N28" s="13"/>
    </row>
    <row r="29" spans="1:21" s="1" customFormat="1" ht="13.05" customHeight="1" x14ac:dyDescent="0.25">
      <c r="A29" s="14"/>
      <c r="C29" s="13"/>
      <c r="D29" s="13"/>
      <c r="E29" s="13"/>
      <c r="H29" s="13"/>
      <c r="I29" s="2"/>
      <c r="J29" s="2"/>
      <c r="L29" s="13"/>
      <c r="M29" s="13"/>
      <c r="N29" s="13"/>
    </row>
    <row r="30" spans="1:21" s="1" customFormat="1" ht="9.3000000000000007" customHeight="1" x14ac:dyDescent="0.25">
      <c r="A30" s="14"/>
      <c r="C30" s="13"/>
      <c r="D30" s="13"/>
      <c r="E30" s="13"/>
      <c r="H30" s="13"/>
      <c r="I30" s="2"/>
      <c r="J30" s="2"/>
      <c r="L30" s="13"/>
      <c r="M30" s="13"/>
      <c r="N30" s="13"/>
    </row>
    <row r="31" spans="1:21" s="42" customFormat="1" ht="13.05" customHeight="1" x14ac:dyDescent="0.15">
      <c r="C31" s="43"/>
      <c r="D31" s="43"/>
      <c r="E31" s="43"/>
      <c r="H31" s="43"/>
      <c r="I31" s="44"/>
      <c r="J31" s="44"/>
      <c r="L31" s="43"/>
      <c r="M31" s="43"/>
      <c r="N31" s="43"/>
    </row>
    <row r="32" spans="1:21" s="42" customFormat="1" x14ac:dyDescent="0.15">
      <c r="C32" s="43"/>
      <c r="D32" s="43"/>
      <c r="E32" s="43"/>
      <c r="H32" s="43"/>
      <c r="I32" s="44"/>
      <c r="J32" s="44"/>
      <c r="L32" s="43"/>
      <c r="M32" s="43"/>
      <c r="N32" s="43"/>
    </row>
    <row r="33" spans="3:14" s="42" customFormat="1" x14ac:dyDescent="0.15">
      <c r="C33" s="43"/>
      <c r="D33" s="43"/>
      <c r="E33" s="43"/>
      <c r="H33" s="43"/>
      <c r="I33" s="44"/>
      <c r="J33" s="44"/>
      <c r="L33" s="43"/>
      <c r="M33" s="43"/>
      <c r="N33" s="43"/>
    </row>
    <row r="34" spans="3:14" s="42" customFormat="1" x14ac:dyDescent="0.15">
      <c r="C34" s="43"/>
      <c r="D34" s="43"/>
      <c r="E34" s="43"/>
      <c r="H34" s="43"/>
      <c r="I34" s="44"/>
      <c r="J34" s="44"/>
      <c r="L34" s="43"/>
      <c r="M34" s="43"/>
      <c r="N34" s="43"/>
    </row>
    <row r="35" spans="3:14" s="42" customFormat="1" x14ac:dyDescent="0.15">
      <c r="C35" s="43"/>
      <c r="D35" s="43"/>
      <c r="E35" s="43"/>
      <c r="H35" s="43"/>
      <c r="I35" s="44"/>
      <c r="J35" s="44"/>
      <c r="L35" s="43"/>
      <c r="M35" s="43"/>
      <c r="N35" s="43"/>
    </row>
    <row r="36" spans="3:14" s="42" customFormat="1" x14ac:dyDescent="0.15">
      <c r="C36" s="43"/>
      <c r="D36" s="43"/>
      <c r="E36" s="43"/>
      <c r="H36" s="43"/>
      <c r="I36" s="44"/>
      <c r="J36" s="44"/>
      <c r="L36" s="43"/>
      <c r="M36" s="43"/>
      <c r="N36" s="43"/>
    </row>
    <row r="37" spans="3:14" s="42" customFormat="1" x14ac:dyDescent="0.15">
      <c r="C37" s="43"/>
      <c r="D37" s="43"/>
      <c r="E37" s="43"/>
      <c r="H37" s="43"/>
      <c r="I37" s="44"/>
      <c r="J37" s="44"/>
      <c r="L37" s="43"/>
      <c r="M37" s="43"/>
      <c r="N37" s="43"/>
    </row>
    <row r="38" spans="3:14" s="42" customFormat="1" x14ac:dyDescent="0.15">
      <c r="C38" s="43"/>
      <c r="D38" s="43"/>
      <c r="E38" s="43"/>
      <c r="H38" s="43"/>
      <c r="I38" s="44"/>
      <c r="J38" s="44"/>
      <c r="L38" s="43"/>
      <c r="M38" s="43"/>
      <c r="N38" s="43"/>
    </row>
    <row r="39" spans="3:14" s="42" customFormat="1" x14ac:dyDescent="0.15">
      <c r="C39" s="43"/>
      <c r="D39" s="43"/>
      <c r="E39" s="43"/>
      <c r="H39" s="43"/>
      <c r="I39" s="44"/>
      <c r="J39" s="44"/>
      <c r="L39" s="43"/>
      <c r="M39" s="43"/>
      <c r="N39" s="43"/>
    </row>
    <row r="40" spans="3:14" s="42" customFormat="1" x14ac:dyDescent="0.15">
      <c r="C40" s="43"/>
      <c r="D40" s="43"/>
      <c r="E40" s="43"/>
      <c r="H40" s="43"/>
      <c r="I40" s="44"/>
      <c r="J40" s="44"/>
      <c r="L40" s="43"/>
      <c r="M40" s="43"/>
      <c r="N40" s="43"/>
    </row>
    <row r="41" spans="3:14" s="42" customFormat="1" x14ac:dyDescent="0.15">
      <c r="C41" s="43"/>
      <c r="D41" s="43"/>
      <c r="E41" s="43"/>
      <c r="H41" s="43"/>
      <c r="I41" s="44"/>
      <c r="J41" s="44"/>
      <c r="L41" s="43"/>
      <c r="M41" s="43"/>
      <c r="N41" s="43"/>
    </row>
    <row r="42" spans="3:14" s="42" customFormat="1" x14ac:dyDescent="0.15">
      <c r="C42" s="43"/>
      <c r="D42" s="43"/>
      <c r="E42" s="43"/>
      <c r="H42" s="43"/>
      <c r="I42" s="44"/>
      <c r="J42" s="44"/>
      <c r="L42" s="43"/>
      <c r="M42" s="43"/>
      <c r="N42" s="43"/>
    </row>
    <row r="43" spans="3:14" s="42" customFormat="1" x14ac:dyDescent="0.15">
      <c r="C43" s="43"/>
      <c r="D43" s="43"/>
      <c r="E43" s="43"/>
      <c r="H43" s="43"/>
      <c r="I43" s="44"/>
      <c r="J43" s="44"/>
      <c r="L43" s="43"/>
      <c r="M43" s="43"/>
      <c r="N43" s="43"/>
    </row>
    <row r="44" spans="3:14" s="42" customFormat="1" x14ac:dyDescent="0.15">
      <c r="C44" s="43"/>
      <c r="D44" s="43"/>
      <c r="E44" s="43"/>
      <c r="H44" s="43"/>
      <c r="I44" s="44"/>
      <c r="J44" s="44"/>
      <c r="L44" s="43"/>
      <c r="M44" s="43"/>
      <c r="N44" s="43"/>
    </row>
    <row r="45" spans="3:14" s="42" customFormat="1" x14ac:dyDescent="0.15">
      <c r="C45" s="43"/>
      <c r="D45" s="43"/>
      <c r="E45" s="43"/>
      <c r="H45" s="43"/>
      <c r="I45" s="44"/>
      <c r="J45" s="44"/>
      <c r="L45" s="43"/>
      <c r="M45" s="43"/>
      <c r="N45" s="43"/>
    </row>
    <row r="46" spans="3:14" s="42" customFormat="1" x14ac:dyDescent="0.15">
      <c r="C46" s="43"/>
      <c r="D46" s="43"/>
      <c r="E46" s="43"/>
      <c r="H46" s="43"/>
      <c r="I46" s="44"/>
      <c r="J46" s="44"/>
      <c r="L46" s="43"/>
      <c r="M46" s="43"/>
      <c r="N46" s="43"/>
    </row>
    <row r="47" spans="3:14" s="42" customFormat="1" x14ac:dyDescent="0.15">
      <c r="C47" s="43"/>
      <c r="D47" s="43"/>
      <c r="E47" s="43"/>
      <c r="H47" s="43"/>
      <c r="I47" s="44"/>
      <c r="J47" s="44"/>
      <c r="L47" s="43"/>
      <c r="M47" s="43"/>
      <c r="N47" s="43"/>
    </row>
    <row r="48" spans="3:14" s="42" customFormat="1" x14ac:dyDescent="0.15">
      <c r="C48" s="43"/>
      <c r="D48" s="43"/>
      <c r="E48" s="43"/>
      <c r="H48" s="43"/>
      <c r="I48" s="44"/>
      <c r="J48" s="44"/>
      <c r="L48" s="43"/>
      <c r="M48" s="43"/>
      <c r="N48" s="43"/>
    </row>
    <row r="49" spans="3:14" s="42" customFormat="1" x14ac:dyDescent="0.15">
      <c r="C49" s="43"/>
      <c r="D49" s="43"/>
      <c r="E49" s="43"/>
      <c r="H49" s="43"/>
      <c r="I49" s="44"/>
      <c r="J49" s="44"/>
      <c r="L49" s="43"/>
      <c r="M49" s="43"/>
      <c r="N49" s="43"/>
    </row>
    <row r="50" spans="3:14" s="42" customFormat="1" x14ac:dyDescent="0.15">
      <c r="C50" s="43"/>
      <c r="D50" s="43"/>
      <c r="E50" s="43"/>
      <c r="H50" s="43"/>
      <c r="I50" s="44"/>
      <c r="J50" s="44"/>
      <c r="L50" s="43"/>
      <c r="M50" s="43"/>
      <c r="N50" s="43"/>
    </row>
    <row r="51" spans="3:14" s="42" customFormat="1" x14ac:dyDescent="0.15">
      <c r="C51" s="43"/>
      <c r="D51" s="43"/>
      <c r="E51" s="43"/>
      <c r="H51" s="43"/>
      <c r="I51" s="44"/>
      <c r="J51" s="44"/>
      <c r="L51" s="43"/>
      <c r="M51" s="43"/>
      <c r="N51" s="43"/>
    </row>
    <row r="52" spans="3:14" s="42" customFormat="1" x14ac:dyDescent="0.15">
      <c r="C52" s="43"/>
      <c r="D52" s="43"/>
      <c r="E52" s="43"/>
      <c r="H52" s="43"/>
      <c r="I52" s="44"/>
      <c r="J52" s="44"/>
      <c r="L52" s="43"/>
      <c r="M52" s="43"/>
      <c r="N52" s="43"/>
    </row>
    <row r="53" spans="3:14" s="42" customFormat="1" x14ac:dyDescent="0.15">
      <c r="C53" s="43"/>
      <c r="D53" s="43"/>
      <c r="E53" s="43"/>
      <c r="H53" s="43"/>
      <c r="I53" s="44"/>
      <c r="J53" s="44"/>
      <c r="L53" s="43"/>
      <c r="M53" s="43"/>
      <c r="N53" s="43"/>
    </row>
    <row r="54" spans="3:14" s="42" customFormat="1" x14ac:dyDescent="0.15">
      <c r="C54" s="43"/>
      <c r="D54" s="43"/>
      <c r="E54" s="43"/>
      <c r="H54" s="43"/>
      <c r="I54" s="44"/>
      <c r="J54" s="44"/>
      <c r="L54" s="43"/>
      <c r="M54" s="43"/>
      <c r="N54" s="43"/>
    </row>
    <row r="55" spans="3:14" s="42" customFormat="1" x14ac:dyDescent="0.15">
      <c r="C55" s="43"/>
      <c r="D55" s="43"/>
      <c r="E55" s="43"/>
      <c r="H55" s="43"/>
      <c r="I55" s="44"/>
      <c r="J55" s="44"/>
      <c r="L55" s="43"/>
      <c r="M55" s="43"/>
      <c r="N55" s="43"/>
    </row>
    <row r="56" spans="3:14" s="42" customFormat="1" x14ac:dyDescent="0.15">
      <c r="C56" s="43"/>
      <c r="D56" s="43"/>
      <c r="E56" s="43"/>
      <c r="H56" s="43"/>
      <c r="I56" s="44"/>
      <c r="J56" s="44"/>
      <c r="L56" s="43"/>
      <c r="M56" s="43"/>
      <c r="N56" s="43"/>
    </row>
    <row r="57" spans="3:14" s="42" customFormat="1" x14ac:dyDescent="0.15">
      <c r="C57" s="43"/>
      <c r="D57" s="43"/>
      <c r="E57" s="43"/>
      <c r="H57" s="43"/>
      <c r="I57" s="44"/>
      <c r="J57" s="44"/>
      <c r="L57" s="43"/>
      <c r="M57" s="43"/>
      <c r="N57" s="43"/>
    </row>
    <row r="58" spans="3:14" s="42" customFormat="1" x14ac:dyDescent="0.15">
      <c r="C58" s="43"/>
      <c r="D58" s="43"/>
      <c r="E58" s="43"/>
      <c r="H58" s="43"/>
      <c r="I58" s="44"/>
      <c r="J58" s="44"/>
      <c r="L58" s="43"/>
      <c r="M58" s="43"/>
      <c r="N58" s="43"/>
    </row>
    <row r="59" spans="3:14" s="42" customFormat="1" x14ac:dyDescent="0.15">
      <c r="C59" s="43"/>
      <c r="D59" s="43"/>
      <c r="E59" s="43"/>
      <c r="H59" s="43"/>
      <c r="I59" s="44"/>
      <c r="J59" s="44"/>
      <c r="L59" s="43"/>
      <c r="M59" s="43"/>
      <c r="N59" s="43"/>
    </row>
    <row r="60" spans="3:14" s="42" customFormat="1" x14ac:dyDescent="0.15">
      <c r="C60" s="43"/>
      <c r="D60" s="43"/>
      <c r="E60" s="43"/>
      <c r="H60" s="43"/>
      <c r="I60" s="44"/>
      <c r="J60" s="44"/>
      <c r="L60" s="43"/>
      <c r="M60" s="43"/>
      <c r="N60" s="43"/>
    </row>
    <row r="61" spans="3:14" s="42" customFormat="1" x14ac:dyDescent="0.15">
      <c r="C61" s="43"/>
      <c r="D61" s="43"/>
      <c r="E61" s="43"/>
      <c r="H61" s="43"/>
      <c r="I61" s="44"/>
      <c r="J61" s="44"/>
      <c r="L61" s="43"/>
      <c r="M61" s="43"/>
      <c r="N61" s="43"/>
    </row>
    <row r="62" spans="3:14" s="42" customFormat="1" x14ac:dyDescent="0.15">
      <c r="C62" s="43"/>
      <c r="D62" s="43"/>
      <c r="E62" s="43"/>
      <c r="H62" s="43"/>
      <c r="I62" s="44"/>
      <c r="J62" s="44"/>
      <c r="L62" s="43"/>
      <c r="M62" s="43"/>
      <c r="N62" s="43"/>
    </row>
    <row r="63" spans="3:14" s="42" customFormat="1" x14ac:dyDescent="0.15">
      <c r="C63" s="43"/>
      <c r="D63" s="43"/>
      <c r="E63" s="43"/>
      <c r="H63" s="43"/>
      <c r="I63" s="44"/>
      <c r="J63" s="44"/>
      <c r="L63" s="43"/>
      <c r="M63" s="43"/>
      <c r="N63" s="43"/>
    </row>
    <row r="64" spans="3:14" s="42" customFormat="1" x14ac:dyDescent="0.15">
      <c r="C64" s="43"/>
      <c r="D64" s="43"/>
      <c r="E64" s="43"/>
      <c r="H64" s="43"/>
      <c r="I64" s="44"/>
      <c r="J64" s="44"/>
      <c r="L64" s="43"/>
      <c r="M64" s="43"/>
      <c r="N64" s="43"/>
    </row>
    <row r="65" spans="3:14" s="42" customFormat="1" x14ac:dyDescent="0.15">
      <c r="C65" s="43"/>
      <c r="D65" s="43"/>
      <c r="E65" s="43"/>
      <c r="H65" s="43"/>
      <c r="I65" s="44"/>
      <c r="J65" s="44"/>
      <c r="L65" s="43"/>
      <c r="M65" s="43"/>
      <c r="N65" s="43"/>
    </row>
  </sheetData>
  <mergeCells count="7">
    <mergeCell ref="B4:C4"/>
    <mergeCell ref="E4:R4"/>
    <mergeCell ref="E5:F5"/>
    <mergeCell ref="H5:I5"/>
    <mergeCell ref="K5:L5"/>
    <mergeCell ref="N5:O5"/>
    <mergeCell ref="Q5:R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5"/>
  <sheetViews>
    <sheetView showGridLines="0" workbookViewId="0"/>
  </sheetViews>
  <sheetFormatPr baseColWidth="10" defaultColWidth="9.75" defaultRowHeight="9.6" x14ac:dyDescent="0.15"/>
  <cols>
    <col min="1" max="1" width="14.75" style="45" customWidth="1"/>
    <col min="2" max="2" width="6" style="45" customWidth="1"/>
    <col min="3" max="3" width="6.58203125" style="46" customWidth="1"/>
    <col min="4" max="4" width="0.9140625" style="46" customWidth="1"/>
    <col min="5" max="5" width="6" style="46" customWidth="1"/>
    <col min="6" max="6" width="6.75" style="45" customWidth="1"/>
    <col min="7" max="7" width="0.9140625" style="45" customWidth="1"/>
    <col min="8" max="8" width="5.58203125" style="46" customWidth="1"/>
    <col min="9" max="9" width="6.75" style="47" customWidth="1"/>
    <col min="10" max="10" width="0.9140625" style="47" customWidth="1"/>
    <col min="11" max="11" width="6.08203125" style="45" customWidth="1"/>
    <col min="12" max="12" width="6.33203125" style="46" customWidth="1"/>
    <col min="13" max="13" width="0.9140625" style="46" customWidth="1"/>
    <col min="14" max="14" width="5.9140625" style="46" customWidth="1"/>
    <col min="15" max="15" width="6.08203125" style="45" customWidth="1"/>
    <col min="16" max="16" width="0.9140625" style="45" customWidth="1"/>
    <col min="17" max="17" width="6.08203125" style="45" customWidth="1"/>
    <col min="18" max="18" width="5.58203125" style="45" customWidth="1"/>
    <col min="19" max="16384" width="9.75" style="45"/>
  </cols>
  <sheetData>
    <row r="1" spans="1:70" s="32" customFormat="1" ht="15" customHeight="1" x14ac:dyDescent="0.25">
      <c r="A1" s="31" t="s">
        <v>41</v>
      </c>
      <c r="C1" s="33"/>
      <c r="D1" s="33"/>
      <c r="E1" s="33"/>
      <c r="H1" s="33"/>
      <c r="I1" s="34"/>
      <c r="J1" s="34"/>
      <c r="L1" s="33"/>
      <c r="M1" s="33"/>
      <c r="N1" s="33"/>
    </row>
    <row r="2" spans="1:70" s="32" customFormat="1" ht="15" customHeight="1" x14ac:dyDescent="0.25">
      <c r="A2" s="35" t="s">
        <v>45</v>
      </c>
      <c r="C2" s="33"/>
      <c r="D2" s="33"/>
      <c r="E2" s="33"/>
      <c r="H2" s="33"/>
      <c r="I2" s="34"/>
      <c r="J2" s="34"/>
      <c r="L2" s="33"/>
      <c r="M2" s="33"/>
      <c r="N2" s="33"/>
    </row>
    <row r="3" spans="1:70" s="32" customFormat="1" ht="9.3000000000000007" customHeight="1" x14ac:dyDescent="0.25">
      <c r="C3" s="33"/>
      <c r="D3" s="33"/>
      <c r="E3" s="33"/>
      <c r="H3" s="33"/>
      <c r="I3" s="34"/>
      <c r="J3" s="34"/>
      <c r="L3" s="33"/>
      <c r="M3" s="33"/>
      <c r="N3" s="33"/>
    </row>
    <row r="4" spans="1:70" s="32" customFormat="1" ht="13.05" customHeight="1" x14ac:dyDescent="0.25">
      <c r="A4" s="36" t="s">
        <v>10</v>
      </c>
      <c r="B4" s="148" t="s">
        <v>11</v>
      </c>
      <c r="C4" s="148"/>
      <c r="D4" s="36"/>
      <c r="E4" s="148" t="s">
        <v>13</v>
      </c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</row>
    <row r="5" spans="1:70" s="32" customFormat="1" ht="13.05" customHeight="1" x14ac:dyDescent="0.25">
      <c r="A5" s="37"/>
      <c r="B5" s="38" t="s">
        <v>15</v>
      </c>
      <c r="C5" s="39" t="s">
        <v>46</v>
      </c>
      <c r="D5" s="34"/>
      <c r="E5" s="149" t="s">
        <v>3</v>
      </c>
      <c r="F5" s="149"/>
      <c r="G5" s="34"/>
      <c r="H5" s="149" t="s">
        <v>4</v>
      </c>
      <c r="I5" s="149"/>
      <c r="J5" s="34"/>
      <c r="K5" s="149" t="s">
        <v>5</v>
      </c>
      <c r="L5" s="149"/>
      <c r="M5" s="34"/>
      <c r="N5" s="149" t="s">
        <v>6</v>
      </c>
      <c r="O5" s="149"/>
      <c r="P5" s="34"/>
      <c r="Q5" s="149" t="s">
        <v>7</v>
      </c>
      <c r="R5" s="149"/>
    </row>
    <row r="6" spans="1:70" s="32" customFormat="1" ht="13.05" customHeight="1" x14ac:dyDescent="0.25">
      <c r="A6" s="37"/>
      <c r="B6" s="38" t="s">
        <v>47</v>
      </c>
      <c r="C6" s="38" t="s">
        <v>48</v>
      </c>
      <c r="D6" s="39"/>
      <c r="E6" s="38" t="s">
        <v>15</v>
      </c>
      <c r="F6" s="39" t="s">
        <v>46</v>
      </c>
      <c r="G6" s="39"/>
      <c r="H6" s="38" t="s">
        <v>15</v>
      </c>
      <c r="I6" s="39" t="s">
        <v>46</v>
      </c>
      <c r="J6" s="39"/>
      <c r="K6" s="38" t="s">
        <v>15</v>
      </c>
      <c r="L6" s="39" t="s">
        <v>46</v>
      </c>
      <c r="M6" s="39"/>
      <c r="N6" s="38" t="s">
        <v>15</v>
      </c>
      <c r="O6" s="39" t="s">
        <v>46</v>
      </c>
      <c r="P6" s="39"/>
      <c r="Q6" s="38" t="s">
        <v>15</v>
      </c>
      <c r="R6" s="39" t="s">
        <v>46</v>
      </c>
    </row>
    <row r="7" spans="1:70" s="32" customFormat="1" ht="13.05" customHeight="1" x14ac:dyDescent="0.25">
      <c r="A7" s="37"/>
      <c r="D7" s="38"/>
      <c r="E7" s="38" t="s">
        <v>47</v>
      </c>
      <c r="F7" s="38" t="s">
        <v>48</v>
      </c>
      <c r="G7" s="38"/>
      <c r="H7" s="38" t="s">
        <v>47</v>
      </c>
      <c r="I7" s="38" t="s">
        <v>48</v>
      </c>
      <c r="J7" s="38"/>
      <c r="K7" s="38" t="s">
        <v>47</v>
      </c>
      <c r="L7" s="38" t="s">
        <v>48</v>
      </c>
      <c r="M7" s="38"/>
      <c r="N7" s="38" t="s">
        <v>47</v>
      </c>
      <c r="O7" s="38" t="s">
        <v>48</v>
      </c>
      <c r="P7" s="38"/>
      <c r="Q7" s="38" t="s">
        <v>47</v>
      </c>
      <c r="R7" s="38" t="s">
        <v>48</v>
      </c>
    </row>
    <row r="8" spans="1:70" s="32" customFormat="1" ht="9.3000000000000007" customHeight="1" x14ac:dyDescent="0.25">
      <c r="A8" s="37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</row>
    <row r="9" spans="1:70" s="32" customFormat="1" ht="9.3000000000000007" customHeight="1" x14ac:dyDescent="0.25">
      <c r="A9" s="37"/>
      <c r="B9" s="16"/>
      <c r="C9" s="48"/>
      <c r="D9" s="48"/>
      <c r="E9" s="48"/>
      <c r="F9" s="48"/>
      <c r="G9" s="48"/>
      <c r="H9" s="48"/>
      <c r="I9" s="49"/>
      <c r="J9" s="49"/>
      <c r="K9" s="48"/>
      <c r="L9" s="48"/>
      <c r="M9" s="48"/>
      <c r="N9" s="48"/>
      <c r="O9" s="50"/>
      <c r="P9" s="50"/>
      <c r="Q9" s="48"/>
      <c r="R9" s="48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 s="32" customFormat="1" ht="13.05" customHeight="1" x14ac:dyDescent="0.25">
      <c r="A10" s="36" t="s">
        <v>12</v>
      </c>
      <c r="B10" s="51">
        <v>1405</v>
      </c>
      <c r="C10" s="52">
        <v>742990.97199999995</v>
      </c>
      <c r="D10" s="52"/>
      <c r="E10" s="52">
        <v>1010</v>
      </c>
      <c r="F10" s="52">
        <v>516608.30399999989</v>
      </c>
      <c r="G10" s="52"/>
      <c r="H10" s="52">
        <v>282</v>
      </c>
      <c r="I10" s="52">
        <v>146903.39800000002</v>
      </c>
      <c r="J10" s="52"/>
      <c r="K10" s="52">
        <v>61</v>
      </c>
      <c r="L10" s="52">
        <v>65685.73</v>
      </c>
      <c r="M10" s="52"/>
      <c r="N10" s="52">
        <v>47</v>
      </c>
      <c r="O10" s="52">
        <v>13532.420000000002</v>
      </c>
      <c r="P10" s="52"/>
      <c r="Q10" s="52">
        <v>5</v>
      </c>
      <c r="R10" s="52">
        <v>261.12</v>
      </c>
      <c r="S10" s="53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s="40" customFormat="1" ht="9.3000000000000007" customHeight="1" x14ac:dyDescent="0.25">
      <c r="A11" s="36"/>
      <c r="B11" s="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  <c r="N11" s="3"/>
      <c r="O11" s="3"/>
      <c r="P11" s="3"/>
      <c r="Q11" s="3"/>
      <c r="R11" s="3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s="40" customFormat="1" ht="13.05" customHeight="1" x14ac:dyDescent="0.25">
      <c r="A12" s="36" t="s">
        <v>0</v>
      </c>
      <c r="B12" s="4">
        <v>375</v>
      </c>
      <c r="C12" s="4">
        <v>506630.69599999994</v>
      </c>
      <c r="D12" s="53"/>
      <c r="E12" s="53">
        <v>259</v>
      </c>
      <c r="F12" s="53">
        <v>383813.91499999992</v>
      </c>
      <c r="G12" s="53"/>
      <c r="H12" s="53">
        <v>77</v>
      </c>
      <c r="I12" s="53">
        <v>82949.621000000014</v>
      </c>
      <c r="J12" s="53"/>
      <c r="K12" s="53">
        <v>27</v>
      </c>
      <c r="L12" s="53">
        <v>35116.04</v>
      </c>
      <c r="M12" s="53"/>
      <c r="N12" s="53">
        <v>12</v>
      </c>
      <c r="O12" s="53">
        <v>4751.12</v>
      </c>
      <c r="P12" s="3"/>
      <c r="Q12" s="56" t="s">
        <v>20</v>
      </c>
      <c r="R12" s="56" t="s">
        <v>20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s="40" customFormat="1" ht="13.05" customHeight="1" x14ac:dyDescent="0.25">
      <c r="A13" s="36" t="s">
        <v>23</v>
      </c>
      <c r="B13" s="4">
        <v>15</v>
      </c>
      <c r="C13" s="4">
        <v>194.15600000000001</v>
      </c>
      <c r="D13" s="53"/>
      <c r="E13" s="53">
        <v>11</v>
      </c>
      <c r="F13" s="53">
        <v>153.619</v>
      </c>
      <c r="G13" s="53"/>
      <c r="H13" s="56">
        <v>2</v>
      </c>
      <c r="I13" s="56">
        <v>18.036999999999999</v>
      </c>
      <c r="J13" s="53"/>
      <c r="K13" s="53">
        <v>2</v>
      </c>
      <c r="L13" s="53">
        <v>22.5</v>
      </c>
      <c r="M13" s="53"/>
      <c r="N13" s="53" t="s">
        <v>20</v>
      </c>
      <c r="O13" s="53" t="s">
        <v>20</v>
      </c>
      <c r="P13" s="3"/>
      <c r="Q13" s="56" t="s">
        <v>20</v>
      </c>
      <c r="R13" s="56" t="s">
        <v>20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s="40" customFormat="1" ht="13.05" customHeight="1" x14ac:dyDescent="0.25">
      <c r="A14" s="36" t="s">
        <v>1</v>
      </c>
      <c r="B14" s="4">
        <v>67</v>
      </c>
      <c r="C14" s="4">
        <v>16408.489999999998</v>
      </c>
      <c r="D14" s="53"/>
      <c r="E14" s="53">
        <v>32</v>
      </c>
      <c r="F14" s="56">
        <v>4056.36</v>
      </c>
      <c r="G14" s="53"/>
      <c r="H14" s="53">
        <v>28</v>
      </c>
      <c r="I14" s="56">
        <v>9711.1299999999992</v>
      </c>
      <c r="J14" s="53"/>
      <c r="K14" s="53">
        <v>4</v>
      </c>
      <c r="L14" s="56">
        <v>2198</v>
      </c>
      <c r="M14" s="53"/>
      <c r="N14" s="53">
        <v>2</v>
      </c>
      <c r="O14" s="56">
        <v>342</v>
      </c>
      <c r="P14" s="3"/>
      <c r="Q14" s="56">
        <v>1</v>
      </c>
      <c r="R14" s="56">
        <v>101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s="40" customFormat="1" ht="13.05" customHeight="1" x14ac:dyDescent="0.25">
      <c r="A15" s="36" t="s">
        <v>2</v>
      </c>
      <c r="B15" s="4">
        <v>281</v>
      </c>
      <c r="C15" s="4">
        <v>30024.23</v>
      </c>
      <c r="D15" s="53"/>
      <c r="E15" s="53">
        <v>220</v>
      </c>
      <c r="F15" s="53">
        <v>15235.54</v>
      </c>
      <c r="G15" s="53"/>
      <c r="H15" s="53">
        <v>33</v>
      </c>
      <c r="I15" s="53">
        <v>7103.27</v>
      </c>
      <c r="J15" s="53"/>
      <c r="K15" s="53">
        <v>6</v>
      </c>
      <c r="L15" s="53">
        <v>1428.7</v>
      </c>
      <c r="M15" s="53"/>
      <c r="N15" s="53">
        <v>21</v>
      </c>
      <c r="O15" s="53">
        <v>6212.6</v>
      </c>
      <c r="P15" s="3"/>
      <c r="Q15" s="56">
        <v>1</v>
      </c>
      <c r="R15" s="56">
        <v>44.12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s="40" customFormat="1" ht="13.05" customHeight="1" x14ac:dyDescent="0.25">
      <c r="A16" s="36" t="s">
        <v>9</v>
      </c>
      <c r="B16" s="4"/>
      <c r="C16" s="4"/>
    </row>
    <row r="17" spans="1:18" s="40" customFormat="1" ht="13.05" customHeight="1" x14ac:dyDescent="0.25">
      <c r="A17" s="36" t="s">
        <v>49</v>
      </c>
      <c r="B17" s="4">
        <v>2</v>
      </c>
      <c r="C17" s="4">
        <v>209.5</v>
      </c>
      <c r="D17" s="53"/>
      <c r="E17" s="53">
        <v>2</v>
      </c>
      <c r="F17" s="56">
        <v>209.5</v>
      </c>
      <c r="G17" s="53"/>
      <c r="H17" s="53" t="s">
        <v>20</v>
      </c>
      <c r="I17" s="56" t="s">
        <v>20</v>
      </c>
      <c r="J17" s="53"/>
      <c r="K17" s="56" t="s">
        <v>20</v>
      </c>
      <c r="L17" s="56" t="s">
        <v>20</v>
      </c>
      <c r="M17" s="56"/>
      <c r="N17" s="56" t="s">
        <v>20</v>
      </c>
      <c r="O17" s="56" t="s">
        <v>20</v>
      </c>
      <c r="P17" s="56"/>
      <c r="Q17" s="56" t="s">
        <v>20</v>
      </c>
      <c r="R17" s="56" t="s">
        <v>20</v>
      </c>
    </row>
    <row r="18" spans="1:18" s="40" customFormat="1" ht="13.05" customHeight="1" x14ac:dyDescent="0.25">
      <c r="A18" s="36" t="s">
        <v>43</v>
      </c>
      <c r="B18" s="4">
        <v>414</v>
      </c>
      <c r="C18" s="4">
        <v>189462.9</v>
      </c>
      <c r="D18" s="57"/>
      <c r="E18" s="53">
        <v>278</v>
      </c>
      <c r="F18" s="53">
        <v>113107.37</v>
      </c>
      <c r="G18" s="55"/>
      <c r="H18" s="53">
        <v>109</v>
      </c>
      <c r="I18" s="53">
        <v>47121.34</v>
      </c>
      <c r="J18" s="55"/>
      <c r="K18" s="53">
        <v>19</v>
      </c>
      <c r="L18" s="53">
        <v>26920.49</v>
      </c>
      <c r="M18" s="55"/>
      <c r="N18" s="53">
        <v>7</v>
      </c>
      <c r="O18" s="53">
        <v>2197.6999999999998</v>
      </c>
      <c r="P18" s="55"/>
      <c r="Q18" s="58">
        <v>1</v>
      </c>
      <c r="R18" s="58">
        <v>116</v>
      </c>
    </row>
    <row r="19" spans="1:18" s="40" customFormat="1" ht="13.05" customHeight="1" x14ac:dyDescent="0.25">
      <c r="A19" s="36" t="s">
        <v>8</v>
      </c>
      <c r="B19" s="4">
        <v>2</v>
      </c>
      <c r="C19" s="4">
        <v>61</v>
      </c>
      <c r="D19" s="3"/>
      <c r="E19" s="56">
        <v>1</v>
      </c>
      <c r="F19" s="56">
        <v>32</v>
      </c>
      <c r="G19" s="3"/>
      <c r="H19" s="56" t="s">
        <v>20</v>
      </c>
      <c r="I19" s="56" t="s">
        <v>20</v>
      </c>
      <c r="J19" s="3"/>
      <c r="K19" s="56" t="s">
        <v>20</v>
      </c>
      <c r="L19" s="56" t="s">
        <v>20</v>
      </c>
      <c r="M19" s="3"/>
      <c r="N19" s="53">
        <v>1</v>
      </c>
      <c r="O19" s="53">
        <v>29</v>
      </c>
      <c r="P19" s="3"/>
      <c r="Q19" s="56" t="s">
        <v>20</v>
      </c>
      <c r="R19" s="56" t="s">
        <v>20</v>
      </c>
    </row>
    <row r="20" spans="1:18" s="40" customFormat="1" ht="13.05" customHeight="1" x14ac:dyDescent="0.25">
      <c r="A20" s="36" t="s">
        <v>7</v>
      </c>
      <c r="B20" s="4">
        <v>249</v>
      </c>
      <c r="C20" s="4" t="s">
        <v>20</v>
      </c>
      <c r="D20" s="3"/>
      <c r="E20" s="53">
        <v>207</v>
      </c>
      <c r="F20" s="56" t="s">
        <v>20</v>
      </c>
      <c r="G20" s="3"/>
      <c r="H20" s="53">
        <v>33</v>
      </c>
      <c r="I20" s="56" t="s">
        <v>20</v>
      </c>
      <c r="J20" s="3"/>
      <c r="K20" s="53">
        <v>3</v>
      </c>
      <c r="L20" s="56" t="s">
        <v>20</v>
      </c>
      <c r="M20" s="57"/>
      <c r="N20" s="53">
        <v>4</v>
      </c>
      <c r="O20" s="56" t="s">
        <v>20</v>
      </c>
      <c r="P20" s="56"/>
      <c r="Q20" s="56">
        <v>2</v>
      </c>
      <c r="R20" s="56" t="s">
        <v>20</v>
      </c>
    </row>
    <row r="21" spans="1:18" s="40" customFormat="1" ht="9.3000000000000007" customHeight="1" x14ac:dyDescent="0.25">
      <c r="A21" s="37"/>
      <c r="B21" s="3"/>
      <c r="C21" s="3"/>
      <c r="D21" s="3"/>
      <c r="E21" s="3"/>
      <c r="F21" s="3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</row>
    <row r="22" spans="1:18" s="32" customFormat="1" ht="9.3000000000000007" customHeight="1" x14ac:dyDescent="0.25">
      <c r="A22" s="37"/>
      <c r="B22" s="37"/>
      <c r="C22" s="37"/>
      <c r="D22" s="37"/>
      <c r="E22" s="37"/>
      <c r="F22" s="37"/>
      <c r="G22" s="37"/>
      <c r="H22" s="37"/>
      <c r="I22" s="41"/>
      <c r="J22" s="41"/>
      <c r="K22" s="37"/>
      <c r="L22" s="37"/>
      <c r="M22" s="37"/>
      <c r="N22" s="37"/>
      <c r="O22" s="37"/>
      <c r="P22" s="37"/>
      <c r="Q22" s="37"/>
      <c r="R22" s="37"/>
    </row>
    <row r="23" spans="1:18" s="32" customFormat="1" ht="13.05" customHeight="1" x14ac:dyDescent="0.25">
      <c r="A23" s="35" t="s">
        <v>14</v>
      </c>
      <c r="C23" s="33"/>
      <c r="D23" s="33"/>
      <c r="E23" s="33"/>
      <c r="H23" s="33"/>
      <c r="I23" s="34"/>
      <c r="J23" s="34"/>
      <c r="L23" s="33"/>
      <c r="M23" s="33"/>
      <c r="N23" s="33"/>
    </row>
    <row r="24" spans="1:18" s="32" customFormat="1" ht="13.05" customHeight="1" x14ac:dyDescent="0.25">
      <c r="A24" s="35" t="s">
        <v>50</v>
      </c>
      <c r="C24" s="33"/>
      <c r="D24" s="33"/>
      <c r="E24" s="33"/>
      <c r="H24" s="33"/>
      <c r="I24" s="34"/>
      <c r="J24" s="34"/>
      <c r="L24" s="33"/>
      <c r="M24" s="33"/>
      <c r="N24" s="33"/>
    </row>
    <row r="25" spans="1:18" s="32" customFormat="1" ht="13.05" customHeight="1" x14ac:dyDescent="0.25">
      <c r="A25" s="35" t="s">
        <v>51</v>
      </c>
      <c r="C25" s="33"/>
      <c r="D25" s="33"/>
      <c r="E25" s="33"/>
      <c r="H25" s="33"/>
      <c r="I25" s="34"/>
      <c r="J25" s="34"/>
      <c r="L25" s="33"/>
      <c r="M25" s="33"/>
      <c r="N25" s="33"/>
    </row>
    <row r="26" spans="1:18" s="32" customFormat="1" ht="9.3000000000000007" customHeight="1" x14ac:dyDescent="0.25">
      <c r="A26" s="35" t="s">
        <v>44</v>
      </c>
      <c r="C26" s="33"/>
      <c r="D26" s="33"/>
      <c r="E26" s="33"/>
      <c r="H26" s="33"/>
      <c r="I26" s="34"/>
      <c r="J26" s="34"/>
      <c r="L26" s="33"/>
      <c r="M26" s="33"/>
      <c r="N26" s="33"/>
    </row>
    <row r="27" spans="1:18" s="1" customFormat="1" ht="13.05" customHeight="1" x14ac:dyDescent="0.25">
      <c r="I27" s="2"/>
      <c r="J27" s="2"/>
    </row>
    <row r="28" spans="1:18" s="1" customFormat="1" ht="13.05" customHeight="1" x14ac:dyDescent="0.25">
      <c r="A28" s="14"/>
      <c r="C28" s="13"/>
      <c r="D28" s="13"/>
      <c r="E28" s="13"/>
      <c r="H28" s="13"/>
      <c r="I28" s="2"/>
      <c r="J28" s="2"/>
      <c r="L28" s="13"/>
      <c r="M28" s="13"/>
      <c r="N28" s="13"/>
    </row>
    <row r="29" spans="1:18" s="1" customFormat="1" ht="13.05" customHeight="1" x14ac:dyDescent="0.25">
      <c r="A29" s="14"/>
      <c r="C29" s="13"/>
      <c r="D29" s="13"/>
      <c r="E29" s="13"/>
      <c r="H29" s="13"/>
      <c r="I29" s="2"/>
      <c r="J29" s="2"/>
      <c r="L29" s="13"/>
      <c r="M29" s="13"/>
      <c r="N29" s="13"/>
    </row>
    <row r="30" spans="1:18" s="1" customFormat="1" ht="9.3000000000000007" customHeight="1" x14ac:dyDescent="0.25">
      <c r="A30" s="14"/>
      <c r="C30" s="13"/>
      <c r="D30" s="13"/>
      <c r="E30" s="13"/>
      <c r="H30" s="13"/>
      <c r="I30" s="2"/>
      <c r="J30" s="2"/>
      <c r="L30" s="13"/>
      <c r="M30" s="13"/>
      <c r="N30" s="13"/>
    </row>
    <row r="31" spans="1:18" s="42" customFormat="1" ht="13.05" customHeight="1" x14ac:dyDescent="0.15">
      <c r="C31" s="43"/>
      <c r="D31" s="43"/>
      <c r="E31" s="43"/>
      <c r="H31" s="43"/>
      <c r="I31" s="44"/>
      <c r="J31" s="44"/>
      <c r="L31" s="43"/>
      <c r="M31" s="43"/>
      <c r="N31" s="43"/>
    </row>
    <row r="32" spans="1:18" s="42" customFormat="1" x14ac:dyDescent="0.15">
      <c r="C32" s="43"/>
      <c r="D32" s="43"/>
      <c r="E32" s="43"/>
      <c r="H32" s="43"/>
      <c r="I32" s="44"/>
      <c r="J32" s="44"/>
      <c r="L32" s="43"/>
      <c r="M32" s="43"/>
      <c r="N32" s="43"/>
    </row>
    <row r="33" spans="3:14" s="42" customFormat="1" x14ac:dyDescent="0.15">
      <c r="C33" s="43"/>
      <c r="D33" s="43"/>
      <c r="E33" s="43"/>
      <c r="H33" s="43"/>
      <c r="I33" s="44"/>
      <c r="J33" s="44"/>
      <c r="L33" s="43"/>
      <c r="M33" s="43"/>
      <c r="N33" s="43"/>
    </row>
    <row r="34" spans="3:14" s="42" customFormat="1" x14ac:dyDescent="0.15">
      <c r="C34" s="43"/>
      <c r="D34" s="43"/>
      <c r="E34" s="43"/>
      <c r="H34" s="43"/>
      <c r="I34" s="44"/>
      <c r="J34" s="44"/>
      <c r="L34" s="43"/>
      <c r="M34" s="43"/>
      <c r="N34" s="43"/>
    </row>
    <row r="35" spans="3:14" s="42" customFormat="1" x14ac:dyDescent="0.15">
      <c r="C35" s="43"/>
      <c r="D35" s="43"/>
      <c r="E35" s="43"/>
      <c r="H35" s="43"/>
      <c r="I35" s="44"/>
      <c r="J35" s="44"/>
      <c r="L35" s="43"/>
      <c r="M35" s="43"/>
      <c r="N35" s="43"/>
    </row>
    <row r="36" spans="3:14" s="42" customFormat="1" x14ac:dyDescent="0.15">
      <c r="C36" s="43"/>
      <c r="D36" s="43"/>
      <c r="E36" s="43"/>
      <c r="H36" s="43"/>
      <c r="I36" s="44"/>
      <c r="J36" s="44"/>
      <c r="L36" s="43"/>
      <c r="M36" s="43"/>
      <c r="N36" s="43"/>
    </row>
    <row r="37" spans="3:14" s="42" customFormat="1" x14ac:dyDescent="0.15">
      <c r="C37" s="43"/>
      <c r="D37" s="43"/>
      <c r="E37" s="43"/>
      <c r="H37" s="43"/>
      <c r="I37" s="44"/>
      <c r="J37" s="44"/>
      <c r="L37" s="43"/>
      <c r="M37" s="43"/>
      <c r="N37" s="43"/>
    </row>
    <row r="38" spans="3:14" s="42" customFormat="1" x14ac:dyDescent="0.15">
      <c r="C38" s="43"/>
      <c r="D38" s="43"/>
      <c r="E38" s="43"/>
      <c r="H38" s="43"/>
      <c r="I38" s="44"/>
      <c r="J38" s="44"/>
      <c r="L38" s="43"/>
      <c r="M38" s="43"/>
      <c r="N38" s="43"/>
    </row>
    <row r="39" spans="3:14" s="42" customFormat="1" x14ac:dyDescent="0.15">
      <c r="C39" s="43"/>
      <c r="D39" s="43"/>
      <c r="E39" s="43"/>
      <c r="H39" s="43"/>
      <c r="I39" s="44"/>
      <c r="J39" s="44"/>
      <c r="L39" s="43"/>
      <c r="M39" s="43"/>
      <c r="N39" s="43"/>
    </row>
    <row r="40" spans="3:14" s="42" customFormat="1" x14ac:dyDescent="0.15">
      <c r="C40" s="43"/>
      <c r="D40" s="43"/>
      <c r="E40" s="43"/>
      <c r="H40" s="43"/>
      <c r="I40" s="44"/>
      <c r="J40" s="44"/>
      <c r="L40" s="43"/>
      <c r="M40" s="43"/>
      <c r="N40" s="43"/>
    </row>
    <row r="41" spans="3:14" s="42" customFormat="1" x14ac:dyDescent="0.15">
      <c r="C41" s="43"/>
      <c r="D41" s="43"/>
      <c r="E41" s="43"/>
      <c r="H41" s="43"/>
      <c r="I41" s="44"/>
      <c r="J41" s="44"/>
      <c r="L41" s="43"/>
      <c r="M41" s="43"/>
      <c r="N41" s="43"/>
    </row>
    <row r="42" spans="3:14" s="42" customFormat="1" x14ac:dyDescent="0.15">
      <c r="C42" s="43"/>
      <c r="D42" s="43"/>
      <c r="E42" s="43"/>
      <c r="H42" s="43"/>
      <c r="I42" s="44"/>
      <c r="J42" s="44"/>
      <c r="L42" s="43"/>
      <c r="M42" s="43"/>
      <c r="N42" s="43"/>
    </row>
    <row r="43" spans="3:14" s="42" customFormat="1" x14ac:dyDescent="0.15">
      <c r="C43" s="43"/>
      <c r="D43" s="43"/>
      <c r="E43" s="43"/>
      <c r="H43" s="43"/>
      <c r="I43" s="44"/>
      <c r="J43" s="44"/>
      <c r="L43" s="43"/>
      <c r="M43" s="43"/>
      <c r="N43" s="43"/>
    </row>
    <row r="44" spans="3:14" s="42" customFormat="1" x14ac:dyDescent="0.15">
      <c r="C44" s="43"/>
      <c r="D44" s="43"/>
      <c r="E44" s="43"/>
      <c r="H44" s="43"/>
      <c r="I44" s="44"/>
      <c r="J44" s="44"/>
      <c r="L44" s="43"/>
      <c r="M44" s="43"/>
      <c r="N44" s="43"/>
    </row>
    <row r="45" spans="3:14" s="42" customFormat="1" x14ac:dyDescent="0.15">
      <c r="C45" s="43"/>
      <c r="D45" s="43"/>
      <c r="E45" s="43"/>
      <c r="H45" s="43"/>
      <c r="I45" s="44"/>
      <c r="J45" s="44"/>
      <c r="L45" s="43"/>
      <c r="M45" s="43"/>
      <c r="N45" s="43"/>
    </row>
    <row r="46" spans="3:14" s="42" customFormat="1" x14ac:dyDescent="0.15">
      <c r="C46" s="43"/>
      <c r="D46" s="43"/>
      <c r="E46" s="43"/>
      <c r="H46" s="43"/>
      <c r="I46" s="44"/>
      <c r="J46" s="44"/>
      <c r="L46" s="43"/>
      <c r="M46" s="43"/>
      <c r="N46" s="43"/>
    </row>
    <row r="47" spans="3:14" s="42" customFormat="1" x14ac:dyDescent="0.15">
      <c r="C47" s="43"/>
      <c r="D47" s="43"/>
      <c r="E47" s="43"/>
      <c r="H47" s="43"/>
      <c r="I47" s="44"/>
      <c r="J47" s="44"/>
      <c r="L47" s="43"/>
      <c r="M47" s="43"/>
      <c r="N47" s="43"/>
    </row>
    <row r="48" spans="3:14" s="42" customFormat="1" x14ac:dyDescent="0.15">
      <c r="C48" s="43"/>
      <c r="D48" s="43"/>
      <c r="E48" s="43"/>
      <c r="H48" s="43"/>
      <c r="I48" s="44"/>
      <c r="J48" s="44"/>
      <c r="L48" s="43"/>
      <c r="M48" s="43"/>
      <c r="N48" s="43"/>
    </row>
    <row r="49" spans="3:14" s="42" customFormat="1" x14ac:dyDescent="0.15">
      <c r="C49" s="43"/>
      <c r="D49" s="43"/>
      <c r="E49" s="43"/>
      <c r="H49" s="43"/>
      <c r="I49" s="44"/>
      <c r="J49" s="44"/>
      <c r="L49" s="43"/>
      <c r="M49" s="43"/>
      <c r="N49" s="43"/>
    </row>
    <row r="50" spans="3:14" s="42" customFormat="1" x14ac:dyDescent="0.15">
      <c r="C50" s="43"/>
      <c r="D50" s="43"/>
      <c r="E50" s="43"/>
      <c r="H50" s="43"/>
      <c r="I50" s="44"/>
      <c r="J50" s="44"/>
      <c r="L50" s="43"/>
      <c r="M50" s="43"/>
      <c r="N50" s="43"/>
    </row>
    <row r="51" spans="3:14" s="42" customFormat="1" x14ac:dyDescent="0.15">
      <c r="C51" s="43"/>
      <c r="D51" s="43"/>
      <c r="E51" s="43"/>
      <c r="H51" s="43"/>
      <c r="I51" s="44"/>
      <c r="J51" s="44"/>
      <c r="L51" s="43"/>
      <c r="M51" s="43"/>
      <c r="N51" s="43"/>
    </row>
    <row r="52" spans="3:14" s="42" customFormat="1" x14ac:dyDescent="0.15">
      <c r="C52" s="43"/>
      <c r="D52" s="43"/>
      <c r="E52" s="43"/>
      <c r="H52" s="43"/>
      <c r="I52" s="44"/>
      <c r="J52" s="44"/>
      <c r="L52" s="43"/>
      <c r="M52" s="43"/>
      <c r="N52" s="43"/>
    </row>
    <row r="53" spans="3:14" s="42" customFormat="1" x14ac:dyDescent="0.15">
      <c r="C53" s="43"/>
      <c r="D53" s="43"/>
      <c r="E53" s="43"/>
      <c r="H53" s="43"/>
      <c r="I53" s="44"/>
      <c r="J53" s="44"/>
      <c r="L53" s="43"/>
      <c r="M53" s="43"/>
      <c r="N53" s="43"/>
    </row>
    <row r="54" spans="3:14" s="42" customFormat="1" x14ac:dyDescent="0.15">
      <c r="C54" s="43"/>
      <c r="D54" s="43"/>
      <c r="E54" s="43"/>
      <c r="H54" s="43"/>
      <c r="I54" s="44"/>
      <c r="J54" s="44"/>
      <c r="L54" s="43"/>
      <c r="M54" s="43"/>
      <c r="N54" s="43"/>
    </row>
    <row r="55" spans="3:14" s="42" customFormat="1" x14ac:dyDescent="0.15">
      <c r="C55" s="43"/>
      <c r="D55" s="43"/>
      <c r="E55" s="43"/>
      <c r="H55" s="43"/>
      <c r="I55" s="44"/>
      <c r="J55" s="44"/>
      <c r="L55" s="43"/>
      <c r="M55" s="43"/>
      <c r="N55" s="43"/>
    </row>
    <row r="56" spans="3:14" s="42" customFormat="1" x14ac:dyDescent="0.15">
      <c r="C56" s="43"/>
      <c r="D56" s="43"/>
      <c r="E56" s="43"/>
      <c r="H56" s="43"/>
      <c r="I56" s="44"/>
      <c r="J56" s="44"/>
      <c r="L56" s="43"/>
      <c r="M56" s="43"/>
      <c r="N56" s="43"/>
    </row>
    <row r="57" spans="3:14" s="42" customFormat="1" x14ac:dyDescent="0.15">
      <c r="C57" s="43"/>
      <c r="D57" s="43"/>
      <c r="E57" s="43"/>
      <c r="H57" s="43"/>
      <c r="I57" s="44"/>
      <c r="J57" s="44"/>
      <c r="L57" s="43"/>
      <c r="M57" s="43"/>
      <c r="N57" s="43"/>
    </row>
    <row r="58" spans="3:14" s="42" customFormat="1" x14ac:dyDescent="0.15">
      <c r="C58" s="43"/>
      <c r="D58" s="43"/>
      <c r="E58" s="43"/>
      <c r="H58" s="43"/>
      <c r="I58" s="44"/>
      <c r="J58" s="44"/>
      <c r="L58" s="43"/>
      <c r="M58" s="43"/>
      <c r="N58" s="43"/>
    </row>
    <row r="59" spans="3:14" s="42" customFormat="1" x14ac:dyDescent="0.15">
      <c r="C59" s="43"/>
      <c r="D59" s="43"/>
      <c r="E59" s="43"/>
      <c r="H59" s="43"/>
      <c r="I59" s="44"/>
      <c r="J59" s="44"/>
      <c r="L59" s="43"/>
      <c r="M59" s="43"/>
      <c r="N59" s="43"/>
    </row>
    <row r="60" spans="3:14" s="42" customFormat="1" x14ac:dyDescent="0.15">
      <c r="C60" s="43"/>
      <c r="D60" s="43"/>
      <c r="E60" s="43"/>
      <c r="H60" s="43"/>
      <c r="I60" s="44"/>
      <c r="J60" s="44"/>
      <c r="L60" s="43"/>
      <c r="M60" s="43"/>
      <c r="N60" s="43"/>
    </row>
    <row r="61" spans="3:14" s="42" customFormat="1" x14ac:dyDescent="0.15">
      <c r="C61" s="43"/>
      <c r="D61" s="43"/>
      <c r="E61" s="43"/>
      <c r="H61" s="43"/>
      <c r="I61" s="44"/>
      <c r="J61" s="44"/>
      <c r="L61" s="43"/>
      <c r="M61" s="43"/>
      <c r="N61" s="43"/>
    </row>
    <row r="62" spans="3:14" s="42" customFormat="1" x14ac:dyDescent="0.15">
      <c r="C62" s="43"/>
      <c r="D62" s="43"/>
      <c r="E62" s="43"/>
      <c r="H62" s="43"/>
      <c r="I62" s="44"/>
      <c r="J62" s="44"/>
      <c r="L62" s="43"/>
      <c r="M62" s="43"/>
      <c r="N62" s="43"/>
    </row>
    <row r="63" spans="3:14" s="42" customFormat="1" x14ac:dyDescent="0.15">
      <c r="C63" s="43"/>
      <c r="D63" s="43"/>
      <c r="E63" s="43"/>
      <c r="H63" s="43"/>
      <c r="I63" s="44"/>
      <c r="J63" s="44"/>
      <c r="L63" s="43"/>
      <c r="M63" s="43"/>
      <c r="N63" s="43"/>
    </row>
    <row r="64" spans="3:14" s="42" customFormat="1" x14ac:dyDescent="0.15">
      <c r="C64" s="43"/>
      <c r="D64" s="43"/>
      <c r="E64" s="43"/>
      <c r="H64" s="43"/>
      <c r="I64" s="44"/>
      <c r="J64" s="44"/>
      <c r="L64" s="43"/>
      <c r="M64" s="43"/>
      <c r="N64" s="43"/>
    </row>
    <row r="65" spans="3:14" s="42" customFormat="1" x14ac:dyDescent="0.15">
      <c r="C65" s="43"/>
      <c r="D65" s="43"/>
      <c r="E65" s="43"/>
      <c r="H65" s="43"/>
      <c r="I65" s="44"/>
      <c r="J65" s="44"/>
      <c r="L65" s="43"/>
      <c r="M65" s="43"/>
      <c r="N65" s="43"/>
    </row>
  </sheetData>
  <mergeCells count="7">
    <mergeCell ref="B4:C4"/>
    <mergeCell ref="E4:R4"/>
    <mergeCell ref="E5:F5"/>
    <mergeCell ref="H5:I5"/>
    <mergeCell ref="K5:L5"/>
    <mergeCell ref="N5:O5"/>
    <mergeCell ref="Q5:R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5"/>
  <sheetViews>
    <sheetView showGridLines="0" workbookViewId="0"/>
  </sheetViews>
  <sheetFormatPr baseColWidth="10" defaultColWidth="9.75" defaultRowHeight="15" x14ac:dyDescent="0.25"/>
  <cols>
    <col min="1" max="1" width="14.75" customWidth="1"/>
    <col min="2" max="2" width="6" customWidth="1"/>
    <col min="3" max="3" width="6.58203125" style="67" customWidth="1"/>
    <col min="4" max="4" width="0.9140625" style="67" customWidth="1"/>
    <col min="5" max="5" width="6" style="67" customWidth="1"/>
    <col min="6" max="6" width="6.75" customWidth="1"/>
    <col min="7" max="7" width="0.9140625" customWidth="1"/>
    <col min="8" max="8" width="5.58203125" style="67" customWidth="1"/>
    <col min="9" max="9" width="6.75" style="68" customWidth="1"/>
    <col min="10" max="10" width="0.9140625" style="68" customWidth="1"/>
    <col min="11" max="11" width="6.08203125" customWidth="1"/>
    <col min="12" max="12" width="6.33203125" style="67" customWidth="1"/>
    <col min="13" max="13" width="0.9140625" style="67" customWidth="1"/>
    <col min="14" max="14" width="5.9140625" style="67" customWidth="1"/>
    <col min="15" max="15" width="6.08203125" customWidth="1"/>
    <col min="16" max="16" width="0.9140625" customWidth="1"/>
    <col min="17" max="17" width="6.08203125" customWidth="1"/>
    <col min="18" max="18" width="5.58203125" customWidth="1"/>
  </cols>
  <sheetData>
    <row r="1" spans="1:70" s="32" customFormat="1" ht="15" customHeight="1" x14ac:dyDescent="0.25">
      <c r="A1" s="35" t="s">
        <v>53</v>
      </c>
      <c r="C1" s="33"/>
      <c r="D1" s="33"/>
      <c r="E1" s="33"/>
      <c r="H1" s="33"/>
      <c r="I1" s="34"/>
      <c r="J1" s="34"/>
      <c r="L1" s="33"/>
      <c r="M1" s="33"/>
      <c r="N1" s="33"/>
    </row>
    <row r="2" spans="1:70" s="32" customFormat="1" ht="15" customHeight="1" x14ac:dyDescent="0.25">
      <c r="A2" s="35" t="s">
        <v>54</v>
      </c>
      <c r="C2" s="33"/>
      <c r="D2" s="33"/>
      <c r="E2" s="33"/>
      <c r="H2" s="33"/>
      <c r="I2" s="34"/>
      <c r="J2" s="34"/>
      <c r="L2" s="33"/>
      <c r="M2" s="33"/>
      <c r="N2" s="33"/>
    </row>
    <row r="3" spans="1:70" s="32" customFormat="1" ht="9.3000000000000007" customHeight="1" x14ac:dyDescent="0.25">
      <c r="C3" s="33"/>
      <c r="D3" s="33"/>
      <c r="E3" s="33"/>
      <c r="H3" s="33"/>
      <c r="I3" s="34"/>
      <c r="J3" s="34"/>
      <c r="L3" s="33"/>
      <c r="M3" s="33"/>
      <c r="N3" s="33"/>
    </row>
    <row r="4" spans="1:70" s="32" customFormat="1" ht="13.05" customHeight="1" x14ac:dyDescent="0.25">
      <c r="A4" s="35"/>
      <c r="C4" s="33"/>
      <c r="D4" s="33"/>
      <c r="E4" s="33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</row>
    <row r="5" spans="1:70" s="32" customFormat="1" ht="13.05" customHeight="1" x14ac:dyDescent="0.25">
      <c r="A5" s="36" t="s">
        <v>10</v>
      </c>
      <c r="B5" s="148" t="s">
        <v>11</v>
      </c>
      <c r="C5" s="148"/>
      <c r="D5" s="36"/>
      <c r="E5" s="148" t="s">
        <v>13</v>
      </c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</row>
    <row r="6" spans="1:70" s="32" customFormat="1" ht="13.05" customHeight="1" x14ac:dyDescent="0.25">
      <c r="A6" s="37"/>
      <c r="B6" s="38" t="s">
        <v>55</v>
      </c>
      <c r="C6" s="39" t="s">
        <v>46</v>
      </c>
      <c r="D6" s="34"/>
      <c r="E6" s="149" t="s">
        <v>3</v>
      </c>
      <c r="F6" s="149"/>
      <c r="G6" s="34"/>
      <c r="H6" s="149" t="s">
        <v>4</v>
      </c>
      <c r="I6" s="149"/>
      <c r="J6" s="34"/>
      <c r="K6" s="149" t="s">
        <v>5</v>
      </c>
      <c r="L6" s="149"/>
      <c r="M6" s="34"/>
      <c r="N6" s="149" t="s">
        <v>6</v>
      </c>
      <c r="O6" s="149"/>
      <c r="P6" s="34"/>
      <c r="Q6" s="149" t="s">
        <v>7</v>
      </c>
      <c r="R6" s="149"/>
    </row>
    <row r="7" spans="1:70" s="32" customFormat="1" ht="13.05" customHeight="1" x14ac:dyDescent="0.25">
      <c r="A7" s="37"/>
      <c r="B7" s="38" t="s">
        <v>47</v>
      </c>
      <c r="C7" s="38" t="s">
        <v>56</v>
      </c>
      <c r="D7" s="39"/>
      <c r="E7" s="38" t="s">
        <v>55</v>
      </c>
      <c r="F7" s="39" t="s">
        <v>46</v>
      </c>
      <c r="G7" s="39"/>
      <c r="H7" s="38" t="s">
        <v>55</v>
      </c>
      <c r="I7" s="39" t="s">
        <v>46</v>
      </c>
      <c r="J7" s="39"/>
      <c r="K7" s="38" t="s">
        <v>55</v>
      </c>
      <c r="L7" s="39" t="s">
        <v>46</v>
      </c>
      <c r="M7" s="39"/>
      <c r="N7" s="38" t="s">
        <v>55</v>
      </c>
      <c r="O7" s="39" t="s">
        <v>46</v>
      </c>
      <c r="P7" s="39"/>
      <c r="Q7" s="38" t="s">
        <v>55</v>
      </c>
      <c r="R7" s="39" t="s">
        <v>46</v>
      </c>
    </row>
    <row r="8" spans="1:70" s="32" customFormat="1" ht="13.05" customHeight="1" x14ac:dyDescent="0.25">
      <c r="A8" s="37"/>
      <c r="D8" s="38"/>
      <c r="E8" s="38" t="s">
        <v>47</v>
      </c>
      <c r="F8" s="38" t="s">
        <v>56</v>
      </c>
      <c r="G8" s="38"/>
      <c r="H8" s="38" t="s">
        <v>47</v>
      </c>
      <c r="I8" s="38" t="s">
        <v>56</v>
      </c>
      <c r="J8" s="38"/>
      <c r="K8" s="38" t="s">
        <v>47</v>
      </c>
      <c r="L8" s="38" t="s">
        <v>56</v>
      </c>
      <c r="M8" s="38"/>
      <c r="N8" s="38" t="s">
        <v>47</v>
      </c>
      <c r="O8" s="38" t="s">
        <v>56</v>
      </c>
      <c r="P8" s="38"/>
      <c r="Q8" s="38" t="s">
        <v>47</v>
      </c>
      <c r="R8" s="38" t="s">
        <v>56</v>
      </c>
    </row>
    <row r="9" spans="1:70" s="32" customFormat="1" ht="13.05" customHeight="1" x14ac:dyDescent="0.25">
      <c r="A9" s="37"/>
      <c r="B9" s="16"/>
      <c r="C9" s="48"/>
      <c r="D9" s="48"/>
      <c r="E9" s="48"/>
      <c r="F9" s="48"/>
      <c r="G9" s="48"/>
      <c r="H9" s="48"/>
      <c r="I9" s="49"/>
      <c r="J9" s="49"/>
      <c r="K9" s="48"/>
      <c r="L9" s="48"/>
      <c r="M9" s="48"/>
      <c r="N9" s="48"/>
      <c r="O9" s="50"/>
      <c r="P9" s="50"/>
      <c r="Q9" s="48"/>
      <c r="R9" s="48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 s="32" customFormat="1" ht="13.05" customHeight="1" x14ac:dyDescent="0.25">
      <c r="A10" s="36" t="s">
        <v>12</v>
      </c>
      <c r="B10" s="51">
        <f>SUM(B12:B20)</f>
        <v>1443</v>
      </c>
      <c r="C10" s="52">
        <f>SUM(C12:C20)</f>
        <v>653907.32999999996</v>
      </c>
      <c r="D10" s="52"/>
      <c r="E10" s="52">
        <f>SUM(E12:E20)</f>
        <v>1078</v>
      </c>
      <c r="F10" s="52">
        <f>SUM(F12:F20)</f>
        <v>367838.99</v>
      </c>
      <c r="G10" s="52"/>
      <c r="H10" s="52">
        <f>SUM(H12:H20)</f>
        <v>264</v>
      </c>
      <c r="I10" s="52">
        <f>SUM(I12:I20)</f>
        <v>226493.99</v>
      </c>
      <c r="J10" s="52"/>
      <c r="K10" s="52">
        <f>SUM(K12:K20)</f>
        <v>62</v>
      </c>
      <c r="L10" s="52">
        <f>SUM(L12:L20)</f>
        <v>46580.380000000005</v>
      </c>
      <c r="M10" s="52"/>
      <c r="N10" s="52">
        <f>SUM(N12:N20)</f>
        <v>38</v>
      </c>
      <c r="O10" s="52">
        <f>SUM(O12:O20)</f>
        <v>12967.97</v>
      </c>
      <c r="P10" s="52"/>
      <c r="Q10" s="52">
        <f>SUM(Q12:Q20)</f>
        <v>1</v>
      </c>
      <c r="R10" s="52">
        <f>SUM(R12:R20)</f>
        <v>26</v>
      </c>
      <c r="S10" s="53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s="40" customFormat="1" ht="9.3000000000000007" customHeight="1" x14ac:dyDescent="0.25">
      <c r="A11" s="36"/>
      <c r="B11" s="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62"/>
      <c r="N11" s="3"/>
      <c r="O11" s="3"/>
      <c r="P11" s="3"/>
      <c r="Q11" s="3"/>
      <c r="R11" s="3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s="40" customFormat="1" ht="13.05" customHeight="1" x14ac:dyDescent="0.25">
      <c r="A12" s="36" t="s">
        <v>0</v>
      </c>
      <c r="B12" s="11">
        <v>417</v>
      </c>
      <c r="C12" s="53">
        <v>547580.21</v>
      </c>
      <c r="D12" s="53"/>
      <c r="E12" s="53">
        <v>284</v>
      </c>
      <c r="F12" s="53">
        <v>309694.45</v>
      </c>
      <c r="G12" s="53"/>
      <c r="H12" s="53">
        <v>94</v>
      </c>
      <c r="I12" s="53">
        <v>202444.02</v>
      </c>
      <c r="J12" s="53"/>
      <c r="K12" s="53">
        <v>27</v>
      </c>
      <c r="L12" s="53">
        <v>27027</v>
      </c>
      <c r="M12" s="63"/>
      <c r="N12" s="53">
        <v>12</v>
      </c>
      <c r="O12" s="53">
        <v>8414.74</v>
      </c>
      <c r="P12" s="3"/>
      <c r="Q12" s="56" t="s">
        <v>20</v>
      </c>
      <c r="R12" s="56" t="s">
        <v>20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s="40" customFormat="1" ht="13.05" customHeight="1" x14ac:dyDescent="0.25">
      <c r="A13" s="36" t="s">
        <v>23</v>
      </c>
      <c r="B13" s="11">
        <v>25</v>
      </c>
      <c r="C13" s="53">
        <v>697.1</v>
      </c>
      <c r="D13" s="53"/>
      <c r="E13" s="53">
        <v>22</v>
      </c>
      <c r="F13" s="53">
        <v>661.19</v>
      </c>
      <c r="G13" s="53"/>
      <c r="H13" s="56" t="s">
        <v>20</v>
      </c>
      <c r="I13" s="56" t="s">
        <v>20</v>
      </c>
      <c r="J13" s="53"/>
      <c r="K13" s="53">
        <v>1</v>
      </c>
      <c r="L13" s="53">
        <v>10.08</v>
      </c>
      <c r="M13" s="63"/>
      <c r="N13" s="53">
        <v>2</v>
      </c>
      <c r="O13" s="53">
        <v>25.83</v>
      </c>
      <c r="P13" s="3"/>
      <c r="Q13" s="56" t="s">
        <v>20</v>
      </c>
      <c r="R13" s="56" t="s">
        <v>20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s="40" customFormat="1" ht="13.05" customHeight="1" x14ac:dyDescent="0.25">
      <c r="A14" s="36" t="s">
        <v>1</v>
      </c>
      <c r="B14" s="11">
        <v>70</v>
      </c>
      <c r="C14" s="56" t="s">
        <v>57</v>
      </c>
      <c r="D14" s="53"/>
      <c r="E14" s="53">
        <v>43</v>
      </c>
      <c r="F14" s="56" t="s">
        <v>57</v>
      </c>
      <c r="G14" s="53"/>
      <c r="H14" s="53">
        <v>22</v>
      </c>
      <c r="I14" s="56" t="s">
        <v>57</v>
      </c>
      <c r="J14" s="53"/>
      <c r="K14" s="53">
        <v>4</v>
      </c>
      <c r="L14" s="56" t="s">
        <v>57</v>
      </c>
      <c r="M14" s="63"/>
      <c r="N14" s="53">
        <v>1</v>
      </c>
      <c r="O14" s="56" t="s">
        <v>57</v>
      </c>
      <c r="P14" s="3"/>
      <c r="Q14" s="56" t="s">
        <v>20</v>
      </c>
      <c r="R14" s="56" t="s">
        <v>20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s="40" customFormat="1" ht="13.05" customHeight="1" x14ac:dyDescent="0.25">
      <c r="A15" s="36" t="s">
        <v>2</v>
      </c>
      <c r="B15" s="11">
        <v>278</v>
      </c>
      <c r="C15" s="53">
        <v>30940.240000000002</v>
      </c>
      <c r="D15" s="53"/>
      <c r="E15" s="53">
        <v>231</v>
      </c>
      <c r="F15" s="53">
        <v>18746.93</v>
      </c>
      <c r="G15" s="53"/>
      <c r="H15" s="53">
        <v>33</v>
      </c>
      <c r="I15" s="53">
        <v>7644.91</v>
      </c>
      <c r="J15" s="53"/>
      <c r="K15" s="53">
        <v>7</v>
      </c>
      <c r="L15" s="53">
        <v>3622</v>
      </c>
      <c r="M15" s="63"/>
      <c r="N15" s="53">
        <v>7</v>
      </c>
      <c r="O15" s="53">
        <v>926.4</v>
      </c>
      <c r="P15" s="3"/>
      <c r="Q15" s="56" t="s">
        <v>20</v>
      </c>
      <c r="R15" s="56" t="s">
        <v>20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s="40" customFormat="1" ht="13.05" customHeight="1" x14ac:dyDescent="0.25">
      <c r="A16" s="36" t="s">
        <v>9</v>
      </c>
      <c r="B16" s="1"/>
    </row>
    <row r="17" spans="1:18" s="40" customFormat="1" ht="13.05" customHeight="1" x14ac:dyDescent="0.25">
      <c r="A17" s="36" t="s">
        <v>49</v>
      </c>
      <c r="B17" s="11">
        <v>2</v>
      </c>
      <c r="C17" s="56" t="s">
        <v>57</v>
      </c>
      <c r="D17" s="53"/>
      <c r="E17" s="53">
        <v>1</v>
      </c>
      <c r="F17" s="56" t="s">
        <v>57</v>
      </c>
      <c r="G17" s="53"/>
      <c r="H17" s="53">
        <v>1</v>
      </c>
      <c r="I17" s="56" t="s">
        <v>57</v>
      </c>
      <c r="J17" s="53"/>
      <c r="K17" s="56" t="s">
        <v>20</v>
      </c>
      <c r="L17" s="56" t="s">
        <v>57</v>
      </c>
      <c r="M17" s="56"/>
      <c r="N17" s="56" t="s">
        <v>20</v>
      </c>
      <c r="O17" s="56" t="s">
        <v>57</v>
      </c>
      <c r="P17" s="56"/>
      <c r="Q17" s="56" t="s">
        <v>20</v>
      </c>
      <c r="R17" s="56" t="s">
        <v>20</v>
      </c>
    </row>
    <row r="18" spans="1:18" s="40" customFormat="1" ht="13.05" customHeight="1" x14ac:dyDescent="0.25">
      <c r="A18" s="36" t="s">
        <v>43</v>
      </c>
      <c r="B18" s="11">
        <v>352</v>
      </c>
      <c r="C18" s="53">
        <v>74181.78</v>
      </c>
      <c r="D18" s="57"/>
      <c r="E18" s="53">
        <v>252</v>
      </c>
      <c r="F18" s="53">
        <v>38736.42</v>
      </c>
      <c r="G18" s="55"/>
      <c r="H18" s="53">
        <v>72</v>
      </c>
      <c r="I18" s="53">
        <v>16405.060000000001</v>
      </c>
      <c r="J18" s="55"/>
      <c r="K18" s="53">
        <v>20</v>
      </c>
      <c r="L18" s="53">
        <v>15921.3</v>
      </c>
      <c r="M18" s="55"/>
      <c r="N18" s="53">
        <v>7</v>
      </c>
      <c r="O18" s="53">
        <v>3093</v>
      </c>
      <c r="P18" s="55"/>
      <c r="Q18" s="58">
        <v>1</v>
      </c>
      <c r="R18" s="58">
        <v>26</v>
      </c>
    </row>
    <row r="19" spans="1:18" s="40" customFormat="1" ht="13.05" customHeight="1" x14ac:dyDescent="0.25">
      <c r="A19" s="36" t="s">
        <v>8</v>
      </c>
      <c r="B19" s="11">
        <v>1</v>
      </c>
      <c r="C19" s="53">
        <v>508</v>
      </c>
      <c r="D19" s="3"/>
      <c r="E19" s="56" t="s">
        <v>20</v>
      </c>
      <c r="F19" s="56" t="s">
        <v>20</v>
      </c>
      <c r="G19" s="3"/>
      <c r="H19" s="56" t="s">
        <v>20</v>
      </c>
      <c r="I19" s="56" t="s">
        <v>20</v>
      </c>
      <c r="J19" s="3"/>
      <c r="K19" s="56" t="s">
        <v>20</v>
      </c>
      <c r="L19" s="56" t="s">
        <v>20</v>
      </c>
      <c r="M19" s="3"/>
      <c r="N19" s="53">
        <v>1</v>
      </c>
      <c r="O19" s="53">
        <v>508</v>
      </c>
      <c r="P19" s="3"/>
      <c r="Q19" s="56" t="s">
        <v>20</v>
      </c>
      <c r="R19" s="56" t="s">
        <v>20</v>
      </c>
    </row>
    <row r="20" spans="1:18" s="40" customFormat="1" ht="13.05" customHeight="1" x14ac:dyDescent="0.25">
      <c r="A20" s="36" t="s">
        <v>7</v>
      </c>
      <c r="B20" s="11">
        <v>298</v>
      </c>
      <c r="C20" s="56" t="s">
        <v>20</v>
      </c>
      <c r="D20" s="3"/>
      <c r="E20" s="53">
        <v>245</v>
      </c>
      <c r="F20" s="56" t="s">
        <v>20</v>
      </c>
      <c r="G20" s="3"/>
      <c r="H20" s="53">
        <v>42</v>
      </c>
      <c r="I20" s="56" t="s">
        <v>20</v>
      </c>
      <c r="J20" s="3"/>
      <c r="K20" s="53">
        <v>3</v>
      </c>
      <c r="L20" s="56" t="s">
        <v>20</v>
      </c>
      <c r="M20" s="57"/>
      <c r="N20" s="53">
        <v>8</v>
      </c>
      <c r="O20" s="56" t="s">
        <v>20</v>
      </c>
      <c r="P20" s="56"/>
      <c r="Q20" s="56" t="s">
        <v>20</v>
      </c>
      <c r="R20" s="56" t="s">
        <v>20</v>
      </c>
    </row>
    <row r="21" spans="1:18" s="40" customFormat="1" ht="9.3000000000000007" customHeight="1" x14ac:dyDescent="0.25">
      <c r="A21" s="37"/>
      <c r="B21" s="3"/>
      <c r="C21" s="3"/>
      <c r="D21" s="3"/>
      <c r="E21" s="3"/>
      <c r="F21" s="3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</row>
    <row r="22" spans="1:18" s="32" customFormat="1" ht="9.3000000000000007" customHeight="1" x14ac:dyDescent="0.25">
      <c r="A22" s="37"/>
      <c r="B22" s="37"/>
      <c r="C22" s="37"/>
      <c r="D22" s="37"/>
      <c r="E22" s="37"/>
      <c r="F22" s="37"/>
      <c r="G22" s="37"/>
      <c r="H22" s="37"/>
      <c r="I22" s="41"/>
      <c r="J22" s="41"/>
      <c r="K22" s="37"/>
      <c r="L22" s="37"/>
      <c r="M22" s="37"/>
      <c r="N22" s="37"/>
      <c r="O22" s="37"/>
      <c r="P22" s="37"/>
      <c r="Q22" s="37"/>
      <c r="R22" s="37"/>
    </row>
    <row r="23" spans="1:18" s="32" customFormat="1" ht="13.05" customHeight="1" x14ac:dyDescent="0.25">
      <c r="A23" s="35" t="s">
        <v>14</v>
      </c>
      <c r="C23" s="33"/>
      <c r="D23" s="33"/>
      <c r="E23" s="33"/>
      <c r="H23" s="33"/>
      <c r="I23" s="34"/>
      <c r="J23" s="34"/>
      <c r="L23" s="33"/>
      <c r="M23" s="33"/>
      <c r="N23" s="33"/>
    </row>
    <row r="24" spans="1:18" s="32" customFormat="1" ht="13.05" customHeight="1" x14ac:dyDescent="0.25">
      <c r="A24" s="35" t="s">
        <v>50</v>
      </c>
      <c r="C24" s="33"/>
      <c r="D24" s="33"/>
      <c r="E24" s="33"/>
      <c r="H24" s="33"/>
      <c r="I24" s="34"/>
      <c r="J24" s="34"/>
      <c r="L24" s="33"/>
      <c r="M24" s="33"/>
      <c r="N24" s="33"/>
    </row>
    <row r="25" spans="1:18" s="32" customFormat="1" ht="13.05" customHeight="1" x14ac:dyDescent="0.25">
      <c r="A25" s="35" t="s">
        <v>51</v>
      </c>
      <c r="C25" s="33"/>
      <c r="D25" s="33"/>
      <c r="E25" s="33"/>
      <c r="H25" s="33"/>
      <c r="I25" s="34"/>
      <c r="J25" s="34"/>
      <c r="L25" s="33"/>
      <c r="M25" s="33"/>
      <c r="N25" s="33"/>
    </row>
    <row r="26" spans="1:18" s="32" customFormat="1" ht="9.3000000000000007" customHeight="1" x14ac:dyDescent="0.25">
      <c r="A26" s="35" t="s">
        <v>44</v>
      </c>
      <c r="C26" s="33"/>
      <c r="D26" s="33"/>
      <c r="E26" s="33"/>
      <c r="H26" s="33"/>
      <c r="I26" s="34"/>
      <c r="J26" s="34"/>
      <c r="L26" s="33"/>
      <c r="M26" s="33"/>
      <c r="N26" s="33"/>
    </row>
    <row r="27" spans="1:18" s="1" customFormat="1" ht="13.05" customHeight="1" x14ac:dyDescent="0.25">
      <c r="I27" s="2"/>
      <c r="J27" s="2"/>
    </row>
    <row r="28" spans="1:18" s="1" customFormat="1" ht="13.05" customHeight="1" x14ac:dyDescent="0.25">
      <c r="A28" s="14"/>
      <c r="C28" s="13"/>
      <c r="D28" s="13"/>
      <c r="E28" s="13"/>
      <c r="H28" s="13"/>
      <c r="I28" s="2"/>
      <c r="J28" s="2"/>
      <c r="L28" s="13"/>
      <c r="M28" s="13"/>
      <c r="N28" s="13"/>
    </row>
    <row r="29" spans="1:18" s="1" customFormat="1" ht="13.05" customHeight="1" x14ac:dyDescent="0.25">
      <c r="A29" s="14"/>
      <c r="C29" s="13"/>
      <c r="D29" s="13"/>
      <c r="E29" s="13"/>
      <c r="H29" s="13"/>
      <c r="I29" s="2"/>
      <c r="J29" s="2"/>
      <c r="L29" s="13"/>
      <c r="M29" s="13"/>
      <c r="N29" s="13"/>
    </row>
    <row r="30" spans="1:18" s="1" customFormat="1" ht="9.3000000000000007" customHeight="1" x14ac:dyDescent="0.25">
      <c r="A30" s="14"/>
      <c r="C30" s="13"/>
      <c r="D30" s="13"/>
      <c r="E30" s="13"/>
      <c r="H30" s="13"/>
      <c r="I30" s="2"/>
      <c r="J30" s="2"/>
      <c r="L30" s="13"/>
      <c r="M30" s="13"/>
      <c r="N30" s="13"/>
    </row>
    <row r="31" spans="1:18" s="64" customFormat="1" ht="13.05" customHeight="1" x14ac:dyDescent="0.25">
      <c r="C31" s="65"/>
      <c r="D31" s="65"/>
      <c r="E31" s="65"/>
      <c r="H31" s="65"/>
      <c r="I31" s="66"/>
      <c r="J31" s="66"/>
      <c r="L31" s="65"/>
      <c r="M31" s="65"/>
      <c r="N31" s="65"/>
    </row>
    <row r="32" spans="1:18" s="64" customFormat="1" x14ac:dyDescent="0.25">
      <c r="C32" s="65"/>
      <c r="D32" s="65"/>
      <c r="E32" s="65"/>
      <c r="H32" s="65"/>
      <c r="I32" s="66"/>
      <c r="J32" s="66"/>
      <c r="L32" s="65"/>
      <c r="M32" s="65"/>
      <c r="N32" s="65"/>
    </row>
    <row r="33" spans="3:14" s="64" customFormat="1" x14ac:dyDescent="0.25">
      <c r="C33" s="65"/>
      <c r="D33" s="65"/>
      <c r="E33" s="65"/>
      <c r="H33" s="65"/>
      <c r="I33" s="66"/>
      <c r="J33" s="66"/>
      <c r="L33" s="65"/>
      <c r="M33" s="65"/>
      <c r="N33" s="65"/>
    </row>
    <row r="34" spans="3:14" s="64" customFormat="1" x14ac:dyDescent="0.25">
      <c r="C34" s="65"/>
      <c r="D34" s="65"/>
      <c r="E34" s="65"/>
      <c r="H34" s="65"/>
      <c r="I34" s="66"/>
      <c r="J34" s="66"/>
      <c r="L34" s="65"/>
      <c r="M34" s="65"/>
      <c r="N34" s="65"/>
    </row>
    <row r="35" spans="3:14" s="64" customFormat="1" x14ac:dyDescent="0.25">
      <c r="C35" s="65"/>
      <c r="D35" s="65"/>
      <c r="E35" s="65"/>
      <c r="H35" s="65"/>
      <c r="I35" s="66"/>
      <c r="J35" s="66"/>
      <c r="L35" s="65"/>
      <c r="M35" s="65"/>
      <c r="N35" s="65"/>
    </row>
    <row r="36" spans="3:14" s="64" customFormat="1" x14ac:dyDescent="0.25">
      <c r="C36" s="65"/>
      <c r="D36" s="65"/>
      <c r="E36" s="65"/>
      <c r="H36" s="65"/>
      <c r="I36" s="66"/>
      <c r="J36" s="66"/>
      <c r="L36" s="65"/>
      <c r="M36" s="65"/>
      <c r="N36" s="65"/>
    </row>
    <row r="37" spans="3:14" s="64" customFormat="1" x14ac:dyDescent="0.25">
      <c r="C37" s="65"/>
      <c r="D37" s="65"/>
      <c r="E37" s="65"/>
      <c r="H37" s="65"/>
      <c r="I37" s="66"/>
      <c r="J37" s="66"/>
      <c r="L37" s="65"/>
      <c r="M37" s="65"/>
      <c r="N37" s="65"/>
    </row>
    <row r="38" spans="3:14" s="64" customFormat="1" x14ac:dyDescent="0.25">
      <c r="C38" s="65"/>
      <c r="D38" s="65"/>
      <c r="E38" s="65"/>
      <c r="H38" s="65"/>
      <c r="I38" s="66"/>
      <c r="J38" s="66"/>
      <c r="L38" s="65"/>
      <c r="M38" s="65"/>
      <c r="N38" s="65"/>
    </row>
    <row r="39" spans="3:14" s="64" customFormat="1" x14ac:dyDescent="0.25">
      <c r="C39" s="65"/>
      <c r="D39" s="65"/>
      <c r="E39" s="65"/>
      <c r="H39" s="65"/>
      <c r="I39" s="66"/>
      <c r="J39" s="66"/>
      <c r="L39" s="65"/>
      <c r="M39" s="65"/>
      <c r="N39" s="65"/>
    </row>
    <row r="40" spans="3:14" s="64" customFormat="1" x14ac:dyDescent="0.25">
      <c r="C40" s="65"/>
      <c r="D40" s="65"/>
      <c r="E40" s="65"/>
      <c r="H40" s="65"/>
      <c r="I40" s="66"/>
      <c r="J40" s="66"/>
      <c r="L40" s="65"/>
      <c r="M40" s="65"/>
      <c r="N40" s="65"/>
    </row>
    <row r="41" spans="3:14" s="64" customFormat="1" x14ac:dyDescent="0.25">
      <c r="C41" s="65"/>
      <c r="D41" s="65"/>
      <c r="E41" s="65"/>
      <c r="H41" s="65"/>
      <c r="I41" s="66"/>
      <c r="J41" s="66"/>
      <c r="L41" s="65"/>
      <c r="M41" s="65"/>
      <c r="N41" s="65"/>
    </row>
    <row r="42" spans="3:14" s="64" customFormat="1" x14ac:dyDescent="0.25">
      <c r="C42" s="65"/>
      <c r="D42" s="65"/>
      <c r="E42" s="65"/>
      <c r="H42" s="65"/>
      <c r="I42" s="66"/>
      <c r="J42" s="66"/>
      <c r="L42" s="65"/>
      <c r="M42" s="65"/>
      <c r="N42" s="65"/>
    </row>
    <row r="43" spans="3:14" s="64" customFormat="1" x14ac:dyDescent="0.25">
      <c r="C43" s="65"/>
      <c r="D43" s="65"/>
      <c r="E43" s="65"/>
      <c r="H43" s="65"/>
      <c r="I43" s="66"/>
      <c r="J43" s="66"/>
      <c r="L43" s="65"/>
      <c r="M43" s="65"/>
      <c r="N43" s="65"/>
    </row>
    <row r="44" spans="3:14" s="64" customFormat="1" x14ac:dyDescent="0.25">
      <c r="C44" s="65"/>
      <c r="D44" s="65"/>
      <c r="E44" s="65"/>
      <c r="H44" s="65"/>
      <c r="I44" s="66"/>
      <c r="J44" s="66"/>
      <c r="L44" s="65"/>
      <c r="M44" s="65"/>
      <c r="N44" s="65"/>
    </row>
    <row r="45" spans="3:14" s="64" customFormat="1" x14ac:dyDescent="0.25">
      <c r="C45" s="65"/>
      <c r="D45" s="65"/>
      <c r="E45" s="65"/>
      <c r="H45" s="65"/>
      <c r="I45" s="66"/>
      <c r="J45" s="66"/>
      <c r="L45" s="65"/>
      <c r="M45" s="65"/>
      <c r="N45" s="65"/>
    </row>
    <row r="46" spans="3:14" s="64" customFormat="1" x14ac:dyDescent="0.25">
      <c r="C46" s="65"/>
      <c r="D46" s="65"/>
      <c r="E46" s="65"/>
      <c r="H46" s="65"/>
      <c r="I46" s="66"/>
      <c r="J46" s="66"/>
      <c r="L46" s="65"/>
      <c r="M46" s="65"/>
      <c r="N46" s="65"/>
    </row>
    <row r="47" spans="3:14" s="64" customFormat="1" x14ac:dyDescent="0.25">
      <c r="C47" s="65"/>
      <c r="D47" s="65"/>
      <c r="E47" s="65"/>
      <c r="H47" s="65"/>
      <c r="I47" s="66"/>
      <c r="J47" s="66"/>
      <c r="L47" s="65"/>
      <c r="M47" s="65"/>
      <c r="N47" s="65"/>
    </row>
    <row r="48" spans="3:14" s="64" customFormat="1" x14ac:dyDescent="0.25">
      <c r="C48" s="65"/>
      <c r="D48" s="65"/>
      <c r="E48" s="65"/>
      <c r="H48" s="65"/>
      <c r="I48" s="66"/>
      <c r="J48" s="66"/>
      <c r="L48" s="65"/>
      <c r="M48" s="65"/>
      <c r="N48" s="65"/>
    </row>
    <row r="49" spans="3:14" s="64" customFormat="1" x14ac:dyDescent="0.25">
      <c r="C49" s="65"/>
      <c r="D49" s="65"/>
      <c r="E49" s="65"/>
      <c r="H49" s="65"/>
      <c r="I49" s="66"/>
      <c r="J49" s="66"/>
      <c r="L49" s="65"/>
      <c r="M49" s="65"/>
      <c r="N49" s="65"/>
    </row>
    <row r="50" spans="3:14" s="64" customFormat="1" x14ac:dyDescent="0.25">
      <c r="C50" s="65"/>
      <c r="D50" s="65"/>
      <c r="E50" s="65"/>
      <c r="H50" s="65"/>
      <c r="I50" s="66"/>
      <c r="J50" s="66"/>
      <c r="L50" s="65"/>
      <c r="M50" s="65"/>
      <c r="N50" s="65"/>
    </row>
    <row r="51" spans="3:14" s="64" customFormat="1" x14ac:dyDescent="0.25">
      <c r="C51" s="65"/>
      <c r="D51" s="65"/>
      <c r="E51" s="65"/>
      <c r="H51" s="65"/>
      <c r="I51" s="66"/>
      <c r="J51" s="66"/>
      <c r="L51" s="65"/>
      <c r="M51" s="65"/>
      <c r="N51" s="65"/>
    </row>
    <row r="52" spans="3:14" s="64" customFormat="1" x14ac:dyDescent="0.25">
      <c r="C52" s="65"/>
      <c r="D52" s="65"/>
      <c r="E52" s="65"/>
      <c r="H52" s="65"/>
      <c r="I52" s="66"/>
      <c r="J52" s="66"/>
      <c r="L52" s="65"/>
      <c r="M52" s="65"/>
      <c r="N52" s="65"/>
    </row>
    <row r="53" spans="3:14" s="64" customFormat="1" x14ac:dyDescent="0.25">
      <c r="C53" s="65"/>
      <c r="D53" s="65"/>
      <c r="E53" s="65"/>
      <c r="H53" s="65"/>
      <c r="I53" s="66"/>
      <c r="J53" s="66"/>
      <c r="L53" s="65"/>
      <c r="M53" s="65"/>
      <c r="N53" s="65"/>
    </row>
    <row r="54" spans="3:14" s="64" customFormat="1" x14ac:dyDescent="0.25">
      <c r="C54" s="65"/>
      <c r="D54" s="65"/>
      <c r="E54" s="65"/>
      <c r="H54" s="65"/>
      <c r="I54" s="66"/>
      <c r="J54" s="66"/>
      <c r="L54" s="65"/>
      <c r="M54" s="65"/>
      <c r="N54" s="65"/>
    </row>
    <row r="55" spans="3:14" s="64" customFormat="1" x14ac:dyDescent="0.25">
      <c r="C55" s="65"/>
      <c r="D55" s="65"/>
      <c r="E55" s="65"/>
      <c r="H55" s="65"/>
      <c r="I55" s="66"/>
      <c r="J55" s="66"/>
      <c r="L55" s="65"/>
      <c r="M55" s="65"/>
      <c r="N55" s="65"/>
    </row>
    <row r="56" spans="3:14" s="64" customFormat="1" x14ac:dyDescent="0.25">
      <c r="C56" s="65"/>
      <c r="D56" s="65"/>
      <c r="E56" s="65"/>
      <c r="H56" s="65"/>
      <c r="I56" s="66"/>
      <c r="J56" s="66"/>
      <c r="L56" s="65"/>
      <c r="M56" s="65"/>
      <c r="N56" s="65"/>
    </row>
    <row r="57" spans="3:14" s="64" customFormat="1" x14ac:dyDescent="0.25">
      <c r="C57" s="65"/>
      <c r="D57" s="65"/>
      <c r="E57" s="65"/>
      <c r="H57" s="65"/>
      <c r="I57" s="66"/>
      <c r="J57" s="66"/>
      <c r="L57" s="65"/>
      <c r="M57" s="65"/>
      <c r="N57" s="65"/>
    </row>
    <row r="58" spans="3:14" s="64" customFormat="1" x14ac:dyDescent="0.25">
      <c r="C58" s="65"/>
      <c r="D58" s="65"/>
      <c r="E58" s="65"/>
      <c r="H58" s="65"/>
      <c r="I58" s="66"/>
      <c r="J58" s="66"/>
      <c r="L58" s="65"/>
      <c r="M58" s="65"/>
      <c r="N58" s="65"/>
    </row>
    <row r="59" spans="3:14" s="64" customFormat="1" x14ac:dyDescent="0.25">
      <c r="C59" s="65"/>
      <c r="D59" s="65"/>
      <c r="E59" s="65"/>
      <c r="H59" s="65"/>
      <c r="I59" s="66"/>
      <c r="J59" s="66"/>
      <c r="L59" s="65"/>
      <c r="M59" s="65"/>
      <c r="N59" s="65"/>
    </row>
    <row r="60" spans="3:14" s="64" customFormat="1" x14ac:dyDescent="0.25">
      <c r="C60" s="65"/>
      <c r="D60" s="65"/>
      <c r="E60" s="65"/>
      <c r="H60" s="65"/>
      <c r="I60" s="66"/>
      <c r="J60" s="66"/>
      <c r="L60" s="65"/>
      <c r="M60" s="65"/>
      <c r="N60" s="65"/>
    </row>
    <row r="61" spans="3:14" s="64" customFormat="1" x14ac:dyDescent="0.25">
      <c r="C61" s="65"/>
      <c r="D61" s="65"/>
      <c r="E61" s="65"/>
      <c r="H61" s="65"/>
      <c r="I61" s="66"/>
      <c r="J61" s="66"/>
      <c r="L61" s="65"/>
      <c r="M61" s="65"/>
      <c r="N61" s="65"/>
    </row>
    <row r="62" spans="3:14" s="64" customFormat="1" x14ac:dyDescent="0.25">
      <c r="C62" s="65"/>
      <c r="D62" s="65"/>
      <c r="E62" s="65"/>
      <c r="H62" s="65"/>
      <c r="I62" s="66"/>
      <c r="J62" s="66"/>
      <c r="L62" s="65"/>
      <c r="M62" s="65"/>
      <c r="N62" s="65"/>
    </row>
    <row r="63" spans="3:14" s="64" customFormat="1" x14ac:dyDescent="0.25">
      <c r="C63" s="65"/>
      <c r="D63" s="65"/>
      <c r="E63" s="65"/>
      <c r="H63" s="65"/>
      <c r="I63" s="66"/>
      <c r="J63" s="66"/>
      <c r="L63" s="65"/>
      <c r="M63" s="65"/>
      <c r="N63" s="65"/>
    </row>
    <row r="64" spans="3:14" s="64" customFormat="1" x14ac:dyDescent="0.25">
      <c r="C64" s="65"/>
      <c r="D64" s="65"/>
      <c r="E64" s="65"/>
      <c r="H64" s="65"/>
      <c r="I64" s="66"/>
      <c r="J64" s="66"/>
      <c r="L64" s="65"/>
      <c r="M64" s="65"/>
      <c r="N64" s="65"/>
    </row>
    <row r="65" spans="3:14" s="64" customFormat="1" x14ac:dyDescent="0.25">
      <c r="C65" s="65"/>
      <c r="D65" s="65"/>
      <c r="E65" s="65"/>
      <c r="H65" s="65"/>
      <c r="I65" s="66"/>
      <c r="J65" s="66"/>
      <c r="L65" s="65"/>
      <c r="M65" s="65"/>
      <c r="N65" s="65"/>
    </row>
  </sheetData>
  <mergeCells count="8">
    <mergeCell ref="F4:R4"/>
    <mergeCell ref="B5:C5"/>
    <mergeCell ref="E5:R5"/>
    <mergeCell ref="E6:F6"/>
    <mergeCell ref="H6:I6"/>
    <mergeCell ref="K6:L6"/>
    <mergeCell ref="N6:O6"/>
    <mergeCell ref="Q6:R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75"/>
  <sheetViews>
    <sheetView showGridLines="0" workbookViewId="0"/>
  </sheetViews>
  <sheetFormatPr baseColWidth="10" defaultColWidth="9.75" defaultRowHeight="15" x14ac:dyDescent="0.25"/>
  <cols>
    <col min="1" max="1" width="14.75" customWidth="1"/>
    <col min="2" max="2" width="6" customWidth="1"/>
    <col min="3" max="3" width="6.58203125" style="67" customWidth="1"/>
    <col min="4" max="4" width="0.9140625" style="67" customWidth="1"/>
    <col min="5" max="5" width="6" style="67" customWidth="1"/>
    <col min="6" max="6" width="6.75" customWidth="1"/>
    <col min="7" max="7" width="0.9140625" customWidth="1"/>
    <col min="8" max="8" width="5.58203125" style="67" customWidth="1"/>
    <col min="9" max="9" width="6.75" style="68" customWidth="1"/>
    <col min="10" max="10" width="0.9140625" style="68" customWidth="1"/>
    <col min="11" max="11" width="6.08203125" customWidth="1"/>
    <col min="12" max="12" width="6.33203125" style="67" customWidth="1"/>
    <col min="13" max="13" width="0.9140625" style="67" customWidth="1"/>
    <col min="14" max="14" width="5.9140625" style="67" customWidth="1"/>
    <col min="15" max="15" width="6.08203125" customWidth="1"/>
    <col min="16" max="16" width="0.9140625" customWidth="1"/>
    <col min="17" max="17" width="6.08203125" customWidth="1"/>
    <col min="18" max="18" width="5.58203125" customWidth="1"/>
  </cols>
  <sheetData>
    <row r="1" spans="1:70" s="32" customFormat="1" ht="15" customHeight="1" x14ac:dyDescent="0.25">
      <c r="A1" s="69" t="s">
        <v>58</v>
      </c>
      <c r="C1" s="33"/>
      <c r="D1" s="33"/>
      <c r="E1" s="33"/>
      <c r="H1" s="33"/>
      <c r="I1" s="34"/>
      <c r="J1" s="34"/>
      <c r="L1" s="33"/>
      <c r="M1" s="33"/>
      <c r="N1" s="33"/>
    </row>
    <row r="2" spans="1:70" s="32" customFormat="1" ht="15" customHeight="1" x14ac:dyDescent="0.25">
      <c r="A2" s="35" t="s">
        <v>59</v>
      </c>
      <c r="C2" s="33"/>
      <c r="D2" s="33"/>
      <c r="E2" s="33"/>
      <c r="H2" s="33"/>
      <c r="I2" s="34"/>
      <c r="J2" s="34"/>
      <c r="L2" s="33"/>
      <c r="M2" s="33"/>
      <c r="N2" s="33"/>
    </row>
    <row r="3" spans="1:70" s="32" customFormat="1" ht="15" customHeight="1" x14ac:dyDescent="0.25">
      <c r="A3" s="35" t="s">
        <v>60</v>
      </c>
      <c r="C3" s="33"/>
      <c r="D3" s="33"/>
      <c r="E3" s="33"/>
      <c r="H3" s="33"/>
      <c r="I3" s="34"/>
      <c r="J3" s="34"/>
      <c r="L3" s="33"/>
      <c r="M3" s="33"/>
      <c r="N3" s="33"/>
    </row>
    <row r="4" spans="1:70" s="32" customFormat="1" ht="9.3000000000000007" customHeight="1" x14ac:dyDescent="0.25">
      <c r="C4" s="33"/>
      <c r="D4" s="33"/>
      <c r="E4" s="33"/>
      <c r="H4" s="33"/>
      <c r="I4" s="34"/>
      <c r="J4" s="34"/>
      <c r="L4" s="33"/>
      <c r="M4" s="33"/>
      <c r="N4" s="33"/>
    </row>
    <row r="5" spans="1:70" s="32" customFormat="1" ht="13.05" customHeight="1" x14ac:dyDescent="0.25">
      <c r="A5" s="35"/>
      <c r="C5" s="33"/>
      <c r="D5" s="33"/>
      <c r="E5" s="33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</row>
    <row r="6" spans="1:70" s="32" customFormat="1" ht="13.05" customHeight="1" x14ac:dyDescent="0.25">
      <c r="A6" s="36" t="s">
        <v>10</v>
      </c>
      <c r="B6" s="148" t="s">
        <v>11</v>
      </c>
      <c r="C6" s="148"/>
      <c r="D6" s="36"/>
      <c r="E6" s="148" t="s">
        <v>13</v>
      </c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</row>
    <row r="7" spans="1:70" s="32" customFormat="1" ht="13.05" customHeight="1" x14ac:dyDescent="0.25">
      <c r="A7" s="37"/>
      <c r="B7" s="38" t="s">
        <v>55</v>
      </c>
      <c r="C7" s="39" t="s">
        <v>46</v>
      </c>
      <c r="D7" s="34"/>
      <c r="E7" s="149" t="s">
        <v>3</v>
      </c>
      <c r="F7" s="149"/>
      <c r="G7" s="34"/>
      <c r="H7" s="149" t="s">
        <v>4</v>
      </c>
      <c r="I7" s="149"/>
      <c r="J7" s="34"/>
      <c r="K7" s="149" t="s">
        <v>5</v>
      </c>
      <c r="L7" s="149"/>
      <c r="M7" s="34"/>
      <c r="N7" s="149" t="s">
        <v>6</v>
      </c>
      <c r="O7" s="149"/>
      <c r="P7" s="34"/>
      <c r="Q7" s="149" t="s">
        <v>7</v>
      </c>
      <c r="R7" s="149"/>
    </row>
    <row r="8" spans="1:70" s="32" customFormat="1" ht="13.05" customHeight="1" x14ac:dyDescent="0.25">
      <c r="A8" s="37"/>
      <c r="B8" s="38" t="s">
        <v>47</v>
      </c>
      <c r="C8" s="38" t="s">
        <v>56</v>
      </c>
      <c r="D8" s="39"/>
      <c r="E8" s="38" t="s">
        <v>55</v>
      </c>
      <c r="F8" s="39" t="s">
        <v>46</v>
      </c>
      <c r="G8" s="39"/>
      <c r="H8" s="38" t="s">
        <v>55</v>
      </c>
      <c r="I8" s="39" t="s">
        <v>46</v>
      </c>
      <c r="J8" s="39"/>
      <c r="K8" s="38" t="s">
        <v>55</v>
      </c>
      <c r="L8" s="39" t="s">
        <v>46</v>
      </c>
      <c r="M8" s="39"/>
      <c r="N8" s="38" t="s">
        <v>55</v>
      </c>
      <c r="O8" s="39" t="s">
        <v>46</v>
      </c>
      <c r="P8" s="39"/>
      <c r="Q8" s="38" t="s">
        <v>55</v>
      </c>
      <c r="R8" s="39" t="s">
        <v>46</v>
      </c>
    </row>
    <row r="9" spans="1:70" s="32" customFormat="1" ht="13.05" customHeight="1" x14ac:dyDescent="0.25">
      <c r="A9" s="37"/>
      <c r="D9" s="38"/>
      <c r="E9" s="38" t="s">
        <v>47</v>
      </c>
      <c r="F9" s="38" t="s">
        <v>56</v>
      </c>
      <c r="G9" s="38"/>
      <c r="H9" s="38" t="s">
        <v>47</v>
      </c>
      <c r="I9" s="38" t="s">
        <v>56</v>
      </c>
      <c r="J9" s="38"/>
      <c r="K9" s="38" t="s">
        <v>47</v>
      </c>
      <c r="L9" s="38" t="s">
        <v>56</v>
      </c>
      <c r="M9" s="38"/>
      <c r="N9" s="38" t="s">
        <v>47</v>
      </c>
      <c r="O9" s="38" t="s">
        <v>56</v>
      </c>
      <c r="P9" s="38"/>
      <c r="Q9" s="38" t="s">
        <v>47</v>
      </c>
      <c r="R9" s="38" t="s">
        <v>56</v>
      </c>
    </row>
    <row r="10" spans="1:70" s="32" customFormat="1" ht="13.05" customHeight="1" x14ac:dyDescent="0.25">
      <c r="A10" s="37"/>
      <c r="B10" s="16"/>
      <c r="C10" s="48"/>
      <c r="D10" s="48"/>
      <c r="E10" s="48"/>
      <c r="F10" s="48"/>
      <c r="G10" s="48"/>
      <c r="H10" s="48"/>
      <c r="I10" s="49"/>
      <c r="J10" s="49"/>
      <c r="K10" s="48"/>
      <c r="L10" s="48"/>
      <c r="M10" s="48"/>
      <c r="N10" s="48"/>
      <c r="O10" s="50"/>
      <c r="P10" s="50"/>
      <c r="Q10" s="48"/>
      <c r="R10" s="48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s="32" customFormat="1" ht="13.05" customHeight="1" x14ac:dyDescent="0.25">
      <c r="A11" s="36" t="s">
        <v>12</v>
      </c>
      <c r="B11" s="60">
        <f>SUM(B13:B21)</f>
        <v>1603</v>
      </c>
      <c r="C11" s="60">
        <f t="shared" ref="C11:Q11" si="0">SUM(C13:C21)</f>
        <v>582271</v>
      </c>
      <c r="D11" s="60"/>
      <c r="E11" s="60">
        <f t="shared" si="0"/>
        <v>1279</v>
      </c>
      <c r="F11" s="60">
        <f t="shared" si="0"/>
        <v>443881</v>
      </c>
      <c r="G11" s="60"/>
      <c r="H11" s="60">
        <f t="shared" si="0"/>
        <v>275</v>
      </c>
      <c r="I11" s="60">
        <f t="shared" si="0"/>
        <v>114600</v>
      </c>
      <c r="J11" s="60"/>
      <c r="K11" s="60">
        <f t="shared" si="0"/>
        <v>32</v>
      </c>
      <c r="L11" s="60">
        <f t="shared" si="0"/>
        <v>20522</v>
      </c>
      <c r="M11" s="60"/>
      <c r="N11" s="60">
        <f t="shared" si="0"/>
        <v>15</v>
      </c>
      <c r="O11" s="60">
        <f t="shared" si="0"/>
        <v>3267</v>
      </c>
      <c r="P11" s="60"/>
      <c r="Q11" s="60">
        <f t="shared" si="0"/>
        <v>2</v>
      </c>
      <c r="R11" s="52" t="s">
        <v>20</v>
      </c>
      <c r="S11" s="53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s="40" customFormat="1" ht="9.3000000000000007" customHeight="1" x14ac:dyDescent="0.25">
      <c r="A12" s="36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62"/>
      <c r="N12" s="3"/>
      <c r="O12" s="3"/>
      <c r="P12" s="3"/>
      <c r="Q12" s="3"/>
      <c r="R12" s="3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s="40" customFormat="1" ht="13.05" customHeight="1" x14ac:dyDescent="0.25">
      <c r="A13" s="36" t="s">
        <v>0</v>
      </c>
      <c r="B13" s="53">
        <v>422</v>
      </c>
      <c r="C13" s="53">
        <v>319205</v>
      </c>
      <c r="D13" s="53"/>
      <c r="E13" s="53">
        <v>324</v>
      </c>
      <c r="F13" s="53">
        <v>246491</v>
      </c>
      <c r="G13" s="53"/>
      <c r="H13" s="53">
        <v>84</v>
      </c>
      <c r="I13" s="53">
        <v>60956</v>
      </c>
      <c r="J13" s="53"/>
      <c r="K13" s="53">
        <v>12</v>
      </c>
      <c r="L13" s="53">
        <v>10474</v>
      </c>
      <c r="M13" s="63"/>
      <c r="N13" s="55">
        <v>2</v>
      </c>
      <c r="O13" s="55">
        <v>1284</v>
      </c>
      <c r="P13" s="3"/>
      <c r="Q13" s="55" t="s">
        <v>20</v>
      </c>
      <c r="R13" s="55" t="s">
        <v>20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s="40" customFormat="1" ht="13.05" customHeight="1" x14ac:dyDescent="0.25">
      <c r="A14" s="36" t="s">
        <v>23</v>
      </c>
      <c r="B14" s="53">
        <v>18</v>
      </c>
      <c r="C14" s="53">
        <v>1797</v>
      </c>
      <c r="D14" s="53"/>
      <c r="E14" s="53">
        <v>17</v>
      </c>
      <c r="F14" s="53">
        <v>620</v>
      </c>
      <c r="G14" s="53"/>
      <c r="H14" s="53">
        <v>1</v>
      </c>
      <c r="I14" s="53">
        <v>1177</v>
      </c>
      <c r="J14" s="53"/>
      <c r="K14" s="55" t="s">
        <v>20</v>
      </c>
      <c r="L14" s="55" t="s">
        <v>20</v>
      </c>
      <c r="M14" s="63"/>
      <c r="N14" s="55" t="s">
        <v>20</v>
      </c>
      <c r="O14" s="55" t="s">
        <v>20</v>
      </c>
      <c r="P14" s="3"/>
      <c r="Q14" s="55" t="s">
        <v>20</v>
      </c>
      <c r="R14" s="55" t="s">
        <v>20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s="40" customFormat="1" ht="13.05" customHeight="1" x14ac:dyDescent="0.25">
      <c r="A15" s="36" t="s">
        <v>1</v>
      </c>
      <c r="B15" s="53">
        <v>101</v>
      </c>
      <c r="C15" s="53" t="s">
        <v>20</v>
      </c>
      <c r="D15" s="53"/>
      <c r="E15" s="53">
        <v>51</v>
      </c>
      <c r="F15" s="53" t="s">
        <v>20</v>
      </c>
      <c r="G15" s="53"/>
      <c r="H15" s="53">
        <v>44</v>
      </c>
      <c r="I15" s="53" t="s">
        <v>20</v>
      </c>
      <c r="J15" s="53"/>
      <c r="K15" s="53">
        <v>3</v>
      </c>
      <c r="L15" s="53" t="s">
        <v>20</v>
      </c>
      <c r="M15" s="63"/>
      <c r="N15" s="55">
        <v>2</v>
      </c>
      <c r="O15" s="55" t="s">
        <v>20</v>
      </c>
      <c r="P15" s="3"/>
      <c r="Q15" s="55">
        <v>1</v>
      </c>
      <c r="R15" s="55" t="s">
        <v>20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s="40" customFormat="1" ht="13.05" customHeight="1" x14ac:dyDescent="0.25">
      <c r="A16" s="36" t="s">
        <v>2</v>
      </c>
      <c r="B16" s="53">
        <v>343</v>
      </c>
      <c r="C16" s="53">
        <v>123960</v>
      </c>
      <c r="D16" s="53"/>
      <c r="E16" s="53">
        <v>299</v>
      </c>
      <c r="F16" s="53">
        <v>104049</v>
      </c>
      <c r="G16" s="53"/>
      <c r="H16" s="53">
        <v>32</v>
      </c>
      <c r="I16" s="53">
        <v>13913</v>
      </c>
      <c r="J16" s="53"/>
      <c r="K16" s="53">
        <v>7</v>
      </c>
      <c r="L16" s="53">
        <v>4251</v>
      </c>
      <c r="M16" s="63"/>
      <c r="N16" s="55">
        <v>5</v>
      </c>
      <c r="O16" s="55">
        <v>1747</v>
      </c>
      <c r="P16" s="3"/>
      <c r="Q16" s="55" t="s">
        <v>20</v>
      </c>
      <c r="R16" s="55" t="s">
        <v>20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18" s="40" customFormat="1" ht="13.05" customHeight="1" x14ac:dyDescent="0.25">
      <c r="A17" s="36" t="s">
        <v>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63"/>
      <c r="Q17" s="55"/>
      <c r="R17" s="55"/>
    </row>
    <row r="18" spans="1:18" s="40" customFormat="1" ht="13.05" customHeight="1" x14ac:dyDescent="0.25">
      <c r="A18" s="36" t="s">
        <v>61</v>
      </c>
      <c r="B18" s="9">
        <v>6</v>
      </c>
      <c r="C18" s="55" t="s">
        <v>20</v>
      </c>
      <c r="D18" s="57"/>
      <c r="E18" s="55">
        <v>6</v>
      </c>
      <c r="F18" s="55" t="s">
        <v>20</v>
      </c>
      <c r="G18" s="55"/>
      <c r="H18" s="55" t="s">
        <v>20</v>
      </c>
      <c r="I18" s="55" t="s">
        <v>20</v>
      </c>
      <c r="J18" s="55"/>
      <c r="K18" s="55" t="s">
        <v>20</v>
      </c>
      <c r="L18" s="55" t="s">
        <v>20</v>
      </c>
      <c r="M18" s="55"/>
      <c r="N18" s="55" t="s">
        <v>20</v>
      </c>
      <c r="O18" s="55" t="s">
        <v>20</v>
      </c>
      <c r="P18" s="55"/>
      <c r="Q18" s="55" t="s">
        <v>20</v>
      </c>
      <c r="R18" s="55" t="s">
        <v>20</v>
      </c>
    </row>
    <row r="19" spans="1:18" s="40" customFormat="1" ht="13.05" customHeight="1" x14ac:dyDescent="0.25">
      <c r="A19" s="36" t="s">
        <v>43</v>
      </c>
      <c r="B19" s="9">
        <v>396</v>
      </c>
      <c r="C19" s="55">
        <v>129017</v>
      </c>
      <c r="D19" s="3"/>
      <c r="E19" s="55">
        <v>304</v>
      </c>
      <c r="F19" s="55">
        <v>89141</v>
      </c>
      <c r="G19" s="3"/>
      <c r="H19" s="55">
        <v>81</v>
      </c>
      <c r="I19" s="55">
        <v>33863</v>
      </c>
      <c r="J19" s="3"/>
      <c r="K19" s="55">
        <v>9</v>
      </c>
      <c r="L19" s="55">
        <v>5797</v>
      </c>
      <c r="M19" s="3"/>
      <c r="N19" s="55">
        <v>2</v>
      </c>
      <c r="O19" s="55">
        <v>215</v>
      </c>
      <c r="P19" s="3"/>
      <c r="Q19" s="55" t="s">
        <v>20</v>
      </c>
      <c r="R19" s="55" t="s">
        <v>20</v>
      </c>
    </row>
    <row r="20" spans="1:18" s="40" customFormat="1" ht="13.05" customHeight="1" x14ac:dyDescent="0.25">
      <c r="A20" s="36" t="s">
        <v>8</v>
      </c>
      <c r="B20" s="9">
        <v>3</v>
      </c>
      <c r="C20" s="55">
        <v>84</v>
      </c>
      <c r="D20" s="3"/>
      <c r="E20" s="55">
        <v>2</v>
      </c>
      <c r="F20" s="55">
        <v>64</v>
      </c>
      <c r="G20" s="3"/>
      <c r="H20" s="55">
        <v>1</v>
      </c>
      <c r="I20" s="55">
        <v>20</v>
      </c>
      <c r="J20" s="3"/>
      <c r="K20" s="55" t="s">
        <v>20</v>
      </c>
      <c r="L20" s="55" t="s">
        <v>20</v>
      </c>
      <c r="M20" s="57"/>
      <c r="N20" s="55" t="s">
        <v>20</v>
      </c>
      <c r="O20" s="55" t="s">
        <v>20</v>
      </c>
      <c r="P20" s="57"/>
      <c r="Q20" s="55" t="s">
        <v>20</v>
      </c>
      <c r="R20" s="55" t="s">
        <v>20</v>
      </c>
    </row>
    <row r="21" spans="1:18" s="40" customFormat="1" ht="13.05" customHeight="1" x14ac:dyDescent="0.25">
      <c r="A21" s="36" t="s">
        <v>7</v>
      </c>
      <c r="B21" s="9">
        <v>314</v>
      </c>
      <c r="C21" s="55">
        <v>8208</v>
      </c>
      <c r="D21" s="3"/>
      <c r="E21" s="55">
        <v>276</v>
      </c>
      <c r="F21" s="55">
        <v>3516</v>
      </c>
      <c r="G21" s="3"/>
      <c r="H21" s="55">
        <v>32</v>
      </c>
      <c r="I21" s="55">
        <v>4671</v>
      </c>
      <c r="J21" s="3"/>
      <c r="K21" s="55">
        <v>1</v>
      </c>
      <c r="L21" s="55" t="s">
        <v>20</v>
      </c>
      <c r="M21" s="3"/>
      <c r="N21" s="55">
        <v>4</v>
      </c>
      <c r="O21" s="55">
        <v>21</v>
      </c>
      <c r="P21" s="3"/>
      <c r="Q21" s="55">
        <v>1</v>
      </c>
      <c r="R21" s="55" t="s">
        <v>20</v>
      </c>
    </row>
    <row r="22" spans="1:18" s="40" customFormat="1" ht="9.3000000000000007" customHeight="1" x14ac:dyDescent="0.25">
      <c r="A22" s="37"/>
      <c r="B22" s="3"/>
      <c r="C22" s="3"/>
      <c r="D22" s="3"/>
      <c r="E22" s="3"/>
      <c r="F22" s="3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</row>
    <row r="23" spans="1:18" s="32" customFormat="1" ht="9.3000000000000007" customHeight="1" x14ac:dyDescent="0.25">
      <c r="A23" s="37"/>
      <c r="B23" s="37"/>
      <c r="C23" s="37"/>
      <c r="D23" s="37"/>
      <c r="E23" s="37"/>
      <c r="F23" s="37"/>
      <c r="G23" s="37"/>
      <c r="H23" s="37"/>
      <c r="I23" s="41"/>
      <c r="J23" s="41"/>
      <c r="K23" s="37"/>
      <c r="L23" s="37"/>
      <c r="M23" s="37"/>
      <c r="N23" s="37"/>
      <c r="O23" s="37"/>
      <c r="P23" s="37"/>
      <c r="Q23" s="37"/>
      <c r="R23" s="37"/>
    </row>
    <row r="24" spans="1:18" s="32" customFormat="1" ht="13.05" customHeight="1" x14ac:dyDescent="0.25">
      <c r="A24" s="35" t="s">
        <v>14</v>
      </c>
      <c r="C24" s="33"/>
      <c r="D24" s="33"/>
      <c r="E24" s="33"/>
      <c r="H24" s="33"/>
      <c r="I24" s="34"/>
      <c r="J24" s="34"/>
      <c r="L24" s="33"/>
      <c r="M24" s="33"/>
      <c r="N24" s="33"/>
    </row>
    <row r="25" spans="1:18" s="32" customFormat="1" ht="13.05" customHeight="1" x14ac:dyDescent="0.25">
      <c r="A25" s="35" t="s">
        <v>62</v>
      </c>
      <c r="C25" s="33"/>
      <c r="D25" s="33"/>
      <c r="E25" s="33"/>
      <c r="H25" s="33"/>
      <c r="I25" s="34"/>
      <c r="J25" s="34"/>
      <c r="L25" s="33"/>
      <c r="M25" s="33"/>
      <c r="N25" s="33"/>
    </row>
    <row r="26" spans="1:18" s="32" customFormat="1" ht="13.05" customHeight="1" x14ac:dyDescent="0.25">
      <c r="A26" s="35" t="s">
        <v>51</v>
      </c>
      <c r="C26" s="33"/>
      <c r="D26" s="33"/>
      <c r="E26" s="33"/>
      <c r="H26" s="33"/>
      <c r="I26" s="34"/>
      <c r="J26" s="34"/>
      <c r="L26" s="33"/>
      <c r="M26" s="33"/>
      <c r="N26" s="33"/>
    </row>
    <row r="27" spans="1:18" s="32" customFormat="1" ht="9.3000000000000007" customHeight="1" x14ac:dyDescent="0.25">
      <c r="A27" s="35" t="s">
        <v>44</v>
      </c>
      <c r="C27" s="33"/>
      <c r="D27" s="33"/>
      <c r="E27" s="33"/>
      <c r="H27" s="33"/>
      <c r="I27" s="34"/>
      <c r="J27" s="34"/>
      <c r="L27" s="33"/>
      <c r="M27" s="33"/>
      <c r="N27" s="33"/>
    </row>
    <row r="28" spans="1:18" s="1" customFormat="1" ht="13.05" customHeight="1" x14ac:dyDescent="0.25">
      <c r="I28" s="2"/>
      <c r="J28" s="2"/>
    </row>
    <row r="29" spans="1:18" s="1" customFormat="1" ht="13.05" customHeight="1" x14ac:dyDescent="0.25">
      <c r="A29" s="14"/>
      <c r="B29" s="70"/>
      <c r="C29" s="70"/>
      <c r="D29" s="70"/>
      <c r="E29" s="71"/>
      <c r="F29" s="70"/>
      <c r="G29" s="70"/>
      <c r="H29" s="70"/>
      <c r="I29" s="72"/>
      <c r="J29" s="72"/>
      <c r="K29" s="70"/>
      <c r="L29" s="70"/>
      <c r="M29" s="70"/>
      <c r="N29" s="71"/>
      <c r="O29" s="70"/>
      <c r="P29" s="70"/>
      <c r="Q29" s="70"/>
      <c r="R29" s="73"/>
    </row>
    <row r="30" spans="1:18" s="1" customFormat="1" ht="9.3000000000000007" customHeight="1" x14ac:dyDescent="0.25">
      <c r="A30" s="14"/>
      <c r="B30" s="71"/>
      <c r="C30" s="71"/>
      <c r="D30" s="71"/>
      <c r="E30" s="71"/>
      <c r="F30" s="71"/>
      <c r="G30" s="71"/>
      <c r="H30" s="71"/>
      <c r="I30" s="72"/>
      <c r="J30" s="72"/>
      <c r="K30" s="71"/>
      <c r="L30" s="71"/>
      <c r="M30" s="71"/>
      <c r="N30" s="71"/>
      <c r="O30" s="71"/>
      <c r="P30" s="71"/>
      <c r="Q30" s="71"/>
      <c r="R30" s="71"/>
    </row>
    <row r="31" spans="1:18" s="1" customFormat="1" ht="13.05" customHeight="1" x14ac:dyDescent="0.25">
      <c r="I31" s="2"/>
      <c r="J31" s="2"/>
    </row>
    <row r="32" spans="1:18" s="1" customFormat="1" ht="13.05" customHeight="1" x14ac:dyDescent="0.25">
      <c r="A32" s="14"/>
      <c r="B32" s="70"/>
      <c r="C32" s="70"/>
      <c r="D32" s="70"/>
      <c r="E32" s="71"/>
      <c r="F32" s="70"/>
      <c r="G32" s="70"/>
      <c r="H32" s="70"/>
      <c r="I32" s="72"/>
      <c r="J32" s="72"/>
      <c r="K32" s="70"/>
      <c r="L32" s="70"/>
      <c r="M32" s="70"/>
      <c r="N32" s="71"/>
      <c r="O32" s="70"/>
      <c r="P32" s="70"/>
      <c r="Q32" s="70"/>
      <c r="R32" s="73"/>
    </row>
    <row r="33" spans="1:18" s="1" customFormat="1" ht="9.3000000000000007" customHeight="1" x14ac:dyDescent="0.25">
      <c r="A33" s="14"/>
      <c r="B33" s="70"/>
      <c r="C33" s="70"/>
      <c r="D33" s="70"/>
      <c r="E33" s="71"/>
      <c r="F33" s="70"/>
      <c r="G33" s="70"/>
      <c r="H33" s="70"/>
      <c r="I33" s="72"/>
      <c r="J33" s="72"/>
      <c r="K33" s="70"/>
      <c r="L33" s="70"/>
      <c r="M33" s="70"/>
      <c r="N33" s="71"/>
      <c r="O33" s="70"/>
      <c r="P33" s="70"/>
      <c r="Q33" s="70"/>
      <c r="R33" s="73"/>
    </row>
    <row r="34" spans="1:18" s="1" customFormat="1" ht="13.05" customHeight="1" x14ac:dyDescent="0.25">
      <c r="A34" s="14"/>
      <c r="B34" s="71"/>
      <c r="C34" s="71"/>
      <c r="D34" s="71"/>
      <c r="E34" s="71"/>
      <c r="F34" s="71"/>
      <c r="G34" s="71"/>
      <c r="H34" s="71"/>
      <c r="I34" s="72"/>
      <c r="J34" s="72"/>
      <c r="K34" s="71"/>
      <c r="L34" s="71"/>
      <c r="M34" s="71"/>
      <c r="N34" s="71"/>
      <c r="O34" s="71"/>
      <c r="P34" s="71"/>
      <c r="Q34" s="71"/>
      <c r="R34" s="71"/>
    </row>
    <row r="35" spans="1:18" s="1" customFormat="1" ht="9.3000000000000007" customHeight="1" x14ac:dyDescent="0.25">
      <c r="A35" s="14"/>
      <c r="B35" s="71"/>
      <c r="C35" s="71"/>
      <c r="D35" s="71"/>
      <c r="E35" s="71"/>
      <c r="F35" s="71"/>
      <c r="G35" s="71"/>
      <c r="H35" s="71"/>
      <c r="I35" s="72"/>
      <c r="J35" s="72"/>
      <c r="K35" s="71"/>
      <c r="L35" s="71"/>
      <c r="M35" s="71"/>
      <c r="N35" s="71"/>
      <c r="O35" s="71"/>
      <c r="P35" s="71"/>
      <c r="Q35" s="71"/>
      <c r="R35" s="71"/>
    </row>
    <row r="36" spans="1:18" s="1" customFormat="1" ht="9.3000000000000007" customHeight="1" x14ac:dyDescent="0.25">
      <c r="I36" s="2"/>
      <c r="J36" s="2"/>
    </row>
    <row r="37" spans="1:18" s="1" customFormat="1" ht="13.05" customHeight="1" x14ac:dyDescent="0.25">
      <c r="A37" s="14"/>
      <c r="C37" s="13"/>
      <c r="D37" s="13"/>
      <c r="E37" s="13"/>
      <c r="H37" s="13"/>
      <c r="I37" s="2"/>
      <c r="J37" s="2"/>
      <c r="L37" s="13"/>
      <c r="M37" s="13"/>
      <c r="N37" s="13"/>
    </row>
    <row r="38" spans="1:18" s="1" customFormat="1" ht="13.05" customHeight="1" x14ac:dyDescent="0.25">
      <c r="A38" s="14"/>
      <c r="C38" s="13"/>
      <c r="D38" s="13"/>
      <c r="E38" s="13"/>
      <c r="H38" s="13"/>
      <c r="I38" s="2"/>
      <c r="J38" s="2"/>
      <c r="L38" s="13"/>
      <c r="M38" s="13"/>
      <c r="N38" s="13"/>
    </row>
    <row r="39" spans="1:18" s="1" customFormat="1" ht="13.05" customHeight="1" x14ac:dyDescent="0.25">
      <c r="A39" s="14"/>
      <c r="C39" s="13"/>
      <c r="D39" s="13"/>
      <c r="E39" s="13"/>
      <c r="H39" s="13"/>
      <c r="I39" s="2"/>
      <c r="J39" s="2"/>
      <c r="L39" s="13"/>
      <c r="M39" s="13"/>
      <c r="N39" s="13"/>
    </row>
    <row r="40" spans="1:18" s="1" customFormat="1" ht="9.3000000000000007" customHeight="1" x14ac:dyDescent="0.25">
      <c r="A40" s="14"/>
      <c r="C40" s="13"/>
      <c r="D40" s="13"/>
      <c r="E40" s="13"/>
      <c r="H40" s="13"/>
      <c r="I40" s="2"/>
      <c r="J40" s="2"/>
      <c r="L40" s="13"/>
      <c r="M40" s="13"/>
      <c r="N40" s="13"/>
    </row>
    <row r="41" spans="1:18" s="64" customFormat="1" ht="13.05" customHeight="1" x14ac:dyDescent="0.25">
      <c r="C41" s="65"/>
      <c r="D41" s="65"/>
      <c r="E41" s="65"/>
      <c r="H41" s="65"/>
      <c r="I41" s="66"/>
      <c r="J41" s="66"/>
      <c r="L41" s="65"/>
      <c r="M41" s="65"/>
      <c r="N41" s="65"/>
    </row>
    <row r="42" spans="1:18" s="64" customFormat="1" x14ac:dyDescent="0.25">
      <c r="C42" s="65"/>
      <c r="D42" s="65"/>
      <c r="E42" s="65"/>
      <c r="H42" s="65"/>
      <c r="I42" s="66"/>
      <c r="J42" s="66"/>
      <c r="L42" s="65"/>
      <c r="M42" s="65"/>
      <c r="N42" s="65"/>
    </row>
    <row r="43" spans="1:18" s="64" customFormat="1" x14ac:dyDescent="0.25">
      <c r="C43" s="65"/>
      <c r="D43" s="65"/>
      <c r="E43" s="65"/>
      <c r="H43" s="65"/>
      <c r="I43" s="66"/>
      <c r="J43" s="66"/>
      <c r="L43" s="65"/>
      <c r="M43" s="65"/>
      <c r="N43" s="65"/>
    </row>
    <row r="44" spans="1:18" s="64" customFormat="1" x14ac:dyDescent="0.25">
      <c r="C44" s="65"/>
      <c r="D44" s="65"/>
      <c r="E44" s="65"/>
      <c r="H44" s="65"/>
      <c r="I44" s="66"/>
      <c r="J44" s="66"/>
      <c r="L44" s="65"/>
      <c r="M44" s="65"/>
      <c r="N44" s="65"/>
    </row>
    <row r="45" spans="1:18" s="64" customFormat="1" x14ac:dyDescent="0.25">
      <c r="C45" s="65"/>
      <c r="D45" s="65"/>
      <c r="E45" s="65"/>
      <c r="H45" s="65"/>
      <c r="I45" s="66"/>
      <c r="J45" s="66"/>
      <c r="L45" s="65"/>
      <c r="M45" s="65"/>
      <c r="N45" s="65"/>
    </row>
    <row r="46" spans="1:18" s="64" customFormat="1" x14ac:dyDescent="0.25">
      <c r="C46" s="65"/>
      <c r="D46" s="65"/>
      <c r="E46" s="65"/>
      <c r="H46" s="65"/>
      <c r="I46" s="66"/>
      <c r="J46" s="66"/>
      <c r="L46" s="65"/>
      <c r="M46" s="65"/>
      <c r="N46" s="65"/>
    </row>
    <row r="47" spans="1:18" s="64" customFormat="1" x14ac:dyDescent="0.25">
      <c r="C47" s="65"/>
      <c r="D47" s="65"/>
      <c r="E47" s="65"/>
      <c r="H47" s="65"/>
      <c r="I47" s="66"/>
      <c r="J47" s="66"/>
      <c r="L47" s="65"/>
      <c r="M47" s="65"/>
      <c r="N47" s="65"/>
    </row>
    <row r="48" spans="1:18" s="64" customFormat="1" x14ac:dyDescent="0.25">
      <c r="C48" s="65"/>
      <c r="D48" s="65"/>
      <c r="E48" s="65"/>
      <c r="H48" s="65"/>
      <c r="I48" s="66"/>
      <c r="J48" s="66"/>
      <c r="L48" s="65"/>
      <c r="M48" s="65"/>
      <c r="N48" s="65"/>
    </row>
    <row r="49" spans="3:14" s="64" customFormat="1" x14ac:dyDescent="0.25">
      <c r="C49" s="65"/>
      <c r="D49" s="65"/>
      <c r="E49" s="65"/>
      <c r="H49" s="65"/>
      <c r="I49" s="66"/>
      <c r="J49" s="66"/>
      <c r="L49" s="65"/>
      <c r="M49" s="65"/>
      <c r="N49" s="65"/>
    </row>
    <row r="50" spans="3:14" s="64" customFormat="1" x14ac:dyDescent="0.25">
      <c r="C50" s="65"/>
      <c r="D50" s="65"/>
      <c r="E50" s="65"/>
      <c r="H50" s="65"/>
      <c r="I50" s="66"/>
      <c r="J50" s="66"/>
      <c r="L50" s="65"/>
      <c r="M50" s="65"/>
      <c r="N50" s="65"/>
    </row>
    <row r="51" spans="3:14" s="64" customFormat="1" x14ac:dyDescent="0.25">
      <c r="C51" s="65"/>
      <c r="D51" s="65"/>
      <c r="E51" s="65"/>
      <c r="H51" s="65"/>
      <c r="I51" s="66"/>
      <c r="J51" s="66"/>
      <c r="L51" s="65"/>
      <c r="M51" s="65"/>
      <c r="N51" s="65"/>
    </row>
    <row r="52" spans="3:14" s="64" customFormat="1" x14ac:dyDescent="0.25">
      <c r="C52" s="65"/>
      <c r="D52" s="65"/>
      <c r="E52" s="65"/>
      <c r="H52" s="65"/>
      <c r="I52" s="66"/>
      <c r="J52" s="66"/>
      <c r="L52" s="65"/>
      <c r="M52" s="65"/>
      <c r="N52" s="65"/>
    </row>
    <row r="53" spans="3:14" s="64" customFormat="1" x14ac:dyDescent="0.25">
      <c r="C53" s="65"/>
      <c r="D53" s="65"/>
      <c r="E53" s="65"/>
      <c r="H53" s="65"/>
      <c r="I53" s="66"/>
      <c r="J53" s="66"/>
      <c r="L53" s="65"/>
      <c r="M53" s="65"/>
      <c r="N53" s="65"/>
    </row>
    <row r="54" spans="3:14" s="64" customFormat="1" x14ac:dyDescent="0.25">
      <c r="C54" s="65"/>
      <c r="D54" s="65"/>
      <c r="E54" s="65"/>
      <c r="H54" s="65"/>
      <c r="I54" s="66"/>
      <c r="J54" s="66"/>
      <c r="L54" s="65"/>
      <c r="M54" s="65"/>
      <c r="N54" s="65"/>
    </row>
    <row r="55" spans="3:14" s="64" customFormat="1" x14ac:dyDescent="0.25">
      <c r="C55" s="65"/>
      <c r="D55" s="65"/>
      <c r="E55" s="65"/>
      <c r="H55" s="65"/>
      <c r="I55" s="66"/>
      <c r="J55" s="66"/>
      <c r="L55" s="65"/>
      <c r="M55" s="65"/>
      <c r="N55" s="65"/>
    </row>
    <row r="56" spans="3:14" s="64" customFormat="1" x14ac:dyDescent="0.25">
      <c r="C56" s="65"/>
      <c r="D56" s="65"/>
      <c r="E56" s="65"/>
      <c r="H56" s="65"/>
      <c r="I56" s="66"/>
      <c r="J56" s="66"/>
      <c r="L56" s="65"/>
      <c r="M56" s="65"/>
      <c r="N56" s="65"/>
    </row>
    <row r="57" spans="3:14" s="64" customFormat="1" x14ac:dyDescent="0.25">
      <c r="C57" s="65"/>
      <c r="D57" s="65"/>
      <c r="E57" s="65"/>
      <c r="H57" s="65"/>
      <c r="I57" s="66"/>
      <c r="J57" s="66"/>
      <c r="L57" s="65"/>
      <c r="M57" s="65"/>
      <c r="N57" s="65"/>
    </row>
    <row r="58" spans="3:14" s="64" customFormat="1" x14ac:dyDescent="0.25">
      <c r="C58" s="65"/>
      <c r="D58" s="65"/>
      <c r="E58" s="65"/>
      <c r="H58" s="65"/>
      <c r="I58" s="66"/>
      <c r="J58" s="66"/>
      <c r="L58" s="65"/>
      <c r="M58" s="65"/>
      <c r="N58" s="65"/>
    </row>
    <row r="59" spans="3:14" s="64" customFormat="1" x14ac:dyDescent="0.25">
      <c r="C59" s="65"/>
      <c r="D59" s="65"/>
      <c r="E59" s="65"/>
      <c r="H59" s="65"/>
      <c r="I59" s="66"/>
      <c r="J59" s="66"/>
      <c r="L59" s="65"/>
      <c r="M59" s="65"/>
      <c r="N59" s="65"/>
    </row>
    <row r="60" spans="3:14" s="64" customFormat="1" x14ac:dyDescent="0.25">
      <c r="C60" s="65"/>
      <c r="D60" s="65"/>
      <c r="E60" s="65"/>
      <c r="H60" s="65"/>
      <c r="I60" s="66"/>
      <c r="J60" s="66"/>
      <c r="L60" s="65"/>
      <c r="M60" s="65"/>
      <c r="N60" s="65"/>
    </row>
    <row r="61" spans="3:14" s="64" customFormat="1" x14ac:dyDescent="0.25">
      <c r="C61" s="65"/>
      <c r="D61" s="65"/>
      <c r="E61" s="65"/>
      <c r="H61" s="65"/>
      <c r="I61" s="66"/>
      <c r="J61" s="66"/>
      <c r="L61" s="65"/>
      <c r="M61" s="65"/>
      <c r="N61" s="65"/>
    </row>
    <row r="62" spans="3:14" s="64" customFormat="1" x14ac:dyDescent="0.25">
      <c r="C62" s="65"/>
      <c r="D62" s="65"/>
      <c r="E62" s="65"/>
      <c r="H62" s="65"/>
      <c r="I62" s="66"/>
      <c r="J62" s="66"/>
      <c r="L62" s="65"/>
      <c r="M62" s="65"/>
      <c r="N62" s="65"/>
    </row>
    <row r="63" spans="3:14" s="64" customFormat="1" x14ac:dyDescent="0.25">
      <c r="C63" s="65"/>
      <c r="D63" s="65"/>
      <c r="E63" s="65"/>
      <c r="H63" s="65"/>
      <c r="I63" s="66"/>
      <c r="J63" s="66"/>
      <c r="L63" s="65"/>
      <c r="M63" s="65"/>
      <c r="N63" s="65"/>
    </row>
    <row r="64" spans="3:14" s="64" customFormat="1" x14ac:dyDescent="0.25">
      <c r="C64" s="65"/>
      <c r="D64" s="65"/>
      <c r="E64" s="65"/>
      <c r="H64" s="65"/>
      <c r="I64" s="66"/>
      <c r="J64" s="66"/>
      <c r="L64" s="65"/>
      <c r="M64" s="65"/>
      <c r="N64" s="65"/>
    </row>
    <row r="65" spans="3:14" s="64" customFormat="1" x14ac:dyDescent="0.25">
      <c r="C65" s="65"/>
      <c r="D65" s="65"/>
      <c r="E65" s="65"/>
      <c r="H65" s="65"/>
      <c r="I65" s="66"/>
      <c r="J65" s="66"/>
      <c r="L65" s="65"/>
      <c r="M65" s="65"/>
      <c r="N65" s="65"/>
    </row>
    <row r="66" spans="3:14" s="64" customFormat="1" x14ac:dyDescent="0.25">
      <c r="C66" s="65"/>
      <c r="D66" s="65"/>
      <c r="E66" s="65"/>
      <c r="H66" s="65"/>
      <c r="I66" s="66"/>
      <c r="J66" s="66"/>
      <c r="L66" s="65"/>
      <c r="M66" s="65"/>
      <c r="N66" s="65"/>
    </row>
    <row r="67" spans="3:14" s="64" customFormat="1" x14ac:dyDescent="0.25">
      <c r="C67" s="65"/>
      <c r="D67" s="65"/>
      <c r="E67" s="65"/>
      <c r="H67" s="65"/>
      <c r="I67" s="66"/>
      <c r="J67" s="66"/>
      <c r="L67" s="65"/>
      <c r="M67" s="65"/>
      <c r="N67" s="65"/>
    </row>
    <row r="68" spans="3:14" s="64" customFormat="1" x14ac:dyDescent="0.25">
      <c r="C68" s="65"/>
      <c r="D68" s="65"/>
      <c r="E68" s="65"/>
      <c r="H68" s="65"/>
      <c r="I68" s="66"/>
      <c r="J68" s="66"/>
      <c r="L68" s="65"/>
      <c r="M68" s="65"/>
      <c r="N68" s="65"/>
    </row>
    <row r="69" spans="3:14" s="64" customFormat="1" x14ac:dyDescent="0.25">
      <c r="C69" s="65"/>
      <c r="D69" s="65"/>
      <c r="E69" s="65"/>
      <c r="H69" s="65"/>
      <c r="I69" s="66"/>
      <c r="J69" s="66"/>
      <c r="L69" s="65"/>
      <c r="M69" s="65"/>
      <c r="N69" s="65"/>
    </row>
    <row r="70" spans="3:14" s="64" customFormat="1" x14ac:dyDescent="0.25">
      <c r="C70" s="65"/>
      <c r="D70" s="65"/>
      <c r="E70" s="65"/>
      <c r="H70" s="65"/>
      <c r="I70" s="66"/>
      <c r="J70" s="66"/>
      <c r="L70" s="65"/>
      <c r="M70" s="65"/>
      <c r="N70" s="65"/>
    </row>
    <row r="71" spans="3:14" s="64" customFormat="1" x14ac:dyDescent="0.25">
      <c r="C71" s="65"/>
      <c r="D71" s="65"/>
      <c r="E71" s="65"/>
      <c r="H71" s="65"/>
      <c r="I71" s="66"/>
      <c r="J71" s="66"/>
      <c r="L71" s="65"/>
      <c r="M71" s="65"/>
      <c r="N71" s="65"/>
    </row>
    <row r="72" spans="3:14" s="64" customFormat="1" x14ac:dyDescent="0.25">
      <c r="C72" s="65"/>
      <c r="D72" s="65"/>
      <c r="E72" s="65"/>
      <c r="H72" s="65"/>
      <c r="I72" s="66"/>
      <c r="J72" s="66"/>
      <c r="L72" s="65"/>
      <c r="M72" s="65"/>
      <c r="N72" s="65"/>
    </row>
    <row r="73" spans="3:14" s="64" customFormat="1" x14ac:dyDescent="0.25">
      <c r="C73" s="65"/>
      <c r="D73" s="65"/>
      <c r="E73" s="65"/>
      <c r="H73" s="65"/>
      <c r="I73" s="66"/>
      <c r="J73" s="66"/>
      <c r="L73" s="65"/>
      <c r="M73" s="65"/>
      <c r="N73" s="65"/>
    </row>
    <row r="74" spans="3:14" s="64" customFormat="1" x14ac:dyDescent="0.25">
      <c r="C74" s="65"/>
      <c r="D74" s="65"/>
      <c r="E74" s="65"/>
      <c r="H74" s="65"/>
      <c r="I74" s="66"/>
      <c r="J74" s="66"/>
      <c r="L74" s="65"/>
      <c r="M74" s="65"/>
      <c r="N74" s="65"/>
    </row>
    <row r="75" spans="3:14" s="64" customFormat="1" x14ac:dyDescent="0.25">
      <c r="C75" s="65"/>
      <c r="D75" s="65"/>
      <c r="E75" s="65"/>
      <c r="H75" s="65"/>
      <c r="I75" s="66"/>
      <c r="J75" s="66"/>
      <c r="L75" s="65"/>
      <c r="M75" s="65"/>
      <c r="N75" s="65"/>
    </row>
  </sheetData>
  <mergeCells count="8">
    <mergeCell ref="F5:R5"/>
    <mergeCell ref="B6:C6"/>
    <mergeCell ref="E6:R6"/>
    <mergeCell ref="E7:F7"/>
    <mergeCell ref="H7:I7"/>
    <mergeCell ref="K7:L7"/>
    <mergeCell ref="N7:O7"/>
    <mergeCell ref="Q7:R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3"/>
  <sheetViews>
    <sheetView showGridLines="0" workbookViewId="0"/>
  </sheetViews>
  <sheetFormatPr baseColWidth="10" defaultColWidth="9.75" defaultRowHeight="15" x14ac:dyDescent="0.25"/>
  <cols>
    <col min="1" max="1" width="14.9140625" customWidth="1"/>
    <col min="2" max="2" width="6" customWidth="1"/>
    <col min="3" max="3" width="6.58203125" style="67" customWidth="1"/>
    <col min="4" max="4" width="0.9140625" style="67" customWidth="1"/>
    <col min="5" max="5" width="6" style="67" customWidth="1"/>
    <col min="6" max="6" width="6.75" customWidth="1"/>
    <col min="7" max="7" width="0.9140625" customWidth="1"/>
    <col min="8" max="8" width="5.58203125" style="67" customWidth="1"/>
    <col min="9" max="9" width="6.75" style="68" customWidth="1"/>
    <col min="10" max="10" width="0.9140625" style="68" customWidth="1"/>
    <col min="11" max="11" width="6.08203125" customWidth="1"/>
    <col min="12" max="12" width="6.33203125" style="67" customWidth="1"/>
    <col min="13" max="13" width="0.9140625" style="67" customWidth="1"/>
    <col min="14" max="14" width="5.9140625" style="67" customWidth="1"/>
    <col min="15" max="15" width="6.08203125" customWidth="1"/>
    <col min="16" max="16" width="0.9140625" customWidth="1"/>
    <col min="17" max="17" width="6.08203125" customWidth="1"/>
    <col min="18" max="18" width="5.58203125" customWidth="1"/>
  </cols>
  <sheetData>
    <row r="1" spans="1:70" s="32" customFormat="1" ht="15" customHeight="1" x14ac:dyDescent="0.25">
      <c r="A1" s="69" t="s">
        <v>58</v>
      </c>
      <c r="C1" s="33"/>
      <c r="D1" s="33"/>
      <c r="E1" s="33"/>
      <c r="H1" s="33"/>
      <c r="I1" s="34"/>
      <c r="J1" s="34"/>
      <c r="L1" s="33"/>
      <c r="M1" s="33"/>
      <c r="N1" s="33"/>
    </row>
    <row r="2" spans="1:70" s="32" customFormat="1" ht="15" customHeight="1" x14ac:dyDescent="0.25">
      <c r="A2" s="35" t="s">
        <v>63</v>
      </c>
      <c r="C2" s="33"/>
      <c r="D2" s="33"/>
      <c r="E2" s="33"/>
      <c r="H2" s="33"/>
      <c r="I2" s="34"/>
      <c r="J2" s="34"/>
      <c r="L2" s="33"/>
      <c r="M2" s="33"/>
      <c r="N2" s="33"/>
    </row>
    <row r="3" spans="1:70" s="32" customFormat="1" ht="15" customHeight="1" x14ac:dyDescent="0.25">
      <c r="A3" s="35" t="s">
        <v>64</v>
      </c>
      <c r="C3" s="33"/>
      <c r="D3" s="33"/>
      <c r="E3" s="33"/>
      <c r="H3" s="33"/>
      <c r="I3" s="34"/>
      <c r="J3" s="34"/>
      <c r="L3" s="33"/>
      <c r="M3" s="33"/>
      <c r="N3" s="33"/>
    </row>
    <row r="4" spans="1:70" s="32" customFormat="1" ht="15" customHeight="1" x14ac:dyDescent="0.25">
      <c r="A4" s="32" t="s">
        <v>65</v>
      </c>
      <c r="C4" s="33"/>
      <c r="D4" s="33"/>
      <c r="E4" s="33"/>
      <c r="H4" s="33"/>
      <c r="I4" s="34"/>
      <c r="J4" s="34"/>
      <c r="L4" s="33"/>
      <c r="M4" s="33"/>
      <c r="N4" s="33"/>
    </row>
    <row r="5" spans="1:70" s="32" customFormat="1" ht="9.3000000000000007" customHeight="1" x14ac:dyDescent="0.25">
      <c r="C5" s="33"/>
      <c r="D5" s="33"/>
      <c r="E5" s="33"/>
      <c r="H5" s="33"/>
      <c r="I5" s="34"/>
      <c r="J5" s="34"/>
      <c r="L5" s="33"/>
      <c r="M5" s="33"/>
      <c r="N5" s="33"/>
    </row>
    <row r="6" spans="1:70" s="32" customFormat="1" ht="13.05" customHeight="1" x14ac:dyDescent="0.25">
      <c r="A6" s="35"/>
      <c r="C6" s="33"/>
      <c r="D6" s="33"/>
      <c r="E6" s="33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</row>
    <row r="7" spans="1:70" s="32" customFormat="1" ht="13.05" customHeight="1" x14ac:dyDescent="0.25">
      <c r="A7" s="36" t="s">
        <v>66</v>
      </c>
      <c r="B7" s="36"/>
      <c r="C7" s="36"/>
      <c r="D7" s="36"/>
      <c r="E7" s="148" t="s">
        <v>67</v>
      </c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</row>
    <row r="8" spans="1:70" s="32" customFormat="1" ht="13.05" customHeight="1" x14ac:dyDescent="0.25">
      <c r="A8" s="37"/>
      <c r="B8" s="148" t="s">
        <v>68</v>
      </c>
      <c r="C8" s="148"/>
      <c r="D8" s="34"/>
      <c r="E8" s="149" t="s">
        <v>3</v>
      </c>
      <c r="F8" s="149"/>
      <c r="G8" s="34"/>
      <c r="H8" s="149" t="s">
        <v>4</v>
      </c>
      <c r="I8" s="149"/>
      <c r="J8" s="34"/>
      <c r="K8" s="149" t="s">
        <v>5</v>
      </c>
      <c r="L8" s="149"/>
      <c r="M8" s="34"/>
      <c r="N8" s="149" t="s">
        <v>6</v>
      </c>
      <c r="O8" s="149"/>
      <c r="P8" s="34"/>
      <c r="Q8" s="149" t="s">
        <v>7</v>
      </c>
      <c r="R8" s="149"/>
    </row>
    <row r="9" spans="1:70" s="32" customFormat="1" ht="13.05" customHeight="1" x14ac:dyDescent="0.25">
      <c r="A9" s="37"/>
      <c r="B9" s="38" t="s">
        <v>55</v>
      </c>
      <c r="C9" s="39" t="s">
        <v>46</v>
      </c>
      <c r="D9" s="39"/>
      <c r="E9" s="38" t="s">
        <v>55</v>
      </c>
      <c r="F9" s="39" t="s">
        <v>46</v>
      </c>
      <c r="G9" s="39"/>
      <c r="H9" s="38" t="s">
        <v>55</v>
      </c>
      <c r="I9" s="39" t="s">
        <v>46</v>
      </c>
      <c r="J9" s="39"/>
      <c r="K9" s="38" t="s">
        <v>55</v>
      </c>
      <c r="L9" s="39" t="s">
        <v>46</v>
      </c>
      <c r="M9" s="39"/>
      <c r="N9" s="38" t="s">
        <v>55</v>
      </c>
      <c r="O9" s="39" t="s">
        <v>46</v>
      </c>
      <c r="P9" s="39"/>
      <c r="Q9" s="38" t="s">
        <v>55</v>
      </c>
      <c r="R9" s="39" t="s">
        <v>46</v>
      </c>
    </row>
    <row r="10" spans="1:70" s="32" customFormat="1" ht="13.05" customHeight="1" x14ac:dyDescent="0.25">
      <c r="A10" s="37"/>
      <c r="B10" s="38" t="s">
        <v>47</v>
      </c>
      <c r="C10" s="38" t="s">
        <v>56</v>
      </c>
      <c r="D10" s="38"/>
      <c r="E10" s="38" t="s">
        <v>47</v>
      </c>
      <c r="F10" s="38" t="s">
        <v>56</v>
      </c>
      <c r="G10" s="38"/>
      <c r="H10" s="38" t="s">
        <v>47</v>
      </c>
      <c r="I10" s="38" t="s">
        <v>56</v>
      </c>
      <c r="J10" s="38"/>
      <c r="K10" s="38" t="s">
        <v>47</v>
      </c>
      <c r="L10" s="38" t="s">
        <v>56</v>
      </c>
      <c r="M10" s="38"/>
      <c r="N10" s="38" t="s">
        <v>47</v>
      </c>
      <c r="O10" s="38" t="s">
        <v>56</v>
      </c>
      <c r="P10" s="38"/>
      <c r="Q10" s="38" t="s">
        <v>47</v>
      </c>
      <c r="R10" s="38" t="s">
        <v>56</v>
      </c>
    </row>
    <row r="11" spans="1:70" s="32" customFormat="1" ht="13.05" customHeight="1" x14ac:dyDescent="0.25">
      <c r="A11" s="37"/>
      <c r="B11" s="16"/>
      <c r="C11" s="48"/>
      <c r="D11" s="48"/>
      <c r="E11" s="48"/>
      <c r="F11" s="48"/>
      <c r="G11" s="48"/>
      <c r="H11" s="48"/>
      <c r="I11" s="49"/>
      <c r="J11" s="49"/>
      <c r="K11" s="48"/>
      <c r="L11" s="48"/>
      <c r="M11" s="48"/>
      <c r="N11" s="48"/>
      <c r="O11" s="50"/>
      <c r="P11" s="50"/>
      <c r="Q11" s="48"/>
      <c r="R11" s="48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s="32" customFormat="1" ht="13.05" customHeight="1" x14ac:dyDescent="0.25">
      <c r="A12" s="36" t="s">
        <v>69</v>
      </c>
      <c r="B12" s="9">
        <v>1728</v>
      </c>
      <c r="C12" s="55">
        <v>646006.75</v>
      </c>
      <c r="D12" s="55"/>
      <c r="E12" s="55">
        <v>1359</v>
      </c>
      <c r="F12" s="55">
        <v>457756.82</v>
      </c>
      <c r="G12" s="55"/>
      <c r="H12" s="55">
        <v>298</v>
      </c>
      <c r="I12" s="55">
        <v>135008.42000000001</v>
      </c>
      <c r="J12" s="55"/>
      <c r="K12" s="55">
        <v>54</v>
      </c>
      <c r="L12" s="55">
        <v>50818.13</v>
      </c>
      <c r="M12" s="55"/>
      <c r="N12" s="55">
        <v>11</v>
      </c>
      <c r="O12" s="55">
        <v>2423.38</v>
      </c>
      <c r="P12" s="3"/>
      <c r="Q12" s="55">
        <v>6</v>
      </c>
      <c r="R12" s="55" t="s">
        <v>20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s="40" customFormat="1" ht="9.3000000000000007" customHeight="1" x14ac:dyDescent="0.25">
      <c r="A13" s="3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s="40" customFormat="1" ht="13.05" customHeight="1" x14ac:dyDescent="0.25">
      <c r="A14" s="36" t="s">
        <v>0</v>
      </c>
      <c r="B14" s="9">
        <v>406</v>
      </c>
      <c r="C14" s="55">
        <v>506442.19</v>
      </c>
      <c r="D14" s="3"/>
      <c r="E14" s="55">
        <v>314</v>
      </c>
      <c r="F14" s="55">
        <v>380964.94</v>
      </c>
      <c r="G14" s="3"/>
      <c r="H14" s="55">
        <v>73</v>
      </c>
      <c r="I14" s="55">
        <v>100448.4</v>
      </c>
      <c r="J14" s="3"/>
      <c r="K14" s="55">
        <v>16</v>
      </c>
      <c r="L14" s="55">
        <v>24240.85</v>
      </c>
      <c r="M14" s="3"/>
      <c r="N14" s="55">
        <v>3</v>
      </c>
      <c r="O14" s="55">
        <v>788</v>
      </c>
      <c r="P14" s="3"/>
      <c r="Q14" s="55" t="s">
        <v>20</v>
      </c>
      <c r="R14" s="55" t="s">
        <v>20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s="40" customFormat="1" ht="9.3000000000000007" customHeight="1" x14ac:dyDescent="0.25">
      <c r="A15" s="36"/>
      <c r="B15" s="9"/>
      <c r="C15" s="55"/>
      <c r="D15" s="3"/>
      <c r="E15" s="55"/>
      <c r="F15" s="55"/>
      <c r="G15" s="3"/>
      <c r="H15" s="55"/>
      <c r="I15" s="55"/>
      <c r="J15" s="3"/>
      <c r="K15" s="55"/>
      <c r="L15" s="55"/>
      <c r="M15" s="3"/>
      <c r="N15" s="55"/>
      <c r="O15" s="55"/>
      <c r="P15" s="3"/>
      <c r="Q15" s="55"/>
      <c r="R15" s="55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s="40" customFormat="1" ht="13.05" customHeight="1" x14ac:dyDescent="0.25">
      <c r="A16" s="36" t="s">
        <v>23</v>
      </c>
      <c r="B16" s="9">
        <v>27</v>
      </c>
      <c r="C16" s="55">
        <v>592.37</v>
      </c>
      <c r="D16" s="3"/>
      <c r="E16" s="55">
        <v>19</v>
      </c>
      <c r="F16" s="55">
        <v>338.64</v>
      </c>
      <c r="G16" s="3"/>
      <c r="H16" s="55">
        <v>6</v>
      </c>
      <c r="I16" s="55">
        <v>225.73</v>
      </c>
      <c r="J16" s="3"/>
      <c r="K16" s="55" t="s">
        <v>20</v>
      </c>
      <c r="L16" s="55" t="s">
        <v>20</v>
      </c>
      <c r="M16" s="3"/>
      <c r="N16" s="55">
        <v>2</v>
      </c>
      <c r="O16" s="55">
        <v>28</v>
      </c>
      <c r="P16" s="3"/>
      <c r="Q16" s="55" t="s">
        <v>20</v>
      </c>
      <c r="R16" s="55" t="s">
        <v>20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 s="40" customFormat="1" ht="9.3000000000000007" customHeight="1" x14ac:dyDescent="0.25">
      <c r="A17" s="36"/>
      <c r="B17" s="9"/>
      <c r="C17" s="55"/>
      <c r="D17" s="3"/>
      <c r="E17" s="55"/>
      <c r="F17" s="55"/>
      <c r="G17" s="3"/>
      <c r="H17" s="55"/>
      <c r="I17" s="55"/>
      <c r="J17" s="3"/>
      <c r="K17" s="55"/>
      <c r="L17" s="55"/>
      <c r="M17" s="3"/>
      <c r="N17" s="55"/>
      <c r="O17" s="55"/>
      <c r="P17" s="3"/>
      <c r="Q17" s="55"/>
      <c r="R17" s="5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 s="40" customFormat="1" ht="13.05" customHeight="1" x14ac:dyDescent="0.25">
      <c r="A18" s="36" t="s">
        <v>1</v>
      </c>
      <c r="B18" s="9">
        <v>69</v>
      </c>
      <c r="C18" s="55" t="s">
        <v>20</v>
      </c>
      <c r="D18" s="3"/>
      <c r="E18" s="55">
        <v>34</v>
      </c>
      <c r="F18" s="55" t="s">
        <v>20</v>
      </c>
      <c r="G18" s="3"/>
      <c r="H18" s="55">
        <v>32</v>
      </c>
      <c r="I18" s="55" t="s">
        <v>20</v>
      </c>
      <c r="J18" s="3"/>
      <c r="K18" s="55">
        <v>3</v>
      </c>
      <c r="L18" s="55" t="s">
        <v>20</v>
      </c>
      <c r="M18" s="3"/>
      <c r="N18" s="55" t="s">
        <v>20</v>
      </c>
      <c r="O18" s="55" t="s">
        <v>20</v>
      </c>
      <c r="P18" s="3"/>
      <c r="Q18" s="55" t="s">
        <v>20</v>
      </c>
      <c r="R18" s="55" t="s">
        <v>20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 s="40" customFormat="1" ht="9.3000000000000007" customHeight="1" x14ac:dyDescent="0.25">
      <c r="A19" s="36"/>
      <c r="B19" s="9"/>
      <c r="C19" s="55"/>
      <c r="D19" s="3"/>
      <c r="E19" s="55"/>
      <c r="F19" s="55"/>
      <c r="G19" s="3"/>
      <c r="H19" s="55"/>
      <c r="I19" s="55"/>
      <c r="J19" s="3"/>
      <c r="K19" s="55"/>
      <c r="L19" s="55"/>
      <c r="M19" s="3"/>
      <c r="N19" s="55"/>
      <c r="O19" s="55"/>
      <c r="P19" s="3"/>
      <c r="Q19" s="55"/>
      <c r="R19" s="5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 s="40" customFormat="1" ht="13.05" customHeight="1" x14ac:dyDescent="0.25">
      <c r="A20" s="36" t="s">
        <v>2</v>
      </c>
      <c r="B20" s="9">
        <v>430</v>
      </c>
      <c r="C20" s="55">
        <v>52905.03</v>
      </c>
      <c r="D20" s="3"/>
      <c r="E20" s="55">
        <v>372</v>
      </c>
      <c r="F20" s="55">
        <v>31152.19</v>
      </c>
      <c r="G20" s="3"/>
      <c r="H20" s="55">
        <v>42</v>
      </c>
      <c r="I20" s="55">
        <v>7776.01</v>
      </c>
      <c r="J20" s="3"/>
      <c r="K20" s="55">
        <v>14</v>
      </c>
      <c r="L20" s="55">
        <v>13850.83</v>
      </c>
      <c r="M20" s="3"/>
      <c r="N20" s="55">
        <v>2</v>
      </c>
      <c r="O20" s="55">
        <v>126</v>
      </c>
      <c r="P20" s="3"/>
      <c r="Q20" s="55" t="s">
        <v>20</v>
      </c>
      <c r="R20" s="55" t="s">
        <v>20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 s="40" customFormat="1" ht="9.3000000000000007" customHeight="1" x14ac:dyDescent="0.25">
      <c r="A21" s="36"/>
      <c r="B21" s="9"/>
      <c r="C21" s="55"/>
      <c r="D21" s="3"/>
      <c r="E21" s="55"/>
      <c r="F21" s="55"/>
      <c r="G21" s="3"/>
      <c r="H21" s="55"/>
      <c r="I21" s="55"/>
      <c r="J21" s="3"/>
      <c r="K21" s="55"/>
      <c r="L21" s="55"/>
      <c r="M21" s="3"/>
      <c r="N21" s="55"/>
      <c r="O21" s="55"/>
      <c r="P21" s="3"/>
      <c r="Q21" s="55"/>
      <c r="R21" s="5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 s="40" customFormat="1" ht="13.05" customHeight="1" x14ac:dyDescent="0.25">
      <c r="A22" s="36" t="s">
        <v>9</v>
      </c>
    </row>
    <row r="23" spans="1:70" s="40" customFormat="1" ht="13.05" customHeight="1" x14ac:dyDescent="0.25">
      <c r="A23" s="36" t="s">
        <v>61</v>
      </c>
      <c r="B23" s="9">
        <v>7</v>
      </c>
      <c r="C23" s="55" t="s">
        <v>20</v>
      </c>
      <c r="D23" s="57"/>
      <c r="E23" s="55">
        <v>7</v>
      </c>
      <c r="F23" s="55" t="s">
        <v>20</v>
      </c>
      <c r="G23" s="57"/>
      <c r="H23" s="55" t="s">
        <v>20</v>
      </c>
      <c r="I23" s="55" t="s">
        <v>20</v>
      </c>
      <c r="J23" s="57"/>
      <c r="K23" s="55" t="s">
        <v>20</v>
      </c>
      <c r="L23" s="55" t="s">
        <v>20</v>
      </c>
      <c r="M23" s="57"/>
      <c r="N23" s="55" t="s">
        <v>20</v>
      </c>
      <c r="O23" s="55" t="s">
        <v>20</v>
      </c>
      <c r="P23" s="57"/>
      <c r="Q23" s="55" t="s">
        <v>20</v>
      </c>
      <c r="R23" s="55" t="s">
        <v>20</v>
      </c>
    </row>
    <row r="24" spans="1:70" s="40" customFormat="1" ht="9.3000000000000007" customHeight="1" x14ac:dyDescent="0.25">
      <c r="A24" s="36"/>
      <c r="B24" s="9"/>
      <c r="C24" s="55"/>
      <c r="D24" s="57"/>
      <c r="E24" s="55"/>
      <c r="F24" s="55"/>
      <c r="G24" s="57"/>
      <c r="H24" s="55"/>
      <c r="I24" s="55"/>
      <c r="J24" s="57"/>
      <c r="K24" s="55"/>
      <c r="L24" s="55"/>
      <c r="M24" s="57"/>
      <c r="N24" s="55"/>
      <c r="O24" s="55"/>
      <c r="P24" s="57"/>
      <c r="Q24" s="55"/>
      <c r="R24" s="55"/>
    </row>
    <row r="25" spans="1:70" s="40" customFormat="1" ht="13.05" customHeight="1" x14ac:dyDescent="0.25">
      <c r="A25" s="36" t="s">
        <v>43</v>
      </c>
      <c r="B25" s="9">
        <v>411</v>
      </c>
      <c r="C25" s="55">
        <v>85459.78</v>
      </c>
      <c r="D25" s="3"/>
      <c r="E25" s="55">
        <v>307</v>
      </c>
      <c r="F25" s="55">
        <v>45301.05</v>
      </c>
      <c r="G25" s="3"/>
      <c r="H25" s="55">
        <v>85</v>
      </c>
      <c r="I25" s="55">
        <v>26558.28</v>
      </c>
      <c r="J25" s="3"/>
      <c r="K25" s="55">
        <v>18</v>
      </c>
      <c r="L25" s="55">
        <v>12726.45</v>
      </c>
      <c r="M25" s="3"/>
      <c r="N25" s="55">
        <v>1</v>
      </c>
      <c r="O25" s="55">
        <v>874</v>
      </c>
      <c r="P25" s="3"/>
      <c r="Q25" s="55" t="s">
        <v>20</v>
      </c>
      <c r="R25" s="55" t="s">
        <v>20</v>
      </c>
    </row>
    <row r="26" spans="1:70" s="40" customFormat="1" ht="9.3000000000000007" customHeight="1" x14ac:dyDescent="0.25">
      <c r="A26" s="36"/>
      <c r="B26" s="9"/>
      <c r="C26" s="55"/>
      <c r="D26" s="3"/>
      <c r="E26" s="55"/>
      <c r="F26" s="55"/>
      <c r="G26" s="3"/>
      <c r="H26" s="55"/>
      <c r="I26" s="55"/>
      <c r="J26" s="3"/>
      <c r="K26" s="55"/>
      <c r="L26" s="55"/>
      <c r="M26" s="3"/>
      <c r="N26" s="55"/>
      <c r="O26" s="55"/>
      <c r="P26" s="3"/>
      <c r="Q26" s="55"/>
      <c r="R26" s="55"/>
    </row>
    <row r="27" spans="1:70" s="40" customFormat="1" ht="13.05" customHeight="1" x14ac:dyDescent="0.25">
      <c r="A27" s="36" t="s">
        <v>8</v>
      </c>
      <c r="B27" s="9">
        <v>1</v>
      </c>
      <c r="C27" s="55">
        <v>607.38</v>
      </c>
      <c r="D27" s="3"/>
      <c r="E27" s="55" t="s">
        <v>20</v>
      </c>
      <c r="F27" s="55" t="s">
        <v>20</v>
      </c>
      <c r="G27" s="3"/>
      <c r="H27" s="55" t="s">
        <v>20</v>
      </c>
      <c r="I27" s="55" t="s">
        <v>20</v>
      </c>
      <c r="J27" s="3"/>
      <c r="K27" s="55" t="s">
        <v>20</v>
      </c>
      <c r="L27" s="55" t="s">
        <v>20</v>
      </c>
      <c r="M27" s="3"/>
      <c r="N27" s="55">
        <v>1</v>
      </c>
      <c r="O27" s="55">
        <v>607.38</v>
      </c>
      <c r="P27" s="3"/>
      <c r="Q27" s="55" t="s">
        <v>20</v>
      </c>
      <c r="R27" s="55" t="s">
        <v>20</v>
      </c>
    </row>
    <row r="28" spans="1:70" s="40" customFormat="1" ht="9.3000000000000007" customHeight="1" x14ac:dyDescent="0.25">
      <c r="A28" s="36"/>
      <c r="B28" s="9"/>
      <c r="C28" s="55"/>
      <c r="D28" s="3"/>
      <c r="E28" s="55"/>
      <c r="F28" s="55"/>
      <c r="G28" s="3"/>
      <c r="H28" s="55"/>
      <c r="I28" s="55"/>
      <c r="J28" s="3"/>
      <c r="K28" s="55"/>
      <c r="L28" s="55"/>
      <c r="M28" s="3"/>
      <c r="N28" s="55"/>
      <c r="O28" s="55"/>
      <c r="P28" s="3"/>
      <c r="Q28" s="55"/>
      <c r="R28" s="55"/>
    </row>
    <row r="29" spans="1:70" s="40" customFormat="1" ht="13.05" customHeight="1" x14ac:dyDescent="0.25">
      <c r="A29" s="36" t="s">
        <v>7</v>
      </c>
      <c r="B29" s="9">
        <v>377</v>
      </c>
      <c r="C29" s="55" t="s">
        <v>20</v>
      </c>
      <c r="D29" s="3"/>
      <c r="E29" s="55">
        <v>306</v>
      </c>
      <c r="F29" s="55" t="s">
        <v>20</v>
      </c>
      <c r="G29" s="3"/>
      <c r="H29" s="55">
        <v>60</v>
      </c>
      <c r="I29" s="55" t="s">
        <v>20</v>
      </c>
      <c r="J29" s="3"/>
      <c r="K29" s="55">
        <v>3</v>
      </c>
      <c r="L29" s="55" t="s">
        <v>20</v>
      </c>
      <c r="M29" s="3"/>
      <c r="N29" s="55">
        <v>2</v>
      </c>
      <c r="O29" s="55" t="s">
        <v>20</v>
      </c>
      <c r="P29" s="3"/>
      <c r="Q29" s="55">
        <v>6</v>
      </c>
      <c r="R29" s="55" t="s">
        <v>20</v>
      </c>
    </row>
    <row r="30" spans="1:70" s="40" customFormat="1" ht="9.3000000000000007" customHeight="1" x14ac:dyDescent="0.25">
      <c r="A30" s="37"/>
      <c r="B30" s="3"/>
      <c r="C30" s="3"/>
      <c r="D30" s="3"/>
      <c r="E30" s="3"/>
      <c r="F30" s="3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spans="1:70" s="32" customFormat="1" ht="9.3000000000000007" customHeight="1" x14ac:dyDescent="0.25">
      <c r="A31" s="37"/>
      <c r="B31" s="37"/>
      <c r="C31" s="37"/>
      <c r="D31" s="37"/>
      <c r="E31" s="37"/>
      <c r="F31" s="37"/>
      <c r="G31" s="37"/>
      <c r="H31" s="37"/>
      <c r="I31" s="41"/>
      <c r="J31" s="41"/>
      <c r="K31" s="37"/>
      <c r="L31" s="37"/>
      <c r="M31" s="37"/>
      <c r="N31" s="37"/>
      <c r="O31" s="37"/>
      <c r="P31" s="37"/>
      <c r="Q31" s="37"/>
      <c r="R31" s="37"/>
    </row>
    <row r="32" spans="1:70" s="32" customFormat="1" ht="13.05" customHeight="1" x14ac:dyDescent="0.25">
      <c r="A32" s="35" t="s">
        <v>70</v>
      </c>
      <c r="C32" s="33"/>
      <c r="D32" s="33"/>
      <c r="E32" s="33"/>
      <c r="H32" s="33"/>
      <c r="I32" s="34"/>
      <c r="J32" s="34"/>
      <c r="L32" s="33"/>
      <c r="M32" s="33"/>
      <c r="N32" s="33"/>
    </row>
    <row r="33" spans="1:18" s="32" customFormat="1" ht="13.05" customHeight="1" x14ac:dyDescent="0.25">
      <c r="A33" s="35" t="s">
        <v>71</v>
      </c>
      <c r="C33" s="33"/>
      <c r="D33" s="33"/>
      <c r="E33" s="33"/>
      <c r="H33" s="33"/>
      <c r="I33" s="34"/>
      <c r="J33" s="34"/>
      <c r="L33" s="33"/>
      <c r="M33" s="33"/>
      <c r="N33" s="33"/>
    </row>
    <row r="34" spans="1:18" s="32" customFormat="1" ht="13.05" customHeight="1" x14ac:dyDescent="0.25">
      <c r="A34" s="35" t="s">
        <v>72</v>
      </c>
      <c r="C34" s="33"/>
      <c r="D34" s="33"/>
      <c r="E34" s="33"/>
      <c r="H34" s="33"/>
      <c r="I34" s="34"/>
      <c r="J34" s="34"/>
      <c r="L34" s="33"/>
      <c r="M34" s="33"/>
      <c r="N34" s="33"/>
    </row>
    <row r="35" spans="1:18" s="32" customFormat="1" ht="9.3000000000000007" customHeight="1" x14ac:dyDescent="0.25">
      <c r="A35" s="35" t="s">
        <v>44</v>
      </c>
      <c r="C35" s="33"/>
      <c r="D35" s="33"/>
      <c r="E35" s="33"/>
      <c r="H35" s="33"/>
      <c r="I35" s="34"/>
      <c r="J35" s="34"/>
      <c r="L35" s="33"/>
      <c r="M35" s="33"/>
      <c r="N35" s="33"/>
    </row>
    <row r="36" spans="1:18" s="1" customFormat="1" ht="13.05" customHeight="1" x14ac:dyDescent="0.25">
      <c r="I36" s="2"/>
      <c r="J36" s="2"/>
    </row>
    <row r="37" spans="1:18" s="1" customFormat="1" ht="13.05" customHeight="1" x14ac:dyDescent="0.25">
      <c r="A37" s="14"/>
      <c r="B37" s="70"/>
      <c r="C37" s="70"/>
      <c r="D37" s="70"/>
      <c r="E37" s="71"/>
      <c r="F37" s="70"/>
      <c r="G37" s="70"/>
      <c r="H37" s="70"/>
      <c r="I37" s="72"/>
      <c r="J37" s="72"/>
      <c r="K37" s="70"/>
      <c r="L37" s="70"/>
      <c r="M37" s="70"/>
      <c r="N37" s="71"/>
      <c r="O37" s="70"/>
      <c r="P37" s="70"/>
      <c r="Q37" s="70"/>
      <c r="R37" s="73"/>
    </row>
    <row r="38" spans="1:18" s="1" customFormat="1" ht="9.3000000000000007" customHeight="1" x14ac:dyDescent="0.25">
      <c r="A38" s="14"/>
      <c r="B38" s="71"/>
      <c r="C38" s="71"/>
      <c r="D38" s="71"/>
      <c r="E38" s="71"/>
      <c r="F38" s="71"/>
      <c r="G38" s="71"/>
      <c r="H38" s="71"/>
      <c r="I38" s="72"/>
      <c r="J38" s="72"/>
      <c r="K38" s="71"/>
      <c r="L38" s="71"/>
      <c r="M38" s="71"/>
      <c r="N38" s="71"/>
      <c r="O38" s="71"/>
      <c r="P38" s="71"/>
      <c r="Q38" s="71"/>
      <c r="R38" s="71"/>
    </row>
    <row r="39" spans="1:18" s="1" customFormat="1" ht="13.05" customHeight="1" x14ac:dyDescent="0.25">
      <c r="I39" s="2"/>
      <c r="J39" s="2"/>
    </row>
    <row r="40" spans="1:18" s="1" customFormat="1" ht="13.05" customHeight="1" x14ac:dyDescent="0.25">
      <c r="A40" s="14"/>
      <c r="B40" s="70"/>
      <c r="C40" s="70"/>
      <c r="D40" s="70"/>
      <c r="E40" s="71"/>
      <c r="F40" s="70"/>
      <c r="G40" s="70"/>
      <c r="H40" s="70"/>
      <c r="I40" s="72"/>
      <c r="J40" s="72"/>
      <c r="K40" s="70"/>
      <c r="L40" s="70"/>
      <c r="M40" s="70"/>
      <c r="N40" s="71"/>
      <c r="O40" s="70"/>
      <c r="P40" s="70"/>
      <c r="Q40" s="70"/>
      <c r="R40" s="73"/>
    </row>
    <row r="41" spans="1:18" s="1" customFormat="1" ht="9.3000000000000007" customHeight="1" x14ac:dyDescent="0.25">
      <c r="A41" s="14"/>
      <c r="B41" s="70"/>
      <c r="C41" s="70"/>
      <c r="D41" s="70"/>
      <c r="E41" s="71"/>
      <c r="F41" s="70"/>
      <c r="G41" s="70"/>
      <c r="H41" s="70"/>
      <c r="I41" s="72"/>
      <c r="J41" s="72"/>
      <c r="K41" s="70"/>
      <c r="L41" s="70"/>
      <c r="M41" s="70"/>
      <c r="N41" s="71"/>
      <c r="O41" s="70"/>
      <c r="P41" s="70"/>
      <c r="Q41" s="70"/>
      <c r="R41" s="73"/>
    </row>
    <row r="42" spans="1:18" s="1" customFormat="1" ht="13.05" customHeight="1" x14ac:dyDescent="0.25">
      <c r="A42" s="14"/>
      <c r="B42" s="71"/>
      <c r="C42" s="71"/>
      <c r="D42" s="71"/>
      <c r="E42" s="71"/>
      <c r="F42" s="71"/>
      <c r="G42" s="71"/>
      <c r="H42" s="71"/>
      <c r="I42" s="72"/>
      <c r="J42" s="72"/>
      <c r="K42" s="71"/>
      <c r="L42" s="71"/>
      <c r="M42" s="71"/>
      <c r="N42" s="71"/>
      <c r="O42" s="71"/>
      <c r="P42" s="71"/>
      <c r="Q42" s="71"/>
      <c r="R42" s="71"/>
    </row>
    <row r="43" spans="1:18" s="1" customFormat="1" ht="9.3000000000000007" customHeight="1" x14ac:dyDescent="0.25">
      <c r="A43" s="14"/>
      <c r="B43" s="71"/>
      <c r="C43" s="71"/>
      <c r="D43" s="71"/>
      <c r="E43" s="71"/>
      <c r="F43" s="71"/>
      <c r="G43" s="71"/>
      <c r="H43" s="71"/>
      <c r="I43" s="72"/>
      <c r="J43" s="72"/>
      <c r="K43" s="71"/>
      <c r="L43" s="71"/>
      <c r="M43" s="71"/>
      <c r="N43" s="71"/>
      <c r="O43" s="71"/>
      <c r="P43" s="71"/>
      <c r="Q43" s="71"/>
      <c r="R43" s="71"/>
    </row>
    <row r="44" spans="1:18" s="1" customFormat="1" ht="9.3000000000000007" customHeight="1" x14ac:dyDescent="0.25">
      <c r="I44" s="2"/>
      <c r="J44" s="2"/>
    </row>
    <row r="45" spans="1:18" s="1" customFormat="1" ht="13.05" customHeight="1" x14ac:dyDescent="0.25">
      <c r="A45" s="14"/>
      <c r="C45" s="13"/>
      <c r="D45" s="13"/>
      <c r="E45" s="13"/>
      <c r="H45" s="13"/>
      <c r="I45" s="2"/>
      <c r="J45" s="2"/>
      <c r="L45" s="13"/>
      <c r="M45" s="13"/>
      <c r="N45" s="13"/>
    </row>
    <row r="46" spans="1:18" s="1" customFormat="1" ht="13.05" customHeight="1" x14ac:dyDescent="0.25">
      <c r="A46" s="14"/>
      <c r="C46" s="13"/>
      <c r="D46" s="13"/>
      <c r="E46" s="13"/>
      <c r="H46" s="13"/>
      <c r="I46" s="2"/>
      <c r="J46" s="2"/>
      <c r="L46" s="13"/>
      <c r="M46" s="13"/>
      <c r="N46" s="13"/>
    </row>
    <row r="47" spans="1:18" s="1" customFormat="1" ht="13.05" customHeight="1" x14ac:dyDescent="0.25">
      <c r="A47" s="14"/>
      <c r="C47" s="13"/>
      <c r="D47" s="13"/>
      <c r="E47" s="13"/>
      <c r="H47" s="13"/>
      <c r="I47" s="2"/>
      <c r="J47" s="2"/>
      <c r="L47" s="13"/>
      <c r="M47" s="13"/>
      <c r="N47" s="13"/>
    </row>
    <row r="48" spans="1:18" s="1" customFormat="1" ht="9.3000000000000007" customHeight="1" x14ac:dyDescent="0.25">
      <c r="A48" s="14"/>
      <c r="C48" s="13"/>
      <c r="D48" s="13"/>
      <c r="E48" s="13"/>
      <c r="H48" s="13"/>
      <c r="I48" s="2"/>
      <c r="J48" s="2"/>
      <c r="L48" s="13"/>
      <c r="M48" s="13"/>
      <c r="N48" s="13"/>
    </row>
    <row r="49" spans="3:14" s="64" customFormat="1" ht="13.05" customHeight="1" x14ac:dyDescent="0.25">
      <c r="C49" s="65"/>
      <c r="D49" s="65"/>
      <c r="E49" s="65"/>
      <c r="H49" s="65"/>
      <c r="I49" s="66"/>
      <c r="J49" s="66"/>
      <c r="L49" s="65"/>
      <c r="M49" s="65"/>
      <c r="N49" s="65"/>
    </row>
    <row r="50" spans="3:14" s="64" customFormat="1" x14ac:dyDescent="0.25">
      <c r="C50" s="65"/>
      <c r="D50" s="65"/>
      <c r="E50" s="65"/>
      <c r="H50" s="65"/>
      <c r="I50" s="66"/>
      <c r="J50" s="66"/>
      <c r="L50" s="65"/>
      <c r="M50" s="65"/>
      <c r="N50" s="65"/>
    </row>
    <row r="51" spans="3:14" s="64" customFormat="1" x14ac:dyDescent="0.25">
      <c r="C51" s="65"/>
      <c r="D51" s="65"/>
      <c r="E51" s="65"/>
      <c r="H51" s="65"/>
      <c r="I51" s="66"/>
      <c r="J51" s="66"/>
      <c r="L51" s="65"/>
      <c r="M51" s="65"/>
      <c r="N51" s="65"/>
    </row>
    <row r="52" spans="3:14" s="64" customFormat="1" x14ac:dyDescent="0.25">
      <c r="C52" s="65"/>
      <c r="D52" s="65"/>
      <c r="E52" s="65"/>
      <c r="H52" s="65"/>
      <c r="I52" s="66"/>
      <c r="J52" s="66"/>
      <c r="L52" s="65"/>
      <c r="M52" s="65"/>
      <c r="N52" s="65"/>
    </row>
    <row r="53" spans="3:14" s="64" customFormat="1" x14ac:dyDescent="0.25">
      <c r="C53" s="65"/>
      <c r="D53" s="65"/>
      <c r="E53" s="65"/>
      <c r="H53" s="65"/>
      <c r="I53" s="66"/>
      <c r="J53" s="66"/>
      <c r="L53" s="65"/>
      <c r="M53" s="65"/>
      <c r="N53" s="65"/>
    </row>
    <row r="54" spans="3:14" s="64" customFormat="1" x14ac:dyDescent="0.25">
      <c r="C54" s="65"/>
      <c r="D54" s="65"/>
      <c r="E54" s="65"/>
      <c r="H54" s="65"/>
      <c r="I54" s="66"/>
      <c r="J54" s="66"/>
      <c r="L54" s="65"/>
      <c r="M54" s="65"/>
      <c r="N54" s="65"/>
    </row>
    <row r="55" spans="3:14" s="64" customFormat="1" x14ac:dyDescent="0.25">
      <c r="C55" s="65"/>
      <c r="D55" s="65"/>
      <c r="E55" s="65"/>
      <c r="H55" s="65"/>
      <c r="I55" s="66"/>
      <c r="J55" s="66"/>
      <c r="L55" s="65"/>
      <c r="M55" s="65"/>
      <c r="N55" s="65"/>
    </row>
    <row r="56" spans="3:14" s="64" customFormat="1" x14ac:dyDescent="0.25">
      <c r="C56" s="65"/>
      <c r="D56" s="65"/>
      <c r="E56" s="65"/>
      <c r="H56" s="65"/>
      <c r="I56" s="66"/>
      <c r="J56" s="66"/>
      <c r="L56" s="65"/>
      <c r="M56" s="65"/>
      <c r="N56" s="65"/>
    </row>
    <row r="57" spans="3:14" s="64" customFormat="1" x14ac:dyDescent="0.25">
      <c r="C57" s="65"/>
      <c r="D57" s="65"/>
      <c r="E57" s="65"/>
      <c r="H57" s="65"/>
      <c r="I57" s="66"/>
      <c r="J57" s="66"/>
      <c r="L57" s="65"/>
      <c r="M57" s="65"/>
      <c r="N57" s="65"/>
    </row>
    <row r="58" spans="3:14" s="64" customFormat="1" x14ac:dyDescent="0.25">
      <c r="C58" s="65"/>
      <c r="D58" s="65"/>
      <c r="E58" s="65"/>
      <c r="H58" s="65"/>
      <c r="I58" s="66"/>
      <c r="J58" s="66"/>
      <c r="L58" s="65"/>
      <c r="M58" s="65"/>
      <c r="N58" s="65"/>
    </row>
    <row r="59" spans="3:14" s="64" customFormat="1" x14ac:dyDescent="0.25">
      <c r="C59" s="65"/>
      <c r="D59" s="65"/>
      <c r="E59" s="65"/>
      <c r="H59" s="65"/>
      <c r="I59" s="66"/>
      <c r="J59" s="66"/>
      <c r="L59" s="65"/>
      <c r="M59" s="65"/>
      <c r="N59" s="65"/>
    </row>
    <row r="60" spans="3:14" s="64" customFormat="1" x14ac:dyDescent="0.25">
      <c r="C60" s="65"/>
      <c r="D60" s="65"/>
      <c r="E60" s="65"/>
      <c r="H60" s="65"/>
      <c r="I60" s="66"/>
      <c r="J60" s="66"/>
      <c r="L60" s="65"/>
      <c r="M60" s="65"/>
      <c r="N60" s="65"/>
    </row>
    <row r="61" spans="3:14" s="64" customFormat="1" x14ac:dyDescent="0.25">
      <c r="C61" s="65"/>
      <c r="D61" s="65"/>
      <c r="E61" s="65"/>
      <c r="H61" s="65"/>
      <c r="I61" s="66"/>
      <c r="J61" s="66"/>
      <c r="L61" s="65"/>
      <c r="M61" s="65"/>
      <c r="N61" s="65"/>
    </row>
    <row r="62" spans="3:14" s="64" customFormat="1" x14ac:dyDescent="0.25">
      <c r="C62" s="65"/>
      <c r="D62" s="65"/>
      <c r="E62" s="65"/>
      <c r="H62" s="65"/>
      <c r="I62" s="66"/>
      <c r="J62" s="66"/>
      <c r="L62" s="65"/>
      <c r="M62" s="65"/>
      <c r="N62" s="65"/>
    </row>
    <row r="63" spans="3:14" s="64" customFormat="1" x14ac:dyDescent="0.25">
      <c r="C63" s="65"/>
      <c r="D63" s="65"/>
      <c r="E63" s="65"/>
      <c r="H63" s="65"/>
      <c r="I63" s="66"/>
      <c r="J63" s="66"/>
      <c r="L63" s="65"/>
      <c r="M63" s="65"/>
      <c r="N63" s="65"/>
    </row>
    <row r="64" spans="3:14" s="64" customFormat="1" x14ac:dyDescent="0.25">
      <c r="C64" s="65"/>
      <c r="D64" s="65"/>
      <c r="E64" s="65"/>
      <c r="H64" s="65"/>
      <c r="I64" s="66"/>
      <c r="J64" s="66"/>
      <c r="L64" s="65"/>
      <c r="M64" s="65"/>
      <c r="N64" s="65"/>
    </row>
    <row r="65" spans="3:14" s="64" customFormat="1" x14ac:dyDescent="0.25">
      <c r="C65" s="65"/>
      <c r="D65" s="65"/>
      <c r="E65" s="65"/>
      <c r="H65" s="65"/>
      <c r="I65" s="66"/>
      <c r="J65" s="66"/>
      <c r="L65" s="65"/>
      <c r="M65" s="65"/>
      <c r="N65" s="65"/>
    </row>
    <row r="66" spans="3:14" s="64" customFormat="1" x14ac:dyDescent="0.25">
      <c r="C66" s="65"/>
      <c r="D66" s="65"/>
      <c r="E66" s="65"/>
      <c r="H66" s="65"/>
      <c r="I66" s="66"/>
      <c r="J66" s="66"/>
      <c r="L66" s="65"/>
      <c r="M66" s="65"/>
      <c r="N66" s="65"/>
    </row>
    <row r="67" spans="3:14" s="64" customFormat="1" x14ac:dyDescent="0.25">
      <c r="C67" s="65"/>
      <c r="D67" s="65"/>
      <c r="E67" s="65"/>
      <c r="H67" s="65"/>
      <c r="I67" s="66"/>
      <c r="J67" s="66"/>
      <c r="L67" s="65"/>
      <c r="M67" s="65"/>
      <c r="N67" s="65"/>
    </row>
    <row r="68" spans="3:14" s="64" customFormat="1" x14ac:dyDescent="0.25">
      <c r="C68" s="65"/>
      <c r="D68" s="65"/>
      <c r="E68" s="65"/>
      <c r="H68" s="65"/>
      <c r="I68" s="66"/>
      <c r="J68" s="66"/>
      <c r="L68" s="65"/>
      <c r="M68" s="65"/>
      <c r="N68" s="65"/>
    </row>
    <row r="69" spans="3:14" s="64" customFormat="1" x14ac:dyDescent="0.25">
      <c r="C69" s="65"/>
      <c r="D69" s="65"/>
      <c r="E69" s="65"/>
      <c r="H69" s="65"/>
      <c r="I69" s="66"/>
      <c r="J69" s="66"/>
      <c r="L69" s="65"/>
      <c r="M69" s="65"/>
      <c r="N69" s="65"/>
    </row>
    <row r="70" spans="3:14" s="64" customFormat="1" x14ac:dyDescent="0.25">
      <c r="C70" s="65"/>
      <c r="D70" s="65"/>
      <c r="E70" s="65"/>
      <c r="H70" s="65"/>
      <c r="I70" s="66"/>
      <c r="J70" s="66"/>
      <c r="L70" s="65"/>
      <c r="M70" s="65"/>
      <c r="N70" s="65"/>
    </row>
    <row r="71" spans="3:14" s="64" customFormat="1" x14ac:dyDescent="0.25">
      <c r="C71" s="65"/>
      <c r="D71" s="65"/>
      <c r="E71" s="65"/>
      <c r="H71" s="65"/>
      <c r="I71" s="66"/>
      <c r="J71" s="66"/>
      <c r="L71" s="65"/>
      <c r="M71" s="65"/>
      <c r="N71" s="65"/>
    </row>
    <row r="72" spans="3:14" s="64" customFormat="1" x14ac:dyDescent="0.25">
      <c r="C72" s="65"/>
      <c r="D72" s="65"/>
      <c r="E72" s="65"/>
      <c r="H72" s="65"/>
      <c r="I72" s="66"/>
      <c r="J72" s="66"/>
      <c r="L72" s="65"/>
      <c r="M72" s="65"/>
      <c r="N72" s="65"/>
    </row>
    <row r="73" spans="3:14" s="64" customFormat="1" x14ac:dyDescent="0.25">
      <c r="C73" s="65"/>
      <c r="D73" s="65"/>
      <c r="E73" s="65"/>
      <c r="H73" s="65"/>
      <c r="I73" s="66"/>
      <c r="J73" s="66"/>
      <c r="L73" s="65"/>
      <c r="M73" s="65"/>
      <c r="N73" s="65"/>
    </row>
    <row r="74" spans="3:14" s="64" customFormat="1" x14ac:dyDescent="0.25">
      <c r="C74" s="65"/>
      <c r="D74" s="65"/>
      <c r="E74" s="65"/>
      <c r="H74" s="65"/>
      <c r="I74" s="66"/>
      <c r="J74" s="66"/>
      <c r="L74" s="65"/>
      <c r="M74" s="65"/>
      <c r="N74" s="65"/>
    </row>
    <row r="75" spans="3:14" s="64" customFormat="1" x14ac:dyDescent="0.25">
      <c r="C75" s="65"/>
      <c r="D75" s="65"/>
      <c r="E75" s="65"/>
      <c r="H75" s="65"/>
      <c r="I75" s="66"/>
      <c r="J75" s="66"/>
      <c r="L75" s="65"/>
      <c r="M75" s="65"/>
      <c r="N75" s="65"/>
    </row>
    <row r="76" spans="3:14" s="64" customFormat="1" x14ac:dyDescent="0.25">
      <c r="C76" s="65"/>
      <c r="D76" s="65"/>
      <c r="E76" s="65"/>
      <c r="H76" s="65"/>
      <c r="I76" s="66"/>
      <c r="J76" s="66"/>
      <c r="L76" s="65"/>
      <c r="M76" s="65"/>
      <c r="N76" s="65"/>
    </row>
    <row r="77" spans="3:14" s="64" customFormat="1" x14ac:dyDescent="0.25">
      <c r="C77" s="65"/>
      <c r="D77" s="65"/>
      <c r="E77" s="65"/>
      <c r="H77" s="65"/>
      <c r="I77" s="66"/>
      <c r="J77" s="66"/>
      <c r="L77" s="65"/>
      <c r="M77" s="65"/>
      <c r="N77" s="65"/>
    </row>
    <row r="78" spans="3:14" s="64" customFormat="1" x14ac:dyDescent="0.25">
      <c r="C78" s="65"/>
      <c r="D78" s="65"/>
      <c r="E78" s="65"/>
      <c r="H78" s="65"/>
      <c r="I78" s="66"/>
      <c r="J78" s="66"/>
      <c r="L78" s="65"/>
      <c r="M78" s="65"/>
      <c r="N78" s="65"/>
    </row>
    <row r="79" spans="3:14" s="64" customFormat="1" x14ac:dyDescent="0.25">
      <c r="C79" s="65"/>
      <c r="D79" s="65"/>
      <c r="E79" s="65"/>
      <c r="H79" s="65"/>
      <c r="I79" s="66"/>
      <c r="J79" s="66"/>
      <c r="L79" s="65"/>
      <c r="M79" s="65"/>
      <c r="N79" s="65"/>
    </row>
    <row r="80" spans="3:14" s="64" customFormat="1" x14ac:dyDescent="0.25">
      <c r="C80" s="65"/>
      <c r="D80" s="65"/>
      <c r="E80" s="65"/>
      <c r="H80" s="65"/>
      <c r="I80" s="66"/>
      <c r="J80" s="66"/>
      <c r="L80" s="65"/>
      <c r="M80" s="65"/>
      <c r="N80" s="65"/>
    </row>
    <row r="81" spans="3:14" s="64" customFormat="1" x14ac:dyDescent="0.25">
      <c r="C81" s="65"/>
      <c r="D81" s="65"/>
      <c r="E81" s="65"/>
      <c r="H81" s="65"/>
      <c r="I81" s="66"/>
      <c r="J81" s="66"/>
      <c r="L81" s="65"/>
      <c r="M81" s="65"/>
      <c r="N81" s="65"/>
    </row>
    <row r="82" spans="3:14" s="64" customFormat="1" x14ac:dyDescent="0.25">
      <c r="C82" s="65"/>
      <c r="D82" s="65"/>
      <c r="E82" s="65"/>
      <c r="H82" s="65"/>
      <c r="I82" s="66"/>
      <c r="J82" s="66"/>
      <c r="L82" s="65"/>
      <c r="M82" s="65"/>
      <c r="N82" s="65"/>
    </row>
    <row r="83" spans="3:14" s="64" customFormat="1" x14ac:dyDescent="0.25">
      <c r="C83" s="65"/>
      <c r="D83" s="65"/>
      <c r="E83" s="65"/>
      <c r="H83" s="65"/>
      <c r="I83" s="66"/>
      <c r="J83" s="66"/>
      <c r="L83" s="65"/>
      <c r="M83" s="65"/>
      <c r="N83" s="65"/>
    </row>
  </sheetData>
  <mergeCells count="8">
    <mergeCell ref="F6:R6"/>
    <mergeCell ref="E7:R7"/>
    <mergeCell ref="B8:C8"/>
    <mergeCell ref="E8:F8"/>
    <mergeCell ref="H8:I8"/>
    <mergeCell ref="K8:L8"/>
    <mergeCell ref="N8:O8"/>
    <mergeCell ref="Q8:R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3"/>
  <sheetViews>
    <sheetView showGridLines="0" workbookViewId="0"/>
  </sheetViews>
  <sheetFormatPr baseColWidth="10" defaultColWidth="9.75" defaultRowHeight="15" x14ac:dyDescent="0.25"/>
  <cols>
    <col min="1" max="1" width="18.9140625" customWidth="1"/>
    <col min="2" max="2" width="5.25" customWidth="1"/>
    <col min="3" max="3" width="5.6640625" style="67" customWidth="1"/>
    <col min="4" max="4" width="0.9140625" style="67" customWidth="1"/>
    <col min="5" max="5" width="6" style="67" customWidth="1"/>
    <col min="6" max="6" width="5.9140625" customWidth="1"/>
    <col min="7" max="7" width="0.9140625" customWidth="1"/>
    <col min="8" max="8" width="5.33203125" style="67" customWidth="1"/>
    <col min="9" max="9" width="6" style="68" customWidth="1"/>
    <col min="10" max="10" width="0.9140625" style="68" customWidth="1"/>
    <col min="11" max="11" width="5" customWidth="1"/>
    <col min="12" max="12" width="5.4140625" style="67" customWidth="1"/>
    <col min="13" max="13" width="0.9140625" style="67" customWidth="1"/>
    <col min="14" max="14" width="5.08203125" style="67" customWidth="1"/>
    <col min="15" max="15" width="5.9140625" customWidth="1"/>
    <col min="16" max="16" width="0.9140625" customWidth="1"/>
    <col min="17" max="17" width="5.25" customWidth="1"/>
    <col min="18" max="18" width="4.58203125" customWidth="1"/>
  </cols>
  <sheetData>
    <row r="1" spans="1:70" s="32" customFormat="1" ht="15" customHeight="1" x14ac:dyDescent="0.25">
      <c r="A1" s="69" t="s">
        <v>58</v>
      </c>
      <c r="C1" s="33"/>
      <c r="D1" s="33"/>
      <c r="E1" s="33"/>
      <c r="H1" s="33"/>
      <c r="I1" s="34"/>
      <c r="J1" s="34"/>
      <c r="L1" s="33"/>
      <c r="M1" s="33"/>
      <c r="N1" s="33"/>
    </row>
    <row r="2" spans="1:70" s="32" customFormat="1" ht="15" customHeight="1" x14ac:dyDescent="0.25">
      <c r="A2" s="35" t="s">
        <v>63</v>
      </c>
      <c r="C2" s="33"/>
      <c r="D2" s="33"/>
      <c r="E2" s="33"/>
      <c r="H2" s="33"/>
      <c r="I2" s="34"/>
      <c r="J2" s="34"/>
      <c r="L2" s="33"/>
      <c r="M2" s="33"/>
      <c r="N2" s="33"/>
    </row>
    <row r="3" spans="1:70" s="32" customFormat="1" ht="15" customHeight="1" x14ac:dyDescent="0.25">
      <c r="A3" s="35" t="s">
        <v>64</v>
      </c>
      <c r="C3" s="33"/>
      <c r="D3" s="33"/>
      <c r="E3" s="33"/>
      <c r="H3" s="33"/>
      <c r="I3" s="34"/>
      <c r="J3" s="34"/>
      <c r="L3" s="33"/>
      <c r="M3" s="33"/>
      <c r="N3" s="33"/>
    </row>
    <row r="4" spans="1:70" s="32" customFormat="1" ht="15" customHeight="1" x14ac:dyDescent="0.25">
      <c r="A4" s="32" t="s">
        <v>73</v>
      </c>
      <c r="C4" s="33"/>
      <c r="D4" s="33"/>
      <c r="E4" s="33"/>
      <c r="H4" s="33"/>
      <c r="I4" s="34"/>
      <c r="J4" s="34"/>
      <c r="L4" s="33"/>
      <c r="M4" s="33"/>
      <c r="N4" s="33"/>
    </row>
    <row r="5" spans="1:70" s="32" customFormat="1" ht="9.3000000000000007" customHeight="1" x14ac:dyDescent="0.25">
      <c r="C5" s="33"/>
      <c r="D5" s="33"/>
      <c r="E5" s="33"/>
      <c r="H5" s="33"/>
      <c r="I5" s="34"/>
      <c r="J5" s="34"/>
      <c r="L5" s="33"/>
      <c r="M5" s="33"/>
      <c r="N5" s="33"/>
    </row>
    <row r="6" spans="1:70" s="32" customFormat="1" ht="13.05" customHeight="1" x14ac:dyDescent="0.25">
      <c r="A6" s="35"/>
      <c r="C6" s="33"/>
      <c r="D6" s="33"/>
      <c r="E6" s="33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</row>
    <row r="7" spans="1:70" s="32" customFormat="1" ht="13.05" customHeight="1" x14ac:dyDescent="0.25">
      <c r="A7" s="36" t="s">
        <v>66</v>
      </c>
      <c r="B7" s="36"/>
      <c r="C7" s="36"/>
      <c r="D7" s="36"/>
      <c r="E7" s="148" t="s">
        <v>67</v>
      </c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</row>
    <row r="8" spans="1:70" s="32" customFormat="1" ht="13.05" customHeight="1" x14ac:dyDescent="0.25">
      <c r="A8" s="37"/>
      <c r="B8" s="148" t="s">
        <v>68</v>
      </c>
      <c r="C8" s="148"/>
      <c r="D8" s="34"/>
      <c r="E8" s="149" t="s">
        <v>3</v>
      </c>
      <c r="F8" s="149"/>
      <c r="G8" s="34"/>
      <c r="H8" s="149" t="s">
        <v>4</v>
      </c>
      <c r="I8" s="149"/>
      <c r="J8" s="34"/>
      <c r="K8" s="149" t="s">
        <v>5</v>
      </c>
      <c r="L8" s="149"/>
      <c r="M8" s="34"/>
      <c r="N8" s="149" t="s">
        <v>6</v>
      </c>
      <c r="O8" s="149"/>
      <c r="P8" s="34"/>
      <c r="Q8" s="149" t="s">
        <v>7</v>
      </c>
      <c r="R8" s="149"/>
    </row>
    <row r="9" spans="1:70" s="32" customFormat="1" ht="13.05" customHeight="1" x14ac:dyDescent="0.25">
      <c r="A9" s="37"/>
      <c r="B9" s="74" t="s">
        <v>55</v>
      </c>
      <c r="C9" s="39" t="s">
        <v>46</v>
      </c>
      <c r="D9" s="39"/>
      <c r="E9" s="74" t="s">
        <v>55</v>
      </c>
      <c r="F9" s="39" t="s">
        <v>46</v>
      </c>
      <c r="G9" s="39"/>
      <c r="H9" s="74" t="s">
        <v>55</v>
      </c>
      <c r="I9" s="39" t="s">
        <v>46</v>
      </c>
      <c r="J9" s="39"/>
      <c r="K9" s="74" t="s">
        <v>55</v>
      </c>
      <c r="L9" s="151" t="s">
        <v>74</v>
      </c>
      <c r="M9" s="39"/>
      <c r="N9" s="74" t="s">
        <v>55</v>
      </c>
      <c r="O9" s="39" t="s">
        <v>46</v>
      </c>
      <c r="P9" s="39"/>
      <c r="Q9" s="74" t="s">
        <v>55</v>
      </c>
      <c r="R9" s="151" t="s">
        <v>74</v>
      </c>
    </row>
    <row r="10" spans="1:70" s="32" customFormat="1" ht="13.05" customHeight="1" x14ac:dyDescent="0.25">
      <c r="A10" s="37"/>
      <c r="B10" s="74" t="s">
        <v>47</v>
      </c>
      <c r="C10" s="38" t="s">
        <v>75</v>
      </c>
      <c r="D10" s="38"/>
      <c r="E10" s="74" t="s">
        <v>47</v>
      </c>
      <c r="F10" s="38" t="s">
        <v>75</v>
      </c>
      <c r="G10" s="38"/>
      <c r="H10" s="74" t="s">
        <v>47</v>
      </c>
      <c r="I10" s="38" t="s">
        <v>75</v>
      </c>
      <c r="J10" s="38"/>
      <c r="K10" s="74" t="s">
        <v>47</v>
      </c>
      <c r="L10" s="152"/>
      <c r="M10" s="38"/>
      <c r="N10" s="74" t="s">
        <v>47</v>
      </c>
      <c r="O10" s="38" t="s">
        <v>75</v>
      </c>
      <c r="P10" s="38"/>
      <c r="Q10" s="74" t="s">
        <v>47</v>
      </c>
      <c r="R10" s="152"/>
    </row>
    <row r="11" spans="1:70" s="32" customFormat="1" ht="13.05" customHeight="1" x14ac:dyDescent="0.25">
      <c r="A11" s="37"/>
      <c r="B11" s="48"/>
      <c r="C11" s="48"/>
      <c r="D11" s="48"/>
      <c r="E11" s="48"/>
      <c r="F11" s="48"/>
      <c r="G11" s="48"/>
      <c r="H11" s="48"/>
      <c r="I11" s="49"/>
      <c r="J11" s="49"/>
      <c r="K11" s="48"/>
      <c r="L11" s="48"/>
      <c r="M11" s="48"/>
      <c r="N11" s="48"/>
      <c r="O11" s="50"/>
      <c r="P11" s="50"/>
      <c r="Q11" s="48"/>
      <c r="R11" s="48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s="32" customFormat="1" ht="13.05" customHeight="1" x14ac:dyDescent="0.25">
      <c r="A12" s="36" t="s">
        <v>69</v>
      </c>
      <c r="B12" s="75">
        <v>1682</v>
      </c>
      <c r="C12" s="75">
        <v>465996.12</v>
      </c>
      <c r="D12" s="75"/>
      <c r="E12" s="75">
        <v>1312</v>
      </c>
      <c r="F12" s="75">
        <v>254671.54</v>
      </c>
      <c r="G12" s="75"/>
      <c r="H12" s="75">
        <v>292</v>
      </c>
      <c r="I12" s="75">
        <v>164584.53</v>
      </c>
      <c r="J12" s="75"/>
      <c r="K12" s="75">
        <v>50</v>
      </c>
      <c r="L12" s="75">
        <v>30868.53</v>
      </c>
      <c r="M12" s="75"/>
      <c r="N12" s="75">
        <v>25</v>
      </c>
      <c r="O12" s="75">
        <v>15793.52</v>
      </c>
      <c r="P12" s="75"/>
      <c r="Q12" s="75">
        <v>3</v>
      </c>
      <c r="R12" s="75">
        <v>78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s="40" customFormat="1" ht="9.3000000000000007" customHeight="1" x14ac:dyDescent="0.25">
      <c r="A13" s="36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s="40" customFormat="1" ht="13.05" customHeight="1" x14ac:dyDescent="0.25">
      <c r="A14" s="36" t="s">
        <v>0</v>
      </c>
      <c r="B14" s="75">
        <v>285</v>
      </c>
      <c r="C14" s="75">
        <v>264073.06</v>
      </c>
      <c r="D14" s="75"/>
      <c r="E14" s="75">
        <v>220</v>
      </c>
      <c r="F14" s="75">
        <v>172648.22</v>
      </c>
      <c r="G14" s="75"/>
      <c r="H14" s="75">
        <v>50</v>
      </c>
      <c r="I14" s="75">
        <v>71091.08</v>
      </c>
      <c r="J14" s="75"/>
      <c r="K14" s="75">
        <v>7</v>
      </c>
      <c r="L14" s="75">
        <v>14999.85</v>
      </c>
      <c r="M14" s="75"/>
      <c r="N14" s="75">
        <v>8</v>
      </c>
      <c r="O14" s="75">
        <v>5333.91</v>
      </c>
      <c r="P14" s="75"/>
      <c r="Q14" s="75" t="s">
        <v>20</v>
      </c>
      <c r="R14" s="75" t="s">
        <v>20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s="40" customFormat="1" ht="9.3000000000000007" customHeight="1" x14ac:dyDescent="0.25">
      <c r="A15" s="36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s="40" customFormat="1" ht="13.05" customHeight="1" x14ac:dyDescent="0.25">
      <c r="A16" s="36" t="s">
        <v>23</v>
      </c>
      <c r="B16" s="75">
        <v>20</v>
      </c>
      <c r="C16" s="75">
        <v>353.02</v>
      </c>
      <c r="D16" s="75"/>
      <c r="E16" s="75">
        <v>18</v>
      </c>
      <c r="F16" s="75">
        <v>341.12</v>
      </c>
      <c r="G16" s="75"/>
      <c r="H16" s="75">
        <v>1</v>
      </c>
      <c r="I16" s="75">
        <v>4.4000000000000004</v>
      </c>
      <c r="J16" s="75"/>
      <c r="K16" s="75" t="s">
        <v>20</v>
      </c>
      <c r="L16" s="75" t="s">
        <v>20</v>
      </c>
      <c r="M16" s="75"/>
      <c r="N16" s="75">
        <v>1</v>
      </c>
      <c r="O16" s="75">
        <v>7.5</v>
      </c>
      <c r="P16" s="75"/>
      <c r="Q16" s="75" t="s">
        <v>20</v>
      </c>
      <c r="R16" s="75" t="s">
        <v>20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 s="40" customFormat="1" ht="9.3000000000000007" customHeight="1" x14ac:dyDescent="0.25">
      <c r="A17" s="36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 s="40" customFormat="1" ht="13.05" customHeight="1" x14ac:dyDescent="0.25">
      <c r="A18" s="36" t="s">
        <v>1</v>
      </c>
      <c r="B18" s="75">
        <v>76</v>
      </c>
      <c r="C18" s="75" t="s">
        <v>20</v>
      </c>
      <c r="D18" s="75"/>
      <c r="E18" s="75">
        <v>41</v>
      </c>
      <c r="F18" s="75" t="s">
        <v>20</v>
      </c>
      <c r="G18" s="75"/>
      <c r="H18" s="75">
        <v>32</v>
      </c>
      <c r="I18" s="75" t="s">
        <v>20</v>
      </c>
      <c r="J18" s="75"/>
      <c r="K18" s="75">
        <v>2</v>
      </c>
      <c r="L18" s="75" t="s">
        <v>20</v>
      </c>
      <c r="M18" s="75"/>
      <c r="N18" s="75">
        <v>1</v>
      </c>
      <c r="O18" s="75" t="s">
        <v>20</v>
      </c>
      <c r="P18" s="75"/>
      <c r="Q18" s="75" t="s">
        <v>20</v>
      </c>
      <c r="R18" s="75" t="s">
        <v>20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 s="40" customFormat="1" ht="9.3000000000000007" customHeight="1" x14ac:dyDescent="0.25">
      <c r="A19" s="36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 s="40" customFormat="1" ht="13.05" customHeight="1" x14ac:dyDescent="0.25">
      <c r="A20" s="36" t="s">
        <v>2</v>
      </c>
      <c r="B20" s="75">
        <v>423</v>
      </c>
      <c r="C20" s="75">
        <v>64091.3</v>
      </c>
      <c r="D20" s="75"/>
      <c r="E20" s="75">
        <v>349</v>
      </c>
      <c r="F20" s="75">
        <v>31089.87</v>
      </c>
      <c r="G20" s="75"/>
      <c r="H20" s="75">
        <v>58</v>
      </c>
      <c r="I20" s="75">
        <v>18600.28</v>
      </c>
      <c r="J20" s="75"/>
      <c r="K20" s="75">
        <v>11</v>
      </c>
      <c r="L20" s="75">
        <v>8148.83</v>
      </c>
      <c r="M20" s="75"/>
      <c r="N20" s="75">
        <v>5</v>
      </c>
      <c r="O20" s="75">
        <v>6252.32</v>
      </c>
      <c r="P20" s="75"/>
      <c r="Q20" s="75" t="s">
        <v>20</v>
      </c>
      <c r="R20" s="75" t="s">
        <v>20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 s="40" customFormat="1" ht="9.3000000000000007" customHeight="1" x14ac:dyDescent="0.25">
      <c r="A21" s="36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 s="40" customFormat="1" ht="13.05" customHeight="1" x14ac:dyDescent="0.25">
      <c r="A22" s="36" t="s">
        <v>38</v>
      </c>
    </row>
    <row r="23" spans="1:70" s="40" customFormat="1" ht="13.05" customHeight="1" x14ac:dyDescent="0.25">
      <c r="A23" s="35" t="s">
        <v>76</v>
      </c>
      <c r="B23" s="75">
        <v>3</v>
      </c>
      <c r="C23" s="75" t="s">
        <v>20</v>
      </c>
      <c r="D23" s="75"/>
      <c r="E23" s="75">
        <v>2</v>
      </c>
      <c r="F23" s="75" t="s">
        <v>20</v>
      </c>
      <c r="G23" s="75"/>
      <c r="H23" s="75">
        <v>1</v>
      </c>
      <c r="I23" s="75" t="s">
        <v>20</v>
      </c>
      <c r="J23" s="75"/>
      <c r="K23" s="75" t="s">
        <v>20</v>
      </c>
      <c r="L23" s="75" t="s">
        <v>20</v>
      </c>
      <c r="M23" s="75"/>
      <c r="N23" s="75" t="s">
        <v>20</v>
      </c>
      <c r="O23" s="75" t="s">
        <v>20</v>
      </c>
      <c r="P23" s="75"/>
      <c r="Q23" s="75" t="s">
        <v>20</v>
      </c>
      <c r="R23" s="75" t="s">
        <v>20</v>
      </c>
    </row>
    <row r="24" spans="1:70" s="40" customFormat="1" ht="9.3000000000000007" customHeight="1" x14ac:dyDescent="0.25">
      <c r="A24" s="36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</row>
    <row r="25" spans="1:70" s="40" customFormat="1" ht="13.05" customHeight="1" x14ac:dyDescent="0.25">
      <c r="A25" s="36" t="s">
        <v>77</v>
      </c>
      <c r="B25" s="75">
        <v>1</v>
      </c>
      <c r="C25" s="75">
        <v>59.92</v>
      </c>
      <c r="D25" s="75"/>
      <c r="E25" s="75">
        <v>1</v>
      </c>
      <c r="F25" s="75">
        <v>59.92</v>
      </c>
      <c r="G25" s="75"/>
      <c r="H25" s="75" t="s">
        <v>20</v>
      </c>
      <c r="I25" s="75" t="s">
        <v>20</v>
      </c>
      <c r="J25" s="75"/>
      <c r="K25" s="75" t="s">
        <v>20</v>
      </c>
      <c r="L25" s="75" t="s">
        <v>20</v>
      </c>
      <c r="M25" s="75"/>
      <c r="N25" s="75" t="s">
        <v>20</v>
      </c>
      <c r="O25" s="75" t="s">
        <v>20</v>
      </c>
      <c r="P25" s="75"/>
      <c r="Q25" s="75" t="s">
        <v>20</v>
      </c>
      <c r="R25" s="75" t="s">
        <v>20</v>
      </c>
    </row>
    <row r="26" spans="1:70" s="40" customFormat="1" ht="9.3000000000000007" customHeight="1" x14ac:dyDescent="0.25">
      <c r="A26" s="36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</row>
    <row r="27" spans="1:70" s="40" customFormat="1" ht="13.05" customHeight="1" x14ac:dyDescent="0.25">
      <c r="A27" s="36" t="s">
        <v>78</v>
      </c>
      <c r="B27" s="75">
        <v>392</v>
      </c>
      <c r="C27" s="75">
        <v>57323.74</v>
      </c>
      <c r="D27" s="75"/>
      <c r="E27" s="75">
        <v>274</v>
      </c>
      <c r="F27" s="75">
        <v>20365.169999999998</v>
      </c>
      <c r="G27" s="75"/>
      <c r="H27" s="75">
        <v>92</v>
      </c>
      <c r="I27" s="75">
        <v>31203.95</v>
      </c>
      <c r="J27" s="75"/>
      <c r="K27" s="75">
        <v>19</v>
      </c>
      <c r="L27" s="75">
        <v>5006.53</v>
      </c>
      <c r="M27" s="75"/>
      <c r="N27" s="75">
        <v>6</v>
      </c>
      <c r="O27" s="75">
        <v>670.09</v>
      </c>
      <c r="P27" s="75"/>
      <c r="Q27" s="75">
        <v>1</v>
      </c>
      <c r="R27" s="75">
        <v>78</v>
      </c>
    </row>
    <row r="28" spans="1:70" s="40" customFormat="1" ht="9.3000000000000007" customHeight="1" x14ac:dyDescent="0.25">
      <c r="A28" s="36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</row>
    <row r="29" spans="1:70" s="40" customFormat="1" ht="13.05" customHeight="1" x14ac:dyDescent="0.25">
      <c r="A29" s="36" t="s">
        <v>7</v>
      </c>
      <c r="B29" s="75">
        <v>482</v>
      </c>
      <c r="C29" s="75">
        <v>80095.08</v>
      </c>
      <c r="D29" s="75"/>
      <c r="E29" s="75">
        <v>407</v>
      </c>
      <c r="F29" s="75">
        <v>30167.24</v>
      </c>
      <c r="G29" s="75"/>
      <c r="H29" s="75">
        <v>58</v>
      </c>
      <c r="I29" s="75">
        <v>43684.82</v>
      </c>
      <c r="J29" s="75"/>
      <c r="K29" s="75">
        <v>11</v>
      </c>
      <c r="L29" s="75">
        <v>2713.32</v>
      </c>
      <c r="M29" s="75"/>
      <c r="N29" s="75">
        <v>4</v>
      </c>
      <c r="O29" s="75">
        <v>3529.7</v>
      </c>
      <c r="P29" s="75"/>
      <c r="Q29" s="75">
        <v>2</v>
      </c>
      <c r="R29" s="75" t="s">
        <v>20</v>
      </c>
    </row>
    <row r="30" spans="1:70" s="40" customFormat="1" ht="9.3000000000000007" customHeight="1" x14ac:dyDescent="0.25">
      <c r="A30" s="37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spans="1:70" s="32" customFormat="1" ht="10.5" customHeight="1" x14ac:dyDescent="0.25">
      <c r="A31" s="37"/>
      <c r="B31" s="37"/>
      <c r="C31" s="37"/>
      <c r="D31" s="37"/>
      <c r="E31" s="37"/>
      <c r="F31" s="37"/>
      <c r="G31" s="37"/>
      <c r="H31" s="37"/>
      <c r="I31" s="41"/>
      <c r="J31" s="41"/>
      <c r="K31" s="37"/>
      <c r="L31" s="37"/>
      <c r="M31" s="37"/>
      <c r="N31" s="37"/>
      <c r="O31" s="37"/>
      <c r="P31" s="37"/>
      <c r="Q31" s="37"/>
      <c r="R31" s="37"/>
    </row>
    <row r="32" spans="1:70" s="32" customFormat="1" ht="13.05" customHeight="1" x14ac:dyDescent="0.25">
      <c r="A32" s="35" t="s">
        <v>70</v>
      </c>
      <c r="C32" s="33"/>
      <c r="D32" s="33"/>
      <c r="E32" s="33"/>
      <c r="H32" s="33"/>
      <c r="I32" s="34"/>
      <c r="J32" s="34"/>
      <c r="L32" s="33"/>
      <c r="M32" s="33"/>
      <c r="N32" s="33"/>
    </row>
    <row r="33" spans="1:18" s="32" customFormat="1" ht="13.05" customHeight="1" x14ac:dyDescent="0.25">
      <c r="A33" s="35" t="s">
        <v>71</v>
      </c>
      <c r="C33" s="33"/>
      <c r="D33" s="33"/>
      <c r="E33" s="33"/>
      <c r="H33" s="33"/>
      <c r="I33" s="34"/>
      <c r="J33" s="34"/>
      <c r="L33" s="33"/>
      <c r="M33" s="33"/>
      <c r="N33" s="33"/>
    </row>
    <row r="34" spans="1:18" s="32" customFormat="1" ht="13.05" customHeight="1" x14ac:dyDescent="0.25">
      <c r="A34" s="35" t="s">
        <v>79</v>
      </c>
      <c r="C34" s="33"/>
      <c r="D34" s="33"/>
      <c r="E34" s="33"/>
      <c r="H34" s="33"/>
      <c r="I34" s="34"/>
      <c r="J34" s="34"/>
      <c r="L34" s="33"/>
      <c r="M34" s="33"/>
      <c r="N34" s="33"/>
    </row>
    <row r="35" spans="1:18" s="32" customFormat="1" ht="9.3000000000000007" customHeight="1" x14ac:dyDescent="0.25">
      <c r="A35" s="35" t="s">
        <v>44</v>
      </c>
      <c r="C35" s="33"/>
      <c r="D35" s="33"/>
      <c r="E35" s="33"/>
      <c r="H35" s="33"/>
      <c r="I35" s="34"/>
      <c r="J35" s="34"/>
      <c r="L35" s="33"/>
      <c r="M35" s="33"/>
      <c r="N35" s="33"/>
    </row>
    <row r="36" spans="1:18" s="1" customFormat="1" ht="13.05" customHeight="1" x14ac:dyDescent="0.25">
      <c r="I36" s="2"/>
      <c r="J36" s="2"/>
    </row>
    <row r="37" spans="1:18" s="1" customFormat="1" ht="13.05" customHeight="1" x14ac:dyDescent="0.25">
      <c r="A37" s="14"/>
      <c r="B37" s="70"/>
      <c r="C37" s="70"/>
      <c r="D37" s="70"/>
      <c r="E37" s="71"/>
      <c r="F37" s="70"/>
      <c r="G37" s="70"/>
      <c r="H37" s="70"/>
      <c r="I37" s="72"/>
      <c r="J37" s="72"/>
      <c r="K37" s="70"/>
      <c r="L37" s="70"/>
      <c r="M37" s="70"/>
      <c r="N37" s="71"/>
      <c r="O37" s="70"/>
      <c r="P37" s="70"/>
      <c r="Q37" s="70"/>
      <c r="R37" s="73"/>
    </row>
    <row r="38" spans="1:18" s="1" customFormat="1" ht="9.3000000000000007" customHeight="1" x14ac:dyDescent="0.25">
      <c r="A38" s="14"/>
      <c r="B38" s="71"/>
      <c r="C38" s="71"/>
      <c r="D38" s="71"/>
      <c r="E38" s="71"/>
      <c r="F38" s="71"/>
      <c r="G38" s="71"/>
      <c r="H38" s="71"/>
      <c r="I38" s="72"/>
      <c r="J38" s="72"/>
      <c r="K38" s="71"/>
      <c r="L38" s="71"/>
      <c r="M38" s="71"/>
      <c r="N38" s="71"/>
      <c r="O38" s="71"/>
      <c r="P38" s="71"/>
      <c r="Q38" s="71"/>
      <c r="R38" s="71"/>
    </row>
    <row r="39" spans="1:18" s="1" customFormat="1" ht="13.05" customHeight="1" x14ac:dyDescent="0.25">
      <c r="I39" s="2"/>
      <c r="J39" s="2"/>
    </row>
    <row r="40" spans="1:18" s="1" customFormat="1" ht="13.05" customHeight="1" x14ac:dyDescent="0.25">
      <c r="A40" s="14"/>
      <c r="B40" s="70"/>
      <c r="C40" s="70"/>
      <c r="D40" s="70"/>
      <c r="E40" s="71"/>
      <c r="F40" s="70"/>
      <c r="G40" s="70"/>
      <c r="H40" s="70"/>
      <c r="I40" s="72"/>
      <c r="J40" s="72"/>
      <c r="K40" s="70"/>
      <c r="L40" s="70"/>
      <c r="M40" s="70"/>
      <c r="N40" s="71"/>
      <c r="O40" s="70"/>
      <c r="P40" s="70"/>
      <c r="Q40" s="70"/>
      <c r="R40" s="73"/>
    </row>
    <row r="41" spans="1:18" s="1" customFormat="1" ht="9.3000000000000007" customHeight="1" x14ac:dyDescent="0.25">
      <c r="A41" s="14"/>
      <c r="B41" s="70"/>
      <c r="C41" s="70"/>
      <c r="D41" s="70"/>
      <c r="E41" s="71"/>
      <c r="F41" s="70"/>
      <c r="G41" s="70"/>
      <c r="H41" s="70"/>
      <c r="I41" s="72"/>
      <c r="J41" s="72"/>
      <c r="K41" s="70"/>
      <c r="L41" s="70"/>
      <c r="M41" s="70"/>
      <c r="N41" s="71"/>
      <c r="O41" s="70"/>
      <c r="P41" s="70"/>
      <c r="Q41" s="70"/>
      <c r="R41" s="73"/>
    </row>
    <row r="42" spans="1:18" s="1" customFormat="1" ht="13.05" customHeight="1" x14ac:dyDescent="0.25">
      <c r="A42" s="14"/>
      <c r="B42" s="71"/>
      <c r="C42" s="71"/>
      <c r="D42" s="71"/>
      <c r="E42" s="71"/>
      <c r="F42" s="71"/>
      <c r="G42" s="71"/>
      <c r="H42" s="71"/>
      <c r="I42" s="72"/>
      <c r="J42" s="72"/>
      <c r="K42" s="71"/>
      <c r="L42" s="71"/>
      <c r="M42" s="71"/>
      <c r="N42" s="71"/>
      <c r="O42" s="71"/>
      <c r="P42" s="71"/>
      <c r="Q42" s="71"/>
      <c r="R42" s="71"/>
    </row>
    <row r="43" spans="1:18" s="1" customFormat="1" ht="9.3000000000000007" customHeight="1" x14ac:dyDescent="0.25">
      <c r="A43" s="14"/>
      <c r="B43" s="71"/>
      <c r="C43" s="71"/>
      <c r="D43" s="71"/>
      <c r="E43" s="71"/>
      <c r="F43" s="71"/>
      <c r="G43" s="71"/>
      <c r="H43" s="71"/>
      <c r="I43" s="72"/>
      <c r="J43" s="72"/>
      <c r="K43" s="71"/>
      <c r="L43" s="71"/>
      <c r="M43" s="71"/>
      <c r="N43" s="71"/>
      <c r="O43" s="71"/>
      <c r="P43" s="71"/>
      <c r="Q43" s="71"/>
      <c r="R43" s="71"/>
    </row>
    <row r="44" spans="1:18" s="1" customFormat="1" ht="9.3000000000000007" customHeight="1" x14ac:dyDescent="0.25">
      <c r="I44" s="2"/>
      <c r="J44" s="2"/>
    </row>
    <row r="45" spans="1:18" s="1" customFormat="1" ht="13.05" customHeight="1" x14ac:dyDescent="0.25">
      <c r="A45" s="14"/>
      <c r="C45" s="13"/>
      <c r="D45" s="13"/>
      <c r="E45" s="13"/>
      <c r="H45" s="13"/>
      <c r="I45" s="2"/>
      <c r="J45" s="2"/>
      <c r="L45" s="13"/>
      <c r="M45" s="13"/>
      <c r="N45" s="13"/>
    </row>
    <row r="46" spans="1:18" s="1" customFormat="1" ht="13.05" customHeight="1" x14ac:dyDescent="0.25">
      <c r="A46" s="14"/>
      <c r="C46" s="13"/>
      <c r="D46" s="13"/>
      <c r="E46" s="13"/>
      <c r="H46" s="13"/>
      <c r="I46" s="2"/>
      <c r="J46" s="2"/>
      <c r="L46" s="13"/>
      <c r="M46" s="13"/>
      <c r="N46" s="13"/>
    </row>
    <row r="47" spans="1:18" s="1" customFormat="1" ht="13.05" customHeight="1" x14ac:dyDescent="0.25">
      <c r="A47" s="14"/>
      <c r="C47" s="13"/>
      <c r="D47" s="13"/>
      <c r="E47" s="13"/>
      <c r="H47" s="13"/>
      <c r="I47" s="2"/>
      <c r="J47" s="2"/>
      <c r="L47" s="13"/>
      <c r="M47" s="13"/>
      <c r="N47" s="13"/>
    </row>
    <row r="48" spans="1:18" s="1" customFormat="1" ht="9.3000000000000007" customHeight="1" x14ac:dyDescent="0.25">
      <c r="A48" s="14"/>
      <c r="C48" s="13"/>
      <c r="D48" s="13"/>
      <c r="E48" s="13"/>
      <c r="H48" s="13"/>
      <c r="I48" s="2"/>
      <c r="J48" s="2"/>
      <c r="L48" s="13"/>
      <c r="M48" s="13"/>
      <c r="N48" s="13"/>
    </row>
    <row r="49" spans="3:14" s="64" customFormat="1" ht="13.05" customHeight="1" x14ac:dyDescent="0.25">
      <c r="C49" s="65"/>
      <c r="D49" s="65"/>
      <c r="E49" s="65"/>
      <c r="H49" s="65"/>
      <c r="I49" s="66"/>
      <c r="J49" s="66"/>
      <c r="L49" s="65"/>
      <c r="M49" s="65"/>
      <c r="N49" s="65"/>
    </row>
    <row r="50" spans="3:14" s="64" customFormat="1" x14ac:dyDescent="0.25">
      <c r="C50" s="65"/>
      <c r="D50" s="65"/>
      <c r="E50" s="65"/>
      <c r="H50" s="65"/>
      <c r="I50" s="66"/>
      <c r="J50" s="66"/>
      <c r="L50" s="65"/>
      <c r="M50" s="65"/>
      <c r="N50" s="65"/>
    </row>
    <row r="51" spans="3:14" s="64" customFormat="1" x14ac:dyDescent="0.25">
      <c r="C51" s="65"/>
      <c r="D51" s="65"/>
      <c r="E51" s="65"/>
      <c r="H51" s="65"/>
      <c r="I51" s="66"/>
      <c r="J51" s="66"/>
      <c r="L51" s="65"/>
      <c r="M51" s="65"/>
      <c r="N51" s="65"/>
    </row>
    <row r="52" spans="3:14" s="64" customFormat="1" x14ac:dyDescent="0.25">
      <c r="C52" s="65"/>
      <c r="D52" s="65"/>
      <c r="E52" s="65"/>
      <c r="H52" s="65"/>
      <c r="I52" s="66"/>
      <c r="J52" s="66"/>
      <c r="L52" s="65"/>
      <c r="M52" s="65"/>
      <c r="N52" s="65"/>
    </row>
    <row r="53" spans="3:14" s="64" customFormat="1" x14ac:dyDescent="0.25">
      <c r="C53" s="65"/>
      <c r="D53" s="65"/>
      <c r="E53" s="65"/>
      <c r="H53" s="65"/>
      <c r="I53" s="66"/>
      <c r="J53" s="66"/>
      <c r="L53" s="65"/>
      <c r="M53" s="65"/>
      <c r="N53" s="65"/>
    </row>
    <row r="54" spans="3:14" s="64" customFormat="1" x14ac:dyDescent="0.25">
      <c r="C54" s="65"/>
      <c r="D54" s="65"/>
      <c r="E54" s="65"/>
      <c r="H54" s="65"/>
      <c r="I54" s="66"/>
      <c r="J54" s="66"/>
      <c r="L54" s="65"/>
      <c r="M54" s="65"/>
      <c r="N54" s="65"/>
    </row>
    <row r="55" spans="3:14" s="64" customFormat="1" x14ac:dyDescent="0.25">
      <c r="C55" s="65"/>
      <c r="D55" s="65"/>
      <c r="E55" s="65"/>
      <c r="H55" s="65"/>
      <c r="I55" s="66"/>
      <c r="J55" s="66"/>
      <c r="L55" s="65"/>
      <c r="M55" s="65"/>
      <c r="N55" s="65"/>
    </row>
    <row r="56" spans="3:14" s="64" customFormat="1" x14ac:dyDescent="0.25">
      <c r="C56" s="65"/>
      <c r="D56" s="65"/>
      <c r="E56" s="65"/>
      <c r="H56" s="65"/>
      <c r="I56" s="66"/>
      <c r="J56" s="66"/>
      <c r="L56" s="65"/>
      <c r="M56" s="65"/>
      <c r="N56" s="65"/>
    </row>
    <row r="57" spans="3:14" s="64" customFormat="1" x14ac:dyDescent="0.25">
      <c r="C57" s="65"/>
      <c r="D57" s="65"/>
      <c r="E57" s="65"/>
      <c r="H57" s="65"/>
      <c r="I57" s="66"/>
      <c r="J57" s="66"/>
      <c r="L57" s="65"/>
      <c r="M57" s="65"/>
      <c r="N57" s="65"/>
    </row>
    <row r="58" spans="3:14" s="64" customFormat="1" x14ac:dyDescent="0.25">
      <c r="C58" s="65"/>
      <c r="D58" s="65"/>
      <c r="E58" s="65"/>
      <c r="H58" s="65"/>
      <c r="I58" s="66"/>
      <c r="J58" s="66"/>
      <c r="L58" s="65"/>
      <c r="M58" s="65"/>
      <c r="N58" s="65"/>
    </row>
    <row r="59" spans="3:14" s="64" customFormat="1" x14ac:dyDescent="0.25">
      <c r="C59" s="65"/>
      <c r="D59" s="65"/>
      <c r="E59" s="65"/>
      <c r="H59" s="65"/>
      <c r="I59" s="66"/>
      <c r="J59" s="66"/>
      <c r="L59" s="65"/>
      <c r="M59" s="65"/>
      <c r="N59" s="65"/>
    </row>
    <row r="60" spans="3:14" s="64" customFormat="1" x14ac:dyDescent="0.25">
      <c r="C60" s="65"/>
      <c r="D60" s="65"/>
      <c r="E60" s="65"/>
      <c r="H60" s="65"/>
      <c r="I60" s="66"/>
      <c r="J60" s="66"/>
      <c r="L60" s="65"/>
      <c r="M60" s="65"/>
      <c r="N60" s="65"/>
    </row>
    <row r="61" spans="3:14" s="64" customFormat="1" x14ac:dyDescent="0.25">
      <c r="C61" s="65"/>
      <c r="D61" s="65"/>
      <c r="E61" s="65"/>
      <c r="H61" s="65"/>
      <c r="I61" s="66"/>
      <c r="J61" s="66"/>
      <c r="L61" s="65"/>
      <c r="M61" s="65"/>
      <c r="N61" s="65"/>
    </row>
    <row r="62" spans="3:14" s="64" customFormat="1" x14ac:dyDescent="0.25">
      <c r="C62" s="65"/>
      <c r="D62" s="65"/>
      <c r="E62" s="65"/>
      <c r="H62" s="65"/>
      <c r="I62" s="66"/>
      <c r="J62" s="66"/>
      <c r="L62" s="65"/>
      <c r="M62" s="65"/>
      <c r="N62" s="65"/>
    </row>
    <row r="63" spans="3:14" s="64" customFormat="1" x14ac:dyDescent="0.25">
      <c r="C63" s="65"/>
      <c r="D63" s="65"/>
      <c r="E63" s="65"/>
      <c r="H63" s="65"/>
      <c r="I63" s="66"/>
      <c r="J63" s="66"/>
      <c r="L63" s="65"/>
      <c r="M63" s="65"/>
      <c r="N63" s="65"/>
    </row>
    <row r="64" spans="3:14" s="64" customFormat="1" x14ac:dyDescent="0.25">
      <c r="C64" s="65"/>
      <c r="D64" s="65"/>
      <c r="E64" s="65"/>
      <c r="H64" s="65"/>
      <c r="I64" s="66"/>
      <c r="J64" s="66"/>
      <c r="L64" s="65"/>
      <c r="M64" s="65"/>
      <c r="N64" s="65"/>
    </row>
    <row r="65" spans="3:14" s="64" customFormat="1" x14ac:dyDescent="0.25">
      <c r="C65" s="65"/>
      <c r="D65" s="65"/>
      <c r="E65" s="65"/>
      <c r="H65" s="65"/>
      <c r="I65" s="66"/>
      <c r="J65" s="66"/>
      <c r="L65" s="65"/>
      <c r="M65" s="65"/>
      <c r="N65" s="65"/>
    </row>
    <row r="66" spans="3:14" s="64" customFormat="1" x14ac:dyDescent="0.25">
      <c r="C66" s="65"/>
      <c r="D66" s="65"/>
      <c r="E66" s="65"/>
      <c r="H66" s="65"/>
      <c r="I66" s="66"/>
      <c r="J66" s="66"/>
      <c r="L66" s="65"/>
      <c r="M66" s="65"/>
      <c r="N66" s="65"/>
    </row>
    <row r="67" spans="3:14" s="64" customFormat="1" x14ac:dyDescent="0.25">
      <c r="C67" s="65"/>
      <c r="D67" s="65"/>
      <c r="E67" s="65"/>
      <c r="H67" s="65"/>
      <c r="I67" s="66"/>
      <c r="J67" s="66"/>
      <c r="L67" s="65"/>
      <c r="M67" s="65"/>
      <c r="N67" s="65"/>
    </row>
    <row r="68" spans="3:14" s="64" customFormat="1" x14ac:dyDescent="0.25">
      <c r="C68" s="65"/>
      <c r="D68" s="65"/>
      <c r="E68" s="65"/>
      <c r="H68" s="65"/>
      <c r="I68" s="66"/>
      <c r="J68" s="66"/>
      <c r="L68" s="65"/>
      <c r="M68" s="65"/>
      <c r="N68" s="65"/>
    </row>
    <row r="69" spans="3:14" s="64" customFormat="1" x14ac:dyDescent="0.25">
      <c r="C69" s="65"/>
      <c r="D69" s="65"/>
      <c r="E69" s="65"/>
      <c r="H69" s="65"/>
      <c r="I69" s="66"/>
      <c r="J69" s="66"/>
      <c r="L69" s="65"/>
      <c r="M69" s="65"/>
      <c r="N69" s="65"/>
    </row>
    <row r="70" spans="3:14" s="64" customFormat="1" x14ac:dyDescent="0.25">
      <c r="C70" s="65"/>
      <c r="D70" s="65"/>
      <c r="E70" s="65"/>
      <c r="H70" s="65"/>
      <c r="I70" s="66"/>
      <c r="J70" s="66"/>
      <c r="L70" s="65"/>
      <c r="M70" s="65"/>
      <c r="N70" s="65"/>
    </row>
    <row r="71" spans="3:14" s="64" customFormat="1" x14ac:dyDescent="0.25">
      <c r="C71" s="65"/>
      <c r="D71" s="65"/>
      <c r="E71" s="65"/>
      <c r="H71" s="65"/>
      <c r="I71" s="66"/>
      <c r="J71" s="66"/>
      <c r="L71" s="65"/>
      <c r="M71" s="65"/>
      <c r="N71" s="65"/>
    </row>
    <row r="72" spans="3:14" s="64" customFormat="1" x14ac:dyDescent="0.25">
      <c r="C72" s="65"/>
      <c r="D72" s="65"/>
      <c r="E72" s="65"/>
      <c r="H72" s="65"/>
      <c r="I72" s="66"/>
      <c r="J72" s="66"/>
      <c r="L72" s="65"/>
      <c r="M72" s="65"/>
      <c r="N72" s="65"/>
    </row>
    <row r="73" spans="3:14" s="64" customFormat="1" x14ac:dyDescent="0.25">
      <c r="C73" s="65"/>
      <c r="D73" s="65"/>
      <c r="E73" s="65"/>
      <c r="H73" s="65"/>
      <c r="I73" s="66"/>
      <c r="J73" s="66"/>
      <c r="L73" s="65"/>
      <c r="M73" s="65"/>
      <c r="N73" s="65"/>
    </row>
    <row r="74" spans="3:14" s="64" customFormat="1" x14ac:dyDescent="0.25">
      <c r="C74" s="65"/>
      <c r="D74" s="65"/>
      <c r="E74" s="65"/>
      <c r="H74" s="65"/>
      <c r="I74" s="66"/>
      <c r="J74" s="66"/>
      <c r="L74" s="65"/>
      <c r="M74" s="65"/>
      <c r="N74" s="65"/>
    </row>
    <row r="75" spans="3:14" s="64" customFormat="1" x14ac:dyDescent="0.25">
      <c r="C75" s="65"/>
      <c r="D75" s="65"/>
      <c r="E75" s="65"/>
      <c r="H75" s="65"/>
      <c r="I75" s="66"/>
      <c r="J75" s="66"/>
      <c r="L75" s="65"/>
      <c r="M75" s="65"/>
      <c r="N75" s="65"/>
    </row>
    <row r="76" spans="3:14" s="64" customFormat="1" x14ac:dyDescent="0.25">
      <c r="C76" s="65"/>
      <c r="D76" s="65"/>
      <c r="E76" s="65"/>
      <c r="H76" s="65"/>
      <c r="I76" s="66"/>
      <c r="J76" s="66"/>
      <c r="L76" s="65"/>
      <c r="M76" s="65"/>
      <c r="N76" s="65"/>
    </row>
    <row r="77" spans="3:14" s="64" customFormat="1" x14ac:dyDescent="0.25">
      <c r="C77" s="65"/>
      <c r="D77" s="65"/>
      <c r="E77" s="65"/>
      <c r="H77" s="65"/>
      <c r="I77" s="66"/>
      <c r="J77" s="66"/>
      <c r="L77" s="65"/>
      <c r="M77" s="65"/>
      <c r="N77" s="65"/>
    </row>
    <row r="78" spans="3:14" s="64" customFormat="1" x14ac:dyDescent="0.25">
      <c r="C78" s="65"/>
      <c r="D78" s="65"/>
      <c r="E78" s="65"/>
      <c r="H78" s="65"/>
      <c r="I78" s="66"/>
      <c r="J78" s="66"/>
      <c r="L78" s="65"/>
      <c r="M78" s="65"/>
      <c r="N78" s="65"/>
    </row>
    <row r="79" spans="3:14" s="64" customFormat="1" x14ac:dyDescent="0.25">
      <c r="C79" s="65"/>
      <c r="D79" s="65"/>
      <c r="E79" s="65"/>
      <c r="H79" s="65"/>
      <c r="I79" s="66"/>
      <c r="J79" s="66"/>
      <c r="L79" s="65"/>
      <c r="M79" s="65"/>
      <c r="N79" s="65"/>
    </row>
    <row r="80" spans="3:14" s="64" customFormat="1" x14ac:dyDescent="0.25">
      <c r="C80" s="65"/>
      <c r="D80" s="65"/>
      <c r="E80" s="65"/>
      <c r="H80" s="65"/>
      <c r="I80" s="66"/>
      <c r="J80" s="66"/>
      <c r="L80" s="65"/>
      <c r="M80" s="65"/>
      <c r="N80" s="65"/>
    </row>
    <row r="81" spans="3:14" s="64" customFormat="1" x14ac:dyDescent="0.25">
      <c r="C81" s="65"/>
      <c r="D81" s="65"/>
      <c r="E81" s="65"/>
      <c r="H81" s="65"/>
      <c r="I81" s="66"/>
      <c r="J81" s="66"/>
      <c r="L81" s="65"/>
      <c r="M81" s="65"/>
      <c r="N81" s="65"/>
    </row>
    <row r="82" spans="3:14" s="64" customFormat="1" x14ac:dyDescent="0.25">
      <c r="C82" s="65"/>
      <c r="D82" s="65"/>
      <c r="E82" s="65"/>
      <c r="H82" s="65"/>
      <c r="I82" s="66"/>
      <c r="J82" s="66"/>
      <c r="L82" s="65"/>
      <c r="M82" s="65"/>
      <c r="N82" s="65"/>
    </row>
    <row r="83" spans="3:14" s="64" customFormat="1" x14ac:dyDescent="0.25">
      <c r="C83" s="65"/>
      <c r="D83" s="65"/>
      <c r="E83" s="65"/>
      <c r="H83" s="65"/>
      <c r="I83" s="66"/>
      <c r="J83" s="66"/>
      <c r="L83" s="65"/>
      <c r="M83" s="65"/>
      <c r="N83" s="65"/>
    </row>
  </sheetData>
  <mergeCells count="10">
    <mergeCell ref="L9:L10"/>
    <mergeCell ref="R9:R10"/>
    <mergeCell ref="F6:R6"/>
    <mergeCell ref="E7:R7"/>
    <mergeCell ref="B8:C8"/>
    <mergeCell ref="E8:F8"/>
    <mergeCell ref="H8:I8"/>
    <mergeCell ref="K8:L8"/>
    <mergeCell ref="N8:O8"/>
    <mergeCell ref="Q8:R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showGridLines="0" workbookViewId="0"/>
  </sheetViews>
  <sheetFormatPr baseColWidth="10" defaultColWidth="9.75" defaultRowHeight="15" x14ac:dyDescent="0.25"/>
  <cols>
    <col min="1" max="1" width="15.33203125" customWidth="1"/>
    <col min="2" max="2" width="4.75" customWidth="1"/>
    <col min="3" max="3" width="5.75" style="67" customWidth="1"/>
    <col min="4" max="4" width="0.75" style="67" customWidth="1"/>
    <col min="5" max="5" width="4.75" customWidth="1"/>
    <col min="6" max="6" width="5.6640625" style="67" customWidth="1"/>
    <col min="7" max="7" width="0.58203125" style="67" customWidth="1"/>
    <col min="8" max="8" width="4.75" customWidth="1"/>
    <col min="9" max="9" width="5.6640625" style="67" customWidth="1"/>
    <col min="10" max="10" width="0.58203125" style="67" customWidth="1"/>
    <col min="11" max="12" width="4.75" customWidth="1"/>
    <col min="13" max="13" width="1.08203125" customWidth="1"/>
    <col min="14" max="15" width="4.9140625" customWidth="1"/>
    <col min="16" max="16" width="0.75" style="27" customWidth="1"/>
    <col min="17" max="17" width="4.4140625" customWidth="1"/>
    <col min="18" max="18" width="3.75" customWidth="1"/>
  </cols>
  <sheetData>
    <row r="1" spans="1:19" s="32" customFormat="1" ht="15" customHeight="1" x14ac:dyDescent="0.25">
      <c r="A1" s="69" t="s">
        <v>58</v>
      </c>
      <c r="C1" s="33"/>
      <c r="D1" s="33"/>
      <c r="F1" s="33"/>
      <c r="G1" s="33"/>
      <c r="I1" s="33"/>
      <c r="J1" s="33"/>
    </row>
    <row r="2" spans="1:19" s="32" customFormat="1" ht="15" customHeight="1" x14ac:dyDescent="0.25">
      <c r="A2" s="35" t="s">
        <v>63</v>
      </c>
      <c r="C2" s="33"/>
      <c r="D2" s="33"/>
      <c r="F2" s="33"/>
      <c r="G2" s="33"/>
      <c r="I2" s="33"/>
      <c r="J2" s="33"/>
    </row>
    <row r="3" spans="1:19" s="32" customFormat="1" ht="15" customHeight="1" x14ac:dyDescent="0.25">
      <c r="A3" s="35" t="s">
        <v>64</v>
      </c>
      <c r="C3" s="33"/>
      <c r="D3" s="33"/>
      <c r="F3" s="33"/>
      <c r="G3" s="33"/>
      <c r="I3" s="33"/>
      <c r="J3" s="33"/>
    </row>
    <row r="4" spans="1:19" s="32" customFormat="1" ht="15" customHeight="1" x14ac:dyDescent="0.25">
      <c r="A4" s="32" t="s">
        <v>80</v>
      </c>
      <c r="C4" s="33"/>
      <c r="D4" s="33"/>
      <c r="F4" s="33"/>
      <c r="G4" s="33"/>
      <c r="I4" s="33"/>
      <c r="J4" s="33"/>
    </row>
    <row r="5" spans="1:19" s="32" customFormat="1" ht="9.3000000000000007" customHeight="1" x14ac:dyDescent="0.25">
      <c r="C5" s="33"/>
      <c r="D5" s="33"/>
      <c r="F5" s="33"/>
      <c r="G5" s="33"/>
      <c r="I5" s="33"/>
      <c r="J5" s="33"/>
    </row>
    <row r="6" spans="1:19" s="32" customFormat="1" ht="13.05" customHeight="1" x14ac:dyDescent="0.25">
      <c r="A6" s="35"/>
      <c r="C6" s="33"/>
      <c r="D6" s="33"/>
      <c r="E6" s="153" t="s">
        <v>81</v>
      </c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</row>
    <row r="7" spans="1:19" s="32" customFormat="1" ht="13.05" customHeight="1" x14ac:dyDescent="0.25">
      <c r="A7" s="35" t="s">
        <v>66</v>
      </c>
      <c r="B7" s="153" t="s">
        <v>68</v>
      </c>
      <c r="C7" s="153"/>
      <c r="D7" s="61"/>
      <c r="E7" s="153" t="s">
        <v>3</v>
      </c>
      <c r="F7" s="153"/>
      <c r="G7" s="61"/>
      <c r="H7" s="153" t="s">
        <v>4</v>
      </c>
      <c r="I7" s="153"/>
      <c r="J7" s="61"/>
      <c r="K7" s="153" t="s">
        <v>5</v>
      </c>
      <c r="L7" s="153"/>
      <c r="M7" s="61"/>
      <c r="N7" s="153" t="s">
        <v>6</v>
      </c>
      <c r="O7" s="153"/>
      <c r="P7" s="61"/>
      <c r="Q7" s="153" t="s">
        <v>7</v>
      </c>
      <c r="R7" s="153"/>
    </row>
    <row r="8" spans="1:19" s="32" customFormat="1" ht="9.3000000000000007" customHeight="1" x14ac:dyDescent="0.25">
      <c r="A8" s="35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</row>
    <row r="9" spans="1:19" s="32" customFormat="1" ht="13.05" customHeight="1" x14ac:dyDescent="0.25">
      <c r="B9" s="76" t="s">
        <v>82</v>
      </c>
      <c r="C9" s="77" t="s">
        <v>83</v>
      </c>
      <c r="D9" s="77"/>
      <c r="E9" s="76" t="s">
        <v>82</v>
      </c>
      <c r="F9" s="77" t="s">
        <v>83</v>
      </c>
      <c r="G9" s="77"/>
      <c r="H9" s="76" t="s">
        <v>82</v>
      </c>
      <c r="I9" s="77" t="s">
        <v>83</v>
      </c>
      <c r="J9" s="77"/>
      <c r="K9" s="78" t="s">
        <v>82</v>
      </c>
      <c r="L9" s="77" t="s">
        <v>83</v>
      </c>
      <c r="M9" s="77"/>
      <c r="N9" s="76" t="s">
        <v>82</v>
      </c>
      <c r="O9" s="77" t="s">
        <v>83</v>
      </c>
      <c r="P9" s="77"/>
      <c r="Q9" s="76" t="s">
        <v>82</v>
      </c>
      <c r="R9" s="77" t="s">
        <v>83</v>
      </c>
    </row>
    <row r="10" spans="1:19" s="32" customFormat="1" ht="13.05" customHeight="1" x14ac:dyDescent="0.25">
      <c r="B10" s="76" t="s">
        <v>47</v>
      </c>
      <c r="C10" s="77" t="s">
        <v>84</v>
      </c>
      <c r="D10" s="77"/>
      <c r="E10" s="76" t="s">
        <v>47</v>
      </c>
      <c r="F10" s="77" t="s">
        <v>84</v>
      </c>
      <c r="G10" s="77"/>
      <c r="H10" s="76" t="s">
        <v>47</v>
      </c>
      <c r="I10" s="77" t="s">
        <v>84</v>
      </c>
      <c r="J10" s="77"/>
      <c r="K10" s="76" t="s">
        <v>47</v>
      </c>
      <c r="L10" s="77" t="s">
        <v>84</v>
      </c>
      <c r="M10" s="77"/>
      <c r="N10" s="76" t="s">
        <v>47</v>
      </c>
      <c r="O10" s="77" t="s">
        <v>84</v>
      </c>
      <c r="P10" s="77"/>
      <c r="Q10" s="76" t="s">
        <v>47</v>
      </c>
      <c r="R10" s="77" t="s">
        <v>84</v>
      </c>
    </row>
    <row r="11" spans="1:19" s="32" customFormat="1" ht="9.3000000000000007" customHeight="1" x14ac:dyDescent="0.25">
      <c r="B11" s="33"/>
      <c r="C11" s="77"/>
      <c r="D11" s="77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9" s="40" customFormat="1" ht="9.3000000000000007" customHeight="1" x14ac:dyDescent="0.25">
      <c r="A12" s="32"/>
      <c r="B12" s="25"/>
      <c r="C12" s="26"/>
      <c r="D12" s="26"/>
      <c r="E12" s="25"/>
      <c r="F12" s="26"/>
      <c r="G12" s="26"/>
      <c r="H12" s="25"/>
      <c r="I12" s="26"/>
      <c r="J12" s="26"/>
      <c r="K12" s="25"/>
      <c r="L12" s="25"/>
      <c r="M12" s="25"/>
      <c r="N12" s="25"/>
      <c r="O12" s="25"/>
      <c r="P12" s="25"/>
    </row>
    <row r="13" spans="1:19" s="40" customFormat="1" ht="13.05" customHeight="1" x14ac:dyDescent="0.25">
      <c r="A13" s="35" t="s">
        <v>85</v>
      </c>
      <c r="B13" s="71">
        <f>SUM(B15:B30)</f>
        <v>1719</v>
      </c>
      <c r="C13" s="71">
        <f>SUM(C15:C30)</f>
        <v>557514.98100000038</v>
      </c>
      <c r="D13" s="71"/>
      <c r="E13" s="71">
        <f>SUM(E15:E30)</f>
        <v>1400</v>
      </c>
      <c r="F13" s="71">
        <f>SUM(F15:F30)</f>
        <v>431423.81</v>
      </c>
      <c r="G13" s="71"/>
      <c r="H13" s="71">
        <f>SUM(H15:H30)</f>
        <v>254</v>
      </c>
      <c r="I13" s="71">
        <f>SUM(I15:I30)</f>
        <v>104245.08</v>
      </c>
      <c r="J13" s="71"/>
      <c r="K13" s="71">
        <f>SUM(K15:K30)</f>
        <v>33</v>
      </c>
      <c r="L13" s="71">
        <f>SUM(L15:L30)</f>
        <v>15302.951000000001</v>
      </c>
      <c r="M13" s="79"/>
      <c r="N13" s="71">
        <f>SUM(N15:N30)</f>
        <v>21</v>
      </c>
      <c r="O13" s="71">
        <f>SUM(O15:O30)</f>
        <v>5924.97</v>
      </c>
      <c r="P13" s="71"/>
      <c r="Q13" s="71">
        <f>SUM(Q15:Q30)</f>
        <v>11</v>
      </c>
      <c r="R13" s="71">
        <f>SUM(R15:R30)</f>
        <v>618.16999999999996</v>
      </c>
      <c r="S13" s="71"/>
    </row>
    <row r="14" spans="1:19" s="40" customFormat="1" ht="9.3000000000000007" customHeight="1" x14ac:dyDescent="0.25">
      <c r="A14" s="32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</row>
    <row r="15" spans="1:19" s="40" customFormat="1" ht="13.05" customHeight="1" x14ac:dyDescent="0.25">
      <c r="A15" s="35" t="s">
        <v>0</v>
      </c>
      <c r="B15" s="70">
        <v>369</v>
      </c>
      <c r="C15" s="70">
        <v>370662.72100000037</v>
      </c>
      <c r="D15" s="71"/>
      <c r="E15" s="70">
        <v>290</v>
      </c>
      <c r="F15" s="70">
        <v>290792.69</v>
      </c>
      <c r="G15" s="71"/>
      <c r="H15" s="70">
        <v>55</v>
      </c>
      <c r="I15" s="70">
        <v>70698.84</v>
      </c>
      <c r="J15" s="71"/>
      <c r="K15" s="70">
        <v>9</v>
      </c>
      <c r="L15" s="70">
        <v>7353.991</v>
      </c>
      <c r="M15" s="73"/>
      <c r="N15" s="70">
        <v>6</v>
      </c>
      <c r="O15" s="70">
        <v>1199.03</v>
      </c>
      <c r="P15" s="71"/>
      <c r="Q15" s="79">
        <v>9</v>
      </c>
      <c r="R15" s="79">
        <v>618.16999999999996</v>
      </c>
      <c r="S15" s="79"/>
    </row>
    <row r="16" spans="1:19" s="40" customFormat="1" ht="9.3000000000000007" customHeight="1" x14ac:dyDescent="0.25">
      <c r="A16" s="32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</row>
    <row r="17" spans="1:19" s="40" customFormat="1" ht="13.05" customHeight="1" x14ac:dyDescent="0.25">
      <c r="A17" s="35" t="s">
        <v>23</v>
      </c>
      <c r="B17" s="70">
        <v>3</v>
      </c>
      <c r="C17" s="70">
        <v>1705.59</v>
      </c>
      <c r="D17" s="71"/>
      <c r="E17" s="70">
        <v>2</v>
      </c>
      <c r="F17" s="70">
        <v>187.82</v>
      </c>
      <c r="G17" s="71"/>
      <c r="H17" s="70">
        <v>1</v>
      </c>
      <c r="I17" s="70">
        <v>1517.77</v>
      </c>
      <c r="J17" s="71"/>
      <c r="K17" s="70" t="s">
        <v>20</v>
      </c>
      <c r="L17" s="70" t="s">
        <v>20</v>
      </c>
      <c r="M17" s="73"/>
      <c r="N17" s="70" t="s">
        <v>20</v>
      </c>
      <c r="O17" s="70" t="s">
        <v>20</v>
      </c>
      <c r="P17" s="71"/>
      <c r="Q17" s="79" t="s">
        <v>20</v>
      </c>
      <c r="R17" s="79" t="s">
        <v>20</v>
      </c>
      <c r="S17" s="70"/>
    </row>
    <row r="18" spans="1:19" s="40" customFormat="1" ht="9.3000000000000007" customHeight="1" x14ac:dyDescent="0.25">
      <c r="A18" s="32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</row>
    <row r="19" spans="1:19" s="40" customFormat="1" ht="13.05" customHeight="1" x14ac:dyDescent="0.25">
      <c r="A19" s="35" t="s">
        <v>1</v>
      </c>
      <c r="B19" s="70">
        <v>72</v>
      </c>
      <c r="C19" s="70" t="s">
        <v>20</v>
      </c>
      <c r="D19" s="71"/>
      <c r="E19" s="70">
        <v>45</v>
      </c>
      <c r="F19" s="70" t="s">
        <v>20</v>
      </c>
      <c r="G19" s="71"/>
      <c r="H19" s="70">
        <v>25</v>
      </c>
      <c r="I19" s="70" t="s">
        <v>20</v>
      </c>
      <c r="J19" s="71"/>
      <c r="K19" s="70">
        <v>2</v>
      </c>
      <c r="L19" s="70" t="s">
        <v>20</v>
      </c>
      <c r="M19" s="73"/>
      <c r="N19" s="70" t="s">
        <v>20</v>
      </c>
      <c r="O19" s="70" t="s">
        <v>20</v>
      </c>
      <c r="P19" s="71"/>
      <c r="Q19" s="79" t="s">
        <v>20</v>
      </c>
      <c r="R19" s="79" t="s">
        <v>20</v>
      </c>
    </row>
    <row r="20" spans="1:19" s="40" customFormat="1" ht="9.3000000000000007" customHeight="1" x14ac:dyDescent="0.25">
      <c r="A20" s="32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</row>
    <row r="21" spans="1:19" s="40" customFormat="1" ht="13.05" customHeight="1" x14ac:dyDescent="0.25">
      <c r="A21" s="35" t="s">
        <v>2</v>
      </c>
      <c r="B21" s="70">
        <v>409</v>
      </c>
      <c r="C21" s="70">
        <v>46445.88</v>
      </c>
      <c r="D21" s="71"/>
      <c r="E21" s="70">
        <v>356</v>
      </c>
      <c r="F21" s="70">
        <v>25896.1</v>
      </c>
      <c r="G21" s="71"/>
      <c r="H21" s="70">
        <v>44</v>
      </c>
      <c r="I21" s="70">
        <v>14817.7</v>
      </c>
      <c r="J21" s="71"/>
      <c r="K21" s="70">
        <v>6</v>
      </c>
      <c r="L21" s="70">
        <v>4957.08</v>
      </c>
      <c r="M21" s="73"/>
      <c r="N21" s="70">
        <v>3</v>
      </c>
      <c r="O21" s="70">
        <v>775</v>
      </c>
      <c r="P21" s="71"/>
      <c r="Q21" s="79" t="s">
        <v>20</v>
      </c>
      <c r="R21" s="79" t="s">
        <v>20</v>
      </c>
    </row>
    <row r="22" spans="1:19" s="40" customFormat="1" ht="9.3000000000000007" customHeight="1" x14ac:dyDescent="0.25">
      <c r="A22" s="32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</row>
    <row r="23" spans="1:19" s="40" customFormat="1" ht="12" customHeight="1" x14ac:dyDescent="0.25">
      <c r="A23" s="32" t="s">
        <v>9</v>
      </c>
    </row>
    <row r="24" spans="1:19" s="40" customFormat="1" ht="13.05" customHeight="1" x14ac:dyDescent="0.25">
      <c r="A24" s="35" t="s">
        <v>61</v>
      </c>
      <c r="B24" s="70">
        <v>3</v>
      </c>
      <c r="C24" s="70" t="s">
        <v>20</v>
      </c>
      <c r="D24" s="71"/>
      <c r="E24" s="70">
        <v>2</v>
      </c>
      <c r="F24" s="70" t="s">
        <v>20</v>
      </c>
      <c r="G24" s="71"/>
      <c r="H24" s="70">
        <v>1</v>
      </c>
      <c r="I24" s="70" t="s">
        <v>20</v>
      </c>
      <c r="J24" s="71"/>
      <c r="K24" s="70" t="s">
        <v>20</v>
      </c>
      <c r="L24" s="70" t="s">
        <v>20</v>
      </c>
      <c r="M24" s="73"/>
      <c r="N24" s="70" t="s">
        <v>20</v>
      </c>
      <c r="O24" s="70" t="s">
        <v>20</v>
      </c>
      <c r="P24" s="71"/>
      <c r="Q24" s="79" t="s">
        <v>20</v>
      </c>
      <c r="R24" s="79" t="s">
        <v>20</v>
      </c>
    </row>
    <row r="25" spans="1:19" s="40" customFormat="1" ht="9.3000000000000007" customHeight="1" x14ac:dyDescent="0.25">
      <c r="A25" s="32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</row>
    <row r="26" spans="1:19" s="40" customFormat="1" ht="13.05" customHeight="1" x14ac:dyDescent="0.25">
      <c r="A26" s="32" t="s">
        <v>86</v>
      </c>
    </row>
    <row r="27" spans="1:19" s="40" customFormat="1" ht="13.05" customHeight="1" x14ac:dyDescent="0.25">
      <c r="A27" s="35" t="s">
        <v>87</v>
      </c>
      <c r="B27" s="70">
        <v>447</v>
      </c>
      <c r="C27" s="70">
        <v>138700.79</v>
      </c>
      <c r="D27" s="71"/>
      <c r="E27" s="70">
        <v>366</v>
      </c>
      <c r="F27" s="70">
        <v>114547.2</v>
      </c>
      <c r="G27" s="71"/>
      <c r="H27" s="70">
        <v>65</v>
      </c>
      <c r="I27" s="70">
        <v>17210.77</v>
      </c>
      <c r="J27" s="71"/>
      <c r="K27" s="70">
        <v>12</v>
      </c>
      <c r="L27" s="70">
        <v>2991.88</v>
      </c>
      <c r="M27" s="73"/>
      <c r="N27" s="70">
        <v>4</v>
      </c>
      <c r="O27" s="70">
        <v>3950.94</v>
      </c>
      <c r="P27" s="71"/>
      <c r="Q27" s="79" t="s">
        <v>20</v>
      </c>
      <c r="R27" s="79" t="s">
        <v>20</v>
      </c>
    </row>
    <row r="28" spans="1:19" s="40" customFormat="1" ht="9.3000000000000007" customHeight="1" x14ac:dyDescent="0.25">
      <c r="A28" s="35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</row>
    <row r="29" spans="1:19" s="40" customFormat="1" ht="13.05" customHeight="1" x14ac:dyDescent="0.25">
      <c r="A29" s="32" t="s">
        <v>88</v>
      </c>
    </row>
    <row r="30" spans="1:19" s="40" customFormat="1" ht="13.05" customHeight="1" x14ac:dyDescent="0.25">
      <c r="A30" s="35" t="s">
        <v>89</v>
      </c>
      <c r="B30" s="70">
        <v>416</v>
      </c>
      <c r="C30" s="70" t="s">
        <v>20</v>
      </c>
      <c r="D30" s="71"/>
      <c r="E30" s="70">
        <v>339</v>
      </c>
      <c r="F30" s="70" t="s">
        <v>20</v>
      </c>
      <c r="G30" s="71"/>
      <c r="H30" s="70">
        <v>63</v>
      </c>
      <c r="I30" s="70" t="s">
        <v>20</v>
      </c>
      <c r="J30" s="71"/>
      <c r="K30" s="70">
        <v>4</v>
      </c>
      <c r="L30" s="70" t="s">
        <v>20</v>
      </c>
      <c r="M30" s="73"/>
      <c r="N30" s="70">
        <v>8</v>
      </c>
      <c r="O30" s="70" t="s">
        <v>20</v>
      </c>
      <c r="P30" s="71"/>
      <c r="Q30" s="79">
        <v>2</v>
      </c>
      <c r="R30" s="79" t="s">
        <v>20</v>
      </c>
    </row>
    <row r="31" spans="1:19" s="40" customFormat="1" ht="9.3000000000000007" customHeight="1" x14ac:dyDescent="0.25">
      <c r="A31" s="35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</row>
    <row r="32" spans="1:19" s="32" customFormat="1" ht="9.3000000000000007" customHeight="1" x14ac:dyDescent="0.25"/>
    <row r="33" spans="1:10" s="32" customFormat="1" ht="13.05" customHeight="1" x14ac:dyDescent="0.25">
      <c r="A33" s="35" t="s">
        <v>90</v>
      </c>
      <c r="C33" s="33"/>
      <c r="D33" s="33"/>
      <c r="F33" s="33"/>
      <c r="G33" s="33"/>
      <c r="I33" s="33"/>
      <c r="J33" s="33"/>
    </row>
    <row r="34" spans="1:10" s="32" customFormat="1" ht="13.05" customHeight="1" x14ac:dyDescent="0.25">
      <c r="A34" s="35" t="s">
        <v>71</v>
      </c>
      <c r="C34" s="33"/>
      <c r="D34" s="33"/>
      <c r="F34" s="33"/>
      <c r="G34" s="33"/>
      <c r="I34" s="33"/>
      <c r="J34" s="33"/>
    </row>
    <row r="35" spans="1:10" s="32" customFormat="1" ht="13.05" customHeight="1" x14ac:dyDescent="0.25">
      <c r="A35" s="35" t="s">
        <v>79</v>
      </c>
      <c r="C35" s="33"/>
      <c r="D35" s="33"/>
      <c r="F35" s="33"/>
      <c r="G35" s="33"/>
      <c r="I35" s="33"/>
      <c r="J35" s="33"/>
    </row>
    <row r="36" spans="1:10" s="32" customFormat="1" ht="9.3000000000000007" customHeight="1" x14ac:dyDescent="0.25">
      <c r="A36" s="35" t="s">
        <v>44</v>
      </c>
      <c r="C36" s="33"/>
      <c r="D36" s="33"/>
      <c r="F36" s="33"/>
      <c r="G36" s="33"/>
      <c r="I36" s="33"/>
      <c r="J36" s="33"/>
    </row>
    <row r="37" spans="1:10" ht="13.05" customHeight="1" x14ac:dyDescent="0.25"/>
  </sheetData>
  <mergeCells count="7">
    <mergeCell ref="E6:R6"/>
    <mergeCell ref="B7:C7"/>
    <mergeCell ref="E7:F7"/>
    <mergeCell ref="H7:I7"/>
    <mergeCell ref="K7:L7"/>
    <mergeCell ref="N7:O7"/>
    <mergeCell ref="Q7:R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showGridLines="0" workbookViewId="0"/>
  </sheetViews>
  <sheetFormatPr baseColWidth="10" defaultColWidth="9.75" defaultRowHeight="15" x14ac:dyDescent="0.25"/>
  <cols>
    <col min="1" max="1" width="14" customWidth="1"/>
    <col min="2" max="2" width="4.75" customWidth="1"/>
    <col min="3" max="3" width="5.75" style="67" customWidth="1"/>
    <col min="4" max="4" width="0.75" style="67" customWidth="1"/>
    <col min="5" max="5" width="4.75" customWidth="1"/>
    <col min="6" max="6" width="5.6640625" style="67" customWidth="1"/>
    <col min="7" max="7" width="0.58203125" style="67" customWidth="1"/>
    <col min="8" max="8" width="4.75" customWidth="1"/>
    <col min="9" max="9" width="5.6640625" style="67" customWidth="1"/>
    <col min="10" max="10" width="0.58203125" style="67" customWidth="1"/>
    <col min="11" max="12" width="4.75" customWidth="1"/>
    <col min="13" max="13" width="1.08203125" customWidth="1"/>
    <col min="14" max="15" width="4.9140625" customWidth="1"/>
    <col min="16" max="16" width="0.75" style="27" customWidth="1"/>
    <col min="17" max="17" width="4.4140625" customWidth="1"/>
    <col min="18" max="18" width="3.75" customWidth="1"/>
  </cols>
  <sheetData>
    <row r="1" spans="1:19" s="32" customFormat="1" ht="15" customHeight="1" x14ac:dyDescent="0.25">
      <c r="A1" s="69" t="s">
        <v>58</v>
      </c>
      <c r="C1" s="33"/>
      <c r="D1" s="33"/>
      <c r="F1" s="33"/>
      <c r="G1" s="33"/>
      <c r="I1" s="33"/>
      <c r="J1" s="33"/>
    </row>
    <row r="2" spans="1:19" s="32" customFormat="1" ht="15" customHeight="1" x14ac:dyDescent="0.25">
      <c r="A2" s="35" t="s">
        <v>63</v>
      </c>
      <c r="C2" s="33"/>
      <c r="D2" s="33"/>
      <c r="F2" s="33"/>
      <c r="G2" s="33"/>
      <c r="I2" s="33"/>
      <c r="J2" s="33"/>
    </row>
    <row r="3" spans="1:19" s="32" customFormat="1" ht="15" customHeight="1" x14ac:dyDescent="0.25">
      <c r="A3" s="35" t="s">
        <v>64</v>
      </c>
      <c r="C3" s="33"/>
      <c r="D3" s="33"/>
      <c r="F3" s="33"/>
      <c r="G3" s="33"/>
      <c r="I3" s="33"/>
      <c r="J3" s="33"/>
    </row>
    <row r="4" spans="1:19" s="32" customFormat="1" ht="15" customHeight="1" x14ac:dyDescent="0.25">
      <c r="A4" s="32" t="s">
        <v>91</v>
      </c>
      <c r="C4" s="33"/>
      <c r="D4" s="33"/>
      <c r="F4" s="33"/>
      <c r="G4" s="33"/>
      <c r="I4" s="33"/>
      <c r="J4" s="33"/>
    </row>
    <row r="5" spans="1:19" s="32" customFormat="1" ht="9.3000000000000007" customHeight="1" x14ac:dyDescent="0.25">
      <c r="C5" s="33"/>
      <c r="D5" s="33"/>
      <c r="F5" s="33"/>
      <c r="G5" s="33"/>
      <c r="I5" s="33"/>
      <c r="J5" s="33"/>
    </row>
    <row r="6" spans="1:19" s="32" customFormat="1" ht="13.05" customHeight="1" x14ac:dyDescent="0.25">
      <c r="A6" s="35"/>
      <c r="C6" s="33"/>
      <c r="D6" s="33"/>
      <c r="E6" s="153" t="s">
        <v>81</v>
      </c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</row>
    <row r="7" spans="1:19" s="32" customFormat="1" ht="13.05" customHeight="1" x14ac:dyDescent="0.25">
      <c r="A7" s="35" t="s">
        <v>66</v>
      </c>
      <c r="B7" s="153" t="s">
        <v>68</v>
      </c>
      <c r="C7" s="153"/>
      <c r="D7" s="61"/>
      <c r="E7" s="153" t="s">
        <v>3</v>
      </c>
      <c r="F7" s="153"/>
      <c r="G7" s="61"/>
      <c r="H7" s="153" t="s">
        <v>4</v>
      </c>
      <c r="I7" s="153"/>
      <c r="J7" s="61"/>
      <c r="K7" s="153" t="s">
        <v>5</v>
      </c>
      <c r="L7" s="153"/>
      <c r="M7" s="61"/>
      <c r="N7" s="153" t="s">
        <v>6</v>
      </c>
      <c r="O7" s="153"/>
      <c r="P7" s="61"/>
      <c r="Q7" s="153" t="s">
        <v>7</v>
      </c>
      <c r="R7" s="153"/>
    </row>
    <row r="8" spans="1:19" s="32" customFormat="1" ht="9.3000000000000007" customHeight="1" x14ac:dyDescent="0.25">
      <c r="A8" s="35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</row>
    <row r="9" spans="1:19" s="32" customFormat="1" ht="13.05" customHeight="1" x14ac:dyDescent="0.25">
      <c r="B9" s="76" t="s">
        <v>82</v>
      </c>
      <c r="C9" s="77" t="s">
        <v>83</v>
      </c>
      <c r="D9" s="77"/>
      <c r="E9" s="76" t="s">
        <v>82</v>
      </c>
      <c r="F9" s="77" t="s">
        <v>83</v>
      </c>
      <c r="G9" s="77"/>
      <c r="H9" s="76" t="s">
        <v>82</v>
      </c>
      <c r="I9" s="77" t="s">
        <v>83</v>
      </c>
      <c r="J9" s="77"/>
      <c r="K9" s="78" t="s">
        <v>82</v>
      </c>
      <c r="L9" s="77" t="s">
        <v>83</v>
      </c>
      <c r="M9" s="77"/>
      <c r="N9" s="76" t="s">
        <v>82</v>
      </c>
      <c r="O9" s="77" t="s">
        <v>83</v>
      </c>
      <c r="P9" s="77"/>
      <c r="Q9" s="76" t="s">
        <v>82</v>
      </c>
      <c r="R9" s="77" t="s">
        <v>83</v>
      </c>
    </row>
    <row r="10" spans="1:19" s="32" customFormat="1" ht="13.05" customHeight="1" x14ac:dyDescent="0.25">
      <c r="B10" s="76" t="s">
        <v>47</v>
      </c>
      <c r="C10" s="77" t="s">
        <v>84</v>
      </c>
      <c r="D10" s="77"/>
      <c r="E10" s="76" t="s">
        <v>47</v>
      </c>
      <c r="F10" s="77" t="s">
        <v>84</v>
      </c>
      <c r="G10" s="77"/>
      <c r="H10" s="76" t="s">
        <v>47</v>
      </c>
      <c r="I10" s="77" t="s">
        <v>84</v>
      </c>
      <c r="J10" s="77"/>
      <c r="K10" s="76" t="s">
        <v>47</v>
      </c>
      <c r="L10" s="77" t="s">
        <v>84</v>
      </c>
      <c r="M10" s="77"/>
      <c r="N10" s="76" t="s">
        <v>47</v>
      </c>
      <c r="O10" s="77" t="s">
        <v>84</v>
      </c>
      <c r="P10" s="77"/>
      <c r="Q10" s="76" t="s">
        <v>47</v>
      </c>
      <c r="R10" s="77" t="s">
        <v>84</v>
      </c>
    </row>
    <row r="11" spans="1:19" s="32" customFormat="1" ht="9.3000000000000007" customHeight="1" x14ac:dyDescent="0.25">
      <c r="B11" s="33"/>
      <c r="C11" s="77"/>
      <c r="D11" s="77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9" s="40" customFormat="1" ht="9.3000000000000007" customHeight="1" x14ac:dyDescent="0.25">
      <c r="A12" s="32"/>
      <c r="B12" s="25"/>
      <c r="C12" s="26"/>
      <c r="D12" s="26"/>
      <c r="E12" s="25"/>
      <c r="F12" s="26"/>
      <c r="G12" s="26"/>
      <c r="H12" s="25"/>
      <c r="I12" s="26"/>
      <c r="J12" s="26"/>
      <c r="K12" s="25"/>
      <c r="L12" s="25"/>
      <c r="M12" s="25"/>
      <c r="N12" s="25"/>
      <c r="O12" s="25"/>
      <c r="P12" s="25"/>
    </row>
    <row r="13" spans="1:19" s="40" customFormat="1" ht="13.05" customHeight="1" x14ac:dyDescent="0.25">
      <c r="A13" s="35" t="s">
        <v>85</v>
      </c>
      <c r="B13" s="71">
        <v>1678</v>
      </c>
      <c r="C13" s="71">
        <v>417680.22</v>
      </c>
      <c r="D13" s="71"/>
      <c r="E13" s="71">
        <v>1353</v>
      </c>
      <c r="F13" s="71">
        <v>260317.08000000002</v>
      </c>
      <c r="G13" s="71"/>
      <c r="H13" s="71">
        <v>260</v>
      </c>
      <c r="I13" s="71">
        <v>119165.7</v>
      </c>
      <c r="J13" s="71"/>
      <c r="K13" s="71">
        <v>35</v>
      </c>
      <c r="L13" s="71">
        <v>31661.55</v>
      </c>
      <c r="M13" s="79"/>
      <c r="N13" s="71">
        <v>25</v>
      </c>
      <c r="O13" s="71">
        <v>6535.8899999999994</v>
      </c>
      <c r="P13" s="71"/>
      <c r="Q13" s="71">
        <v>5</v>
      </c>
      <c r="R13" s="79" t="s">
        <v>20</v>
      </c>
      <c r="S13" s="71"/>
    </row>
    <row r="14" spans="1:19" s="40" customFormat="1" ht="9.3000000000000007" customHeight="1" x14ac:dyDescent="0.25">
      <c r="A14" s="32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</row>
    <row r="15" spans="1:19" s="40" customFormat="1" ht="13.05" customHeight="1" x14ac:dyDescent="0.25">
      <c r="A15" s="35" t="s">
        <v>0</v>
      </c>
      <c r="B15" s="70">
        <v>307</v>
      </c>
      <c r="C15" s="70">
        <v>328009.17</v>
      </c>
      <c r="D15" s="71"/>
      <c r="E15" s="70">
        <v>236</v>
      </c>
      <c r="F15" s="70">
        <v>208760.13</v>
      </c>
      <c r="G15" s="71"/>
      <c r="H15" s="70">
        <v>58</v>
      </c>
      <c r="I15" s="70">
        <v>90739.4</v>
      </c>
      <c r="J15" s="71"/>
      <c r="K15" s="70">
        <v>8</v>
      </c>
      <c r="L15" s="70">
        <v>27170.26</v>
      </c>
      <c r="M15" s="73"/>
      <c r="N15" s="70">
        <v>5</v>
      </c>
      <c r="O15" s="70">
        <v>1339.38</v>
      </c>
      <c r="P15" s="71"/>
      <c r="Q15" s="79" t="s">
        <v>20</v>
      </c>
      <c r="R15" s="79" t="s">
        <v>20</v>
      </c>
      <c r="S15" s="79"/>
    </row>
    <row r="16" spans="1:19" s="40" customFormat="1" ht="9.3000000000000007" customHeight="1" x14ac:dyDescent="0.25">
      <c r="A16" s="32"/>
      <c r="B16" s="71"/>
      <c r="C16" s="71"/>
      <c r="D16" s="71"/>
      <c r="E16" s="79"/>
      <c r="F16" s="79"/>
      <c r="G16" s="71"/>
      <c r="H16" s="79"/>
      <c r="I16" s="79"/>
      <c r="J16" s="71"/>
      <c r="K16" s="79"/>
      <c r="L16" s="79"/>
      <c r="M16" s="73"/>
      <c r="N16" s="79"/>
      <c r="O16" s="79"/>
      <c r="P16" s="71"/>
    </row>
    <row r="17" spans="1:19" s="40" customFormat="1" ht="13.05" customHeight="1" x14ac:dyDescent="0.25">
      <c r="A17" s="35" t="s">
        <v>23</v>
      </c>
      <c r="B17" s="70">
        <v>20</v>
      </c>
      <c r="C17" s="70">
        <v>431.97</v>
      </c>
      <c r="D17" s="71"/>
      <c r="E17" s="70">
        <v>15</v>
      </c>
      <c r="F17" s="70">
        <v>224.53</v>
      </c>
      <c r="G17" s="71"/>
      <c r="H17" s="70">
        <v>4</v>
      </c>
      <c r="I17" s="70">
        <v>200.44</v>
      </c>
      <c r="J17" s="79"/>
      <c r="K17" s="70">
        <v>1</v>
      </c>
      <c r="L17" s="70">
        <v>7</v>
      </c>
      <c r="M17" s="73"/>
      <c r="N17" s="70" t="s">
        <v>20</v>
      </c>
      <c r="O17" s="70" t="s">
        <v>20</v>
      </c>
      <c r="P17" s="71"/>
      <c r="Q17" s="70" t="s">
        <v>20</v>
      </c>
      <c r="R17" s="70" t="s">
        <v>20</v>
      </c>
      <c r="S17" s="70"/>
    </row>
    <row r="18" spans="1:19" s="40" customFormat="1" ht="9.3000000000000007" customHeight="1" x14ac:dyDescent="0.25">
      <c r="A18" s="32"/>
      <c r="B18" s="71"/>
      <c r="C18" s="71"/>
      <c r="D18" s="71"/>
      <c r="E18" s="79"/>
      <c r="F18" s="79"/>
      <c r="G18" s="71"/>
      <c r="H18" s="79"/>
      <c r="I18" s="79"/>
      <c r="J18" s="71"/>
      <c r="K18" s="79"/>
      <c r="L18" s="79"/>
      <c r="M18" s="73"/>
      <c r="N18" s="79"/>
      <c r="O18" s="79"/>
      <c r="P18" s="71"/>
    </row>
    <row r="19" spans="1:19" s="40" customFormat="1" ht="13.05" customHeight="1" x14ac:dyDescent="0.25">
      <c r="A19" s="35" t="s">
        <v>1</v>
      </c>
      <c r="B19" s="70">
        <v>94</v>
      </c>
      <c r="C19" s="70" t="s">
        <v>20</v>
      </c>
      <c r="D19" s="71"/>
      <c r="E19" s="70">
        <v>50</v>
      </c>
      <c r="F19" s="70" t="s">
        <v>20</v>
      </c>
      <c r="G19" s="71"/>
      <c r="H19" s="70">
        <v>35</v>
      </c>
      <c r="I19" s="70" t="s">
        <v>20</v>
      </c>
      <c r="J19" s="71"/>
      <c r="K19" s="70">
        <v>8</v>
      </c>
      <c r="L19" s="70" t="s">
        <v>20</v>
      </c>
      <c r="M19" s="73"/>
      <c r="N19" s="70">
        <v>1</v>
      </c>
      <c r="O19" s="70" t="s">
        <v>20</v>
      </c>
      <c r="P19" s="71"/>
      <c r="Q19" s="70" t="s">
        <v>20</v>
      </c>
      <c r="R19" s="70" t="s">
        <v>20</v>
      </c>
    </row>
    <row r="20" spans="1:19" s="40" customFormat="1" ht="9.3000000000000007" customHeight="1" x14ac:dyDescent="0.25">
      <c r="A20" s="32"/>
      <c r="B20" s="71"/>
      <c r="C20" s="71"/>
      <c r="D20" s="71"/>
      <c r="E20" s="79"/>
      <c r="F20" s="79"/>
      <c r="G20" s="71"/>
      <c r="H20" s="79"/>
      <c r="I20" s="79"/>
      <c r="J20" s="71"/>
      <c r="K20" s="79"/>
      <c r="L20" s="79"/>
      <c r="M20" s="73"/>
      <c r="N20" s="79"/>
      <c r="O20" s="79"/>
      <c r="P20" s="71"/>
    </row>
    <row r="21" spans="1:19" s="40" customFormat="1" ht="13.05" customHeight="1" x14ac:dyDescent="0.25">
      <c r="A21" s="35" t="s">
        <v>2</v>
      </c>
      <c r="B21" s="70">
        <v>349</v>
      </c>
      <c r="C21" s="70">
        <v>39763.43</v>
      </c>
      <c r="D21" s="71"/>
      <c r="E21" s="70">
        <v>295</v>
      </c>
      <c r="F21" s="70">
        <v>22679.73</v>
      </c>
      <c r="G21" s="71"/>
      <c r="H21" s="70">
        <v>42</v>
      </c>
      <c r="I21" s="70">
        <v>13622.47</v>
      </c>
      <c r="J21" s="71"/>
      <c r="K21" s="70">
        <v>9</v>
      </c>
      <c r="L21" s="70">
        <v>3266.2</v>
      </c>
      <c r="M21" s="73"/>
      <c r="N21" s="70">
        <v>3</v>
      </c>
      <c r="O21" s="70">
        <v>195.03</v>
      </c>
      <c r="P21" s="71"/>
      <c r="Q21" s="70" t="s">
        <v>20</v>
      </c>
      <c r="R21" s="70" t="s">
        <v>20</v>
      </c>
    </row>
    <row r="22" spans="1:19" s="40" customFormat="1" ht="9.3000000000000007" customHeight="1" x14ac:dyDescent="0.25">
      <c r="A22" s="32"/>
      <c r="B22" s="71"/>
      <c r="C22" s="71"/>
      <c r="D22" s="71"/>
      <c r="E22" s="79"/>
      <c r="F22" s="79"/>
      <c r="G22" s="71"/>
      <c r="H22" s="79"/>
      <c r="I22" s="79"/>
      <c r="J22" s="71"/>
      <c r="K22" s="79"/>
      <c r="L22" s="79"/>
      <c r="M22" s="73"/>
      <c r="N22" s="79"/>
      <c r="O22" s="79"/>
      <c r="P22" s="71"/>
    </row>
    <row r="23" spans="1:19" s="40" customFormat="1" ht="12" customHeight="1" x14ac:dyDescent="0.25">
      <c r="A23" s="32" t="s">
        <v>9</v>
      </c>
      <c r="B23" s="71"/>
      <c r="C23" s="71"/>
      <c r="D23" s="71"/>
      <c r="E23" s="1"/>
      <c r="F23" s="1"/>
      <c r="G23" s="71"/>
      <c r="H23" s="1"/>
      <c r="I23" s="1"/>
      <c r="J23" s="71"/>
      <c r="K23" s="1"/>
      <c r="L23" s="1"/>
      <c r="M23" s="1"/>
      <c r="N23" s="1"/>
      <c r="O23" s="1"/>
      <c r="P23" s="1"/>
    </row>
    <row r="24" spans="1:19" s="40" customFormat="1" ht="13.05" customHeight="1" x14ac:dyDescent="0.25">
      <c r="A24" s="35" t="s">
        <v>61</v>
      </c>
      <c r="B24" s="70">
        <v>4</v>
      </c>
      <c r="C24" s="70" t="s">
        <v>20</v>
      </c>
      <c r="D24" s="71"/>
      <c r="E24" s="70">
        <v>4</v>
      </c>
      <c r="F24" s="70" t="s">
        <v>20</v>
      </c>
      <c r="G24" s="71"/>
      <c r="H24" s="70" t="s">
        <v>20</v>
      </c>
      <c r="I24" s="70" t="s">
        <v>20</v>
      </c>
      <c r="J24" s="71"/>
      <c r="K24" s="70" t="s">
        <v>20</v>
      </c>
      <c r="L24" s="70" t="s">
        <v>20</v>
      </c>
      <c r="M24" s="73"/>
      <c r="N24" s="70" t="s">
        <v>20</v>
      </c>
      <c r="O24" s="70" t="s">
        <v>20</v>
      </c>
      <c r="P24" s="71"/>
      <c r="Q24" s="70" t="s">
        <v>20</v>
      </c>
      <c r="R24" s="70" t="s">
        <v>20</v>
      </c>
    </row>
    <row r="25" spans="1:19" s="40" customFormat="1" ht="9.3000000000000007" customHeight="1" x14ac:dyDescent="0.25">
      <c r="A25" s="32"/>
      <c r="B25" s="71"/>
      <c r="C25" s="71"/>
      <c r="D25" s="71"/>
      <c r="E25" s="79"/>
      <c r="F25" s="79"/>
      <c r="G25" s="71"/>
      <c r="H25" s="79"/>
      <c r="I25" s="79"/>
      <c r="J25" s="71"/>
      <c r="K25" s="79"/>
      <c r="L25" s="79"/>
      <c r="M25" s="73"/>
      <c r="N25" s="79"/>
      <c r="O25" s="79"/>
      <c r="P25" s="71"/>
    </row>
    <row r="26" spans="1:19" s="40" customFormat="1" ht="13.05" customHeight="1" x14ac:dyDescent="0.25">
      <c r="A26" s="32" t="s">
        <v>86</v>
      </c>
    </row>
    <row r="27" spans="1:19" s="40" customFormat="1" ht="13.05" customHeight="1" x14ac:dyDescent="0.25">
      <c r="A27" s="35" t="s">
        <v>87</v>
      </c>
      <c r="B27" s="70">
        <v>435</v>
      </c>
      <c r="C27" s="70">
        <v>49475.65</v>
      </c>
      <c r="D27" s="71"/>
      <c r="E27" s="70">
        <v>351</v>
      </c>
      <c r="F27" s="70">
        <v>28652.69</v>
      </c>
      <c r="G27" s="71"/>
      <c r="H27" s="70">
        <v>69</v>
      </c>
      <c r="I27" s="70">
        <v>14603.39</v>
      </c>
      <c r="J27" s="71"/>
      <c r="K27" s="70">
        <v>5</v>
      </c>
      <c r="L27" s="70">
        <v>1218.0899999999999</v>
      </c>
      <c r="M27" s="73"/>
      <c r="N27" s="70">
        <v>10</v>
      </c>
      <c r="O27" s="70">
        <v>5001.4799999999996</v>
      </c>
      <c r="P27" s="71"/>
      <c r="Q27" s="70" t="s">
        <v>20</v>
      </c>
      <c r="R27" s="70" t="s">
        <v>20</v>
      </c>
    </row>
    <row r="28" spans="1:19" s="40" customFormat="1" ht="9.3000000000000007" customHeight="1" x14ac:dyDescent="0.25">
      <c r="A28" s="35"/>
      <c r="B28" s="71"/>
      <c r="C28" s="71"/>
      <c r="D28" s="71"/>
      <c r="E28" s="79"/>
      <c r="F28" s="79"/>
      <c r="G28" s="71"/>
      <c r="H28" s="79"/>
      <c r="I28" s="79"/>
      <c r="J28" s="71"/>
      <c r="K28" s="79"/>
      <c r="L28" s="79"/>
      <c r="M28" s="73"/>
      <c r="N28" s="79"/>
      <c r="O28" s="79"/>
      <c r="P28" s="71"/>
    </row>
    <row r="29" spans="1:19" s="40" customFormat="1" ht="13.05" customHeight="1" x14ac:dyDescent="0.25">
      <c r="A29" s="32" t="s">
        <v>88</v>
      </c>
      <c r="G29" s="40" t="s">
        <v>92</v>
      </c>
    </row>
    <row r="30" spans="1:19" s="40" customFormat="1" ht="13.05" customHeight="1" x14ac:dyDescent="0.25">
      <c r="A30" s="35" t="s">
        <v>89</v>
      </c>
      <c r="B30" s="70">
        <v>469</v>
      </c>
      <c r="C30" s="70" t="s">
        <v>20</v>
      </c>
      <c r="D30" s="71"/>
      <c r="E30" s="70">
        <v>402</v>
      </c>
      <c r="F30" s="70" t="s">
        <v>20</v>
      </c>
      <c r="G30" s="71"/>
      <c r="H30" s="70">
        <v>52</v>
      </c>
      <c r="I30" s="70" t="s">
        <v>20</v>
      </c>
      <c r="J30" s="71"/>
      <c r="K30" s="70">
        <v>4</v>
      </c>
      <c r="L30" s="70" t="s">
        <v>20</v>
      </c>
      <c r="M30" s="73"/>
      <c r="N30" s="70">
        <v>6</v>
      </c>
      <c r="O30" s="70" t="s">
        <v>20</v>
      </c>
      <c r="P30" s="71"/>
      <c r="Q30" s="70">
        <v>5</v>
      </c>
      <c r="R30" s="70" t="s">
        <v>20</v>
      </c>
    </row>
    <row r="31" spans="1:19" s="40" customFormat="1" ht="9.3000000000000007" customHeight="1" x14ac:dyDescent="0.25">
      <c r="A31" s="35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</row>
    <row r="32" spans="1:19" s="32" customFormat="1" ht="9.3000000000000007" customHeight="1" x14ac:dyDescent="0.25"/>
    <row r="33" spans="1:10" s="32" customFormat="1" ht="13.05" customHeight="1" x14ac:dyDescent="0.25">
      <c r="A33" s="35" t="s">
        <v>90</v>
      </c>
      <c r="C33" s="33"/>
      <c r="D33" s="33"/>
      <c r="F33" s="33"/>
      <c r="G33" s="33"/>
      <c r="I33" s="33"/>
      <c r="J33" s="33"/>
    </row>
    <row r="34" spans="1:10" s="32" customFormat="1" ht="13.05" customHeight="1" x14ac:dyDescent="0.25">
      <c r="A34" s="35" t="s">
        <v>71</v>
      </c>
      <c r="C34" s="33"/>
      <c r="D34" s="33"/>
      <c r="F34" s="33"/>
      <c r="G34" s="33"/>
      <c r="I34" s="33"/>
      <c r="J34" s="33"/>
    </row>
    <row r="35" spans="1:10" s="32" customFormat="1" ht="13.05" customHeight="1" x14ac:dyDescent="0.25">
      <c r="A35" s="35" t="s">
        <v>79</v>
      </c>
      <c r="C35" s="33"/>
      <c r="D35" s="33"/>
      <c r="F35" s="33"/>
      <c r="G35" s="33"/>
      <c r="I35" s="33"/>
      <c r="J35" s="33"/>
    </row>
    <row r="36" spans="1:10" s="32" customFormat="1" ht="9.3000000000000007" customHeight="1" x14ac:dyDescent="0.25">
      <c r="A36" s="35" t="s">
        <v>44</v>
      </c>
      <c r="C36" s="33"/>
      <c r="D36" s="33"/>
      <c r="F36" s="33"/>
      <c r="G36" s="33"/>
      <c r="I36" s="33"/>
      <c r="J36" s="33"/>
    </row>
    <row r="37" spans="1:10" ht="13.05" customHeight="1" x14ac:dyDescent="0.25"/>
  </sheetData>
  <mergeCells count="7">
    <mergeCell ref="E6:R6"/>
    <mergeCell ref="B7:C7"/>
    <mergeCell ref="E7:F7"/>
    <mergeCell ref="H7:I7"/>
    <mergeCell ref="K7:L7"/>
    <mergeCell ref="N7:O7"/>
    <mergeCell ref="Q7:R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showGridLines="0" workbookViewId="0"/>
  </sheetViews>
  <sheetFormatPr baseColWidth="10" defaultColWidth="9.75" defaultRowHeight="15" x14ac:dyDescent="0.25"/>
  <cols>
    <col min="1" max="1" width="14.6640625" customWidth="1"/>
    <col min="2" max="2" width="5.33203125" customWidth="1"/>
    <col min="3" max="3" width="5.9140625" style="67" customWidth="1"/>
    <col min="4" max="4" width="1.75" style="67" customWidth="1"/>
    <col min="5" max="5" width="4.6640625" customWidth="1"/>
    <col min="6" max="6" width="5.9140625" style="67" customWidth="1"/>
    <col min="7" max="7" width="1.75" style="67" customWidth="1"/>
    <col min="8" max="8" width="4.75" customWidth="1"/>
    <col min="9" max="9" width="5.9140625" style="67" customWidth="1"/>
    <col min="10" max="10" width="1.75" style="67" customWidth="1"/>
    <col min="11" max="11" width="3.9140625" customWidth="1"/>
    <col min="12" max="12" width="5.9140625" customWidth="1"/>
    <col min="13" max="13" width="1.75" customWidth="1"/>
    <col min="14" max="14" width="3.9140625" customWidth="1"/>
    <col min="15" max="15" width="4.4140625" customWidth="1"/>
  </cols>
  <sheetData>
    <row r="1" spans="1:17" s="81" customFormat="1" ht="15" customHeight="1" x14ac:dyDescent="0.25">
      <c r="A1" s="80" t="s">
        <v>58</v>
      </c>
      <c r="C1" s="82"/>
      <c r="D1" s="82"/>
      <c r="F1" s="82"/>
      <c r="G1" s="82"/>
      <c r="I1" s="82"/>
      <c r="J1" s="82"/>
    </row>
    <row r="2" spans="1:17" s="81" customFormat="1" ht="15" customHeight="1" x14ac:dyDescent="0.25">
      <c r="A2" s="83" t="s">
        <v>93</v>
      </c>
      <c r="C2" s="82"/>
      <c r="D2" s="82"/>
      <c r="F2" s="82"/>
      <c r="G2" s="82"/>
      <c r="I2" s="82"/>
      <c r="J2" s="82"/>
    </row>
    <row r="3" spans="1:17" s="81" customFormat="1" ht="15" customHeight="1" x14ac:dyDescent="0.25">
      <c r="A3" s="83" t="s">
        <v>94</v>
      </c>
      <c r="C3" s="82"/>
      <c r="D3" s="82"/>
      <c r="F3" s="82"/>
      <c r="G3" s="82"/>
      <c r="I3" s="82"/>
      <c r="J3" s="82"/>
    </row>
    <row r="4" spans="1:17" s="81" customFormat="1" ht="9.3000000000000007" customHeight="1" x14ac:dyDescent="0.25">
      <c r="C4" s="82"/>
      <c r="D4" s="82"/>
      <c r="F4" s="82"/>
      <c r="G4" s="82"/>
      <c r="I4" s="82"/>
      <c r="J4" s="82"/>
    </row>
    <row r="5" spans="1:17" s="81" customFormat="1" ht="13.05" customHeight="1" x14ac:dyDescent="0.25">
      <c r="A5" s="83" t="s">
        <v>95</v>
      </c>
      <c r="C5" s="82"/>
      <c r="D5" s="82"/>
      <c r="E5" s="154" t="s">
        <v>81</v>
      </c>
      <c r="F5" s="154"/>
      <c r="G5" s="154"/>
      <c r="H5" s="154"/>
      <c r="I5" s="154"/>
      <c r="J5" s="154"/>
      <c r="K5" s="154"/>
      <c r="L5" s="154"/>
      <c r="M5" s="154"/>
      <c r="N5" s="154"/>
      <c r="O5" s="154"/>
    </row>
    <row r="6" spans="1:17" s="81" customFormat="1" ht="13.05" customHeight="1" x14ac:dyDescent="0.25">
      <c r="A6" s="83" t="s">
        <v>66</v>
      </c>
      <c r="B6" s="155" t="s">
        <v>68</v>
      </c>
      <c r="C6" s="155"/>
      <c r="D6" s="84"/>
      <c r="E6" s="155" t="s">
        <v>3</v>
      </c>
      <c r="F6" s="155"/>
      <c r="G6" s="84"/>
      <c r="H6" s="155" t="s">
        <v>4</v>
      </c>
      <c r="I6" s="155"/>
      <c r="J6" s="84"/>
      <c r="K6" s="155" t="s">
        <v>5</v>
      </c>
      <c r="L6" s="155"/>
      <c r="M6" s="84"/>
      <c r="N6" s="155" t="s">
        <v>6</v>
      </c>
      <c r="O6" s="155"/>
      <c r="P6" s="154"/>
      <c r="Q6" s="154"/>
    </row>
    <row r="7" spans="1:17" s="81" customFormat="1" ht="9.3000000000000007" customHeight="1" x14ac:dyDescent="0.25">
      <c r="A7" s="83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</row>
    <row r="8" spans="1:17" s="81" customFormat="1" ht="13.05" customHeight="1" x14ac:dyDescent="0.25">
      <c r="B8" s="85" t="s">
        <v>82</v>
      </c>
      <c r="C8" s="86" t="s">
        <v>83</v>
      </c>
      <c r="D8" s="86"/>
      <c r="E8" s="85" t="s">
        <v>82</v>
      </c>
      <c r="F8" s="86" t="s">
        <v>83</v>
      </c>
      <c r="G8" s="86"/>
      <c r="H8" s="85" t="s">
        <v>82</v>
      </c>
      <c r="I8" s="86" t="s">
        <v>83</v>
      </c>
      <c r="J8" s="86"/>
      <c r="K8" s="87" t="s">
        <v>82</v>
      </c>
      <c r="L8" s="86" t="s">
        <v>83</v>
      </c>
      <c r="M8" s="86"/>
      <c r="N8" s="85" t="s">
        <v>82</v>
      </c>
      <c r="O8" s="86" t="s">
        <v>83</v>
      </c>
      <c r="P8" s="87"/>
      <c r="Q8" s="86"/>
    </row>
    <row r="9" spans="1:17" s="81" customFormat="1" ht="13.05" customHeight="1" x14ac:dyDescent="0.25">
      <c r="B9" s="85" t="s">
        <v>47</v>
      </c>
      <c r="C9" s="86" t="s">
        <v>84</v>
      </c>
      <c r="D9" s="86"/>
      <c r="E9" s="85" t="s">
        <v>47</v>
      </c>
      <c r="F9" s="86" t="s">
        <v>84</v>
      </c>
      <c r="G9" s="86"/>
      <c r="H9" s="85" t="s">
        <v>47</v>
      </c>
      <c r="I9" s="86" t="s">
        <v>84</v>
      </c>
      <c r="J9" s="86"/>
      <c r="K9" s="85" t="s">
        <v>47</v>
      </c>
      <c r="L9" s="86" t="s">
        <v>84</v>
      </c>
      <c r="M9" s="86"/>
      <c r="N9" s="85" t="s">
        <v>47</v>
      </c>
      <c r="O9" s="86" t="s">
        <v>84</v>
      </c>
      <c r="P9" s="85"/>
      <c r="Q9" s="86"/>
    </row>
    <row r="10" spans="1:17" s="81" customFormat="1" ht="9.3000000000000007" customHeight="1" x14ac:dyDescent="0.25">
      <c r="B10" s="82"/>
      <c r="C10" s="86"/>
      <c r="D10" s="86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</row>
    <row r="11" spans="1:17" s="40" customFormat="1" ht="9.3000000000000007" customHeight="1" x14ac:dyDescent="0.25">
      <c r="A11" s="81"/>
      <c r="B11" s="25"/>
      <c r="C11" s="26"/>
      <c r="D11" s="26"/>
      <c r="E11" s="25"/>
      <c r="F11" s="26"/>
      <c r="G11" s="26"/>
      <c r="H11" s="25"/>
      <c r="I11" s="26"/>
      <c r="J11" s="26"/>
      <c r="K11" s="25"/>
      <c r="L11" s="25"/>
      <c r="M11" s="25"/>
      <c r="N11" s="25"/>
      <c r="O11" s="25"/>
    </row>
    <row r="12" spans="1:17" s="40" customFormat="1" ht="13.05" customHeight="1" x14ac:dyDescent="0.25">
      <c r="A12" s="81" t="s">
        <v>96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</row>
    <row r="13" spans="1:17" s="40" customFormat="1" ht="9.3000000000000007" customHeight="1" x14ac:dyDescent="0.25">
      <c r="A13" s="81"/>
      <c r="B13" s="25"/>
      <c r="C13" s="26"/>
      <c r="D13" s="26"/>
      <c r="E13" s="25"/>
      <c r="F13" s="26"/>
      <c r="G13" s="26"/>
      <c r="H13" s="25"/>
      <c r="I13" s="26"/>
      <c r="J13" s="26"/>
      <c r="K13" s="25"/>
      <c r="L13" s="25"/>
      <c r="M13" s="25"/>
      <c r="N13" s="25"/>
      <c r="O13" s="25"/>
    </row>
    <row r="14" spans="1:17" s="40" customFormat="1" ht="13.05" customHeight="1" x14ac:dyDescent="0.25">
      <c r="A14" s="83" t="s">
        <v>69</v>
      </c>
      <c r="B14" s="71">
        <v>1311</v>
      </c>
      <c r="C14" s="71">
        <v>215208</v>
      </c>
      <c r="D14" s="71"/>
      <c r="E14" s="71">
        <v>1021</v>
      </c>
      <c r="F14" s="71">
        <v>153866</v>
      </c>
      <c r="G14" s="71"/>
      <c r="H14" s="71">
        <v>254</v>
      </c>
      <c r="I14" s="71">
        <v>53013</v>
      </c>
      <c r="J14" s="71"/>
      <c r="K14" s="71">
        <v>18</v>
      </c>
      <c r="L14" s="71">
        <v>6795</v>
      </c>
      <c r="M14" s="71"/>
      <c r="N14" s="71">
        <v>18</v>
      </c>
      <c r="O14" s="71">
        <v>1534</v>
      </c>
    </row>
    <row r="15" spans="1:17" s="40" customFormat="1" ht="9.3000000000000007" customHeight="1" x14ac:dyDescent="0.25">
      <c r="A15" s="8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</row>
    <row r="16" spans="1:17" s="40" customFormat="1" ht="13.05" customHeight="1" x14ac:dyDescent="0.25">
      <c r="A16" s="83" t="s">
        <v>0</v>
      </c>
      <c r="B16" s="71">
        <v>290</v>
      </c>
      <c r="C16" s="71">
        <v>146486</v>
      </c>
      <c r="D16" s="71"/>
      <c r="E16" s="79">
        <v>235</v>
      </c>
      <c r="F16" s="79">
        <v>119158</v>
      </c>
      <c r="G16" s="71"/>
      <c r="H16" s="79">
        <v>49</v>
      </c>
      <c r="I16" s="79">
        <v>23765</v>
      </c>
      <c r="J16" s="71"/>
      <c r="K16" s="79">
        <v>3</v>
      </c>
      <c r="L16" s="79">
        <v>2640</v>
      </c>
      <c r="M16" s="73"/>
      <c r="N16" s="79">
        <v>3</v>
      </c>
      <c r="O16" s="79">
        <v>923</v>
      </c>
    </row>
    <row r="17" spans="1:15" s="40" customFormat="1" ht="9.3000000000000007" customHeight="1" x14ac:dyDescent="0.25">
      <c r="A17" s="81"/>
      <c r="B17" s="71"/>
      <c r="C17" s="71"/>
      <c r="D17" s="71"/>
      <c r="E17" s="79"/>
      <c r="F17" s="79"/>
      <c r="G17" s="71"/>
      <c r="H17" s="79"/>
      <c r="I17" s="79"/>
      <c r="J17" s="71"/>
      <c r="K17" s="79"/>
      <c r="L17" s="79"/>
      <c r="M17" s="73"/>
      <c r="N17" s="79"/>
      <c r="O17" s="79"/>
    </row>
    <row r="18" spans="1:15" s="40" customFormat="1" ht="13.05" customHeight="1" x14ac:dyDescent="0.25">
      <c r="A18" s="83" t="s">
        <v>23</v>
      </c>
      <c r="B18" s="71">
        <v>3</v>
      </c>
      <c r="C18" s="71">
        <v>436</v>
      </c>
      <c r="D18" s="71"/>
      <c r="E18" s="79">
        <v>2</v>
      </c>
      <c r="F18" s="79">
        <v>191</v>
      </c>
      <c r="G18" s="71"/>
      <c r="H18" s="79">
        <v>1</v>
      </c>
      <c r="I18" s="79">
        <v>245</v>
      </c>
      <c r="J18" s="71"/>
      <c r="K18" s="79" t="s">
        <v>20</v>
      </c>
      <c r="L18" s="79" t="s">
        <v>20</v>
      </c>
      <c r="M18" s="73"/>
      <c r="N18" s="79" t="s">
        <v>20</v>
      </c>
      <c r="O18" s="79" t="s">
        <v>20</v>
      </c>
    </row>
    <row r="19" spans="1:15" s="40" customFormat="1" ht="9.3000000000000007" customHeight="1" x14ac:dyDescent="0.25">
      <c r="A19" s="81"/>
      <c r="B19" s="71"/>
      <c r="C19" s="71"/>
      <c r="D19" s="71"/>
      <c r="E19" s="79"/>
      <c r="F19" s="79"/>
      <c r="G19" s="71"/>
      <c r="H19" s="79"/>
      <c r="I19" s="79"/>
      <c r="J19" s="71"/>
      <c r="K19" s="79"/>
      <c r="L19" s="79"/>
      <c r="M19" s="73"/>
      <c r="N19" s="79"/>
      <c r="O19" s="79"/>
    </row>
    <row r="20" spans="1:15" s="40" customFormat="1" ht="13.05" customHeight="1" x14ac:dyDescent="0.25">
      <c r="A20" s="83" t="s">
        <v>97</v>
      </c>
      <c r="B20" s="71">
        <v>1</v>
      </c>
      <c r="C20" s="71">
        <v>12</v>
      </c>
      <c r="D20" s="71"/>
      <c r="E20" s="79">
        <v>1</v>
      </c>
      <c r="F20" s="79">
        <v>12</v>
      </c>
      <c r="G20" s="71"/>
      <c r="H20" s="79" t="s">
        <v>20</v>
      </c>
      <c r="I20" s="79" t="s">
        <v>20</v>
      </c>
      <c r="J20" s="71"/>
      <c r="K20" s="79" t="s">
        <v>20</v>
      </c>
      <c r="L20" s="79" t="s">
        <v>20</v>
      </c>
      <c r="M20" s="73"/>
      <c r="N20" s="79" t="s">
        <v>20</v>
      </c>
      <c r="O20" s="79" t="s">
        <v>20</v>
      </c>
    </row>
    <row r="21" spans="1:15" s="40" customFormat="1" ht="9.3000000000000007" customHeight="1" x14ac:dyDescent="0.25">
      <c r="A21" s="81"/>
      <c r="B21" s="71"/>
      <c r="C21" s="71"/>
      <c r="D21" s="71"/>
      <c r="E21" s="79"/>
      <c r="F21" s="79"/>
      <c r="G21" s="71"/>
      <c r="H21" s="79"/>
      <c r="I21" s="79"/>
      <c r="J21" s="71"/>
      <c r="K21" s="79"/>
      <c r="L21" s="79"/>
      <c r="M21" s="73"/>
      <c r="N21" s="79"/>
      <c r="O21" s="79"/>
    </row>
    <row r="22" spans="1:15" s="40" customFormat="1" ht="13.05" customHeight="1" x14ac:dyDescent="0.25">
      <c r="A22" s="83" t="s">
        <v>1</v>
      </c>
      <c r="B22" s="71">
        <v>61</v>
      </c>
      <c r="C22" s="79" t="s">
        <v>20</v>
      </c>
      <c r="D22" s="71"/>
      <c r="E22" s="79">
        <v>34</v>
      </c>
      <c r="F22" s="79" t="s">
        <v>20</v>
      </c>
      <c r="G22" s="71"/>
      <c r="H22" s="79">
        <v>25</v>
      </c>
      <c r="I22" s="79" t="s">
        <v>20</v>
      </c>
      <c r="J22" s="71"/>
      <c r="K22" s="79" t="s">
        <v>20</v>
      </c>
      <c r="L22" s="79" t="s">
        <v>20</v>
      </c>
      <c r="M22" s="73"/>
      <c r="N22" s="79">
        <v>2</v>
      </c>
      <c r="O22" s="79" t="s">
        <v>20</v>
      </c>
    </row>
    <row r="23" spans="1:15" s="40" customFormat="1" ht="9.3000000000000007" customHeight="1" x14ac:dyDescent="0.25">
      <c r="A23" s="81"/>
      <c r="B23" s="71"/>
      <c r="C23" s="71"/>
      <c r="D23" s="71"/>
      <c r="E23" s="79"/>
      <c r="F23" s="79"/>
      <c r="G23" s="71"/>
      <c r="H23" s="79"/>
      <c r="I23" s="79"/>
      <c r="J23" s="71"/>
      <c r="K23" s="79"/>
      <c r="L23" s="79"/>
      <c r="M23" s="73"/>
      <c r="N23" s="79"/>
      <c r="O23" s="79"/>
    </row>
    <row r="24" spans="1:15" s="40" customFormat="1" ht="13.05" customHeight="1" x14ac:dyDescent="0.25">
      <c r="A24" s="83" t="s">
        <v>2</v>
      </c>
      <c r="B24" s="71">
        <v>267</v>
      </c>
      <c r="C24" s="71">
        <v>29389</v>
      </c>
      <c r="D24" s="71"/>
      <c r="E24" s="79">
        <v>205</v>
      </c>
      <c r="F24" s="79">
        <v>14018</v>
      </c>
      <c r="G24" s="71"/>
      <c r="H24" s="79">
        <v>57</v>
      </c>
      <c r="I24" s="79">
        <v>12731</v>
      </c>
      <c r="J24" s="71"/>
      <c r="K24" s="79">
        <v>3</v>
      </c>
      <c r="L24" s="79">
        <v>2392</v>
      </c>
      <c r="M24" s="73"/>
      <c r="N24" s="79">
        <v>2</v>
      </c>
      <c r="O24" s="79">
        <v>248</v>
      </c>
    </row>
    <row r="25" spans="1:15" s="40" customFormat="1" ht="9.3000000000000007" customHeight="1" x14ac:dyDescent="0.25">
      <c r="A25" s="81"/>
      <c r="B25" s="71"/>
      <c r="C25" s="71"/>
      <c r="D25" s="71"/>
      <c r="E25" s="79"/>
      <c r="F25" s="79"/>
      <c r="G25" s="71"/>
      <c r="H25" s="79"/>
      <c r="I25" s="79"/>
      <c r="J25" s="71"/>
      <c r="K25" s="79"/>
      <c r="L25" s="79"/>
      <c r="M25" s="73"/>
      <c r="N25" s="79"/>
      <c r="O25" s="79"/>
    </row>
    <row r="26" spans="1:15" s="40" customFormat="1" ht="12" customHeight="1" x14ac:dyDescent="0.25">
      <c r="A26" s="81" t="s">
        <v>9</v>
      </c>
      <c r="B26" s="71"/>
      <c r="C26" s="71"/>
      <c r="D26" s="71"/>
      <c r="E26" s="1"/>
      <c r="F26" s="1"/>
      <c r="G26" s="71"/>
      <c r="H26" s="1"/>
      <c r="I26" s="1"/>
      <c r="J26" s="71"/>
      <c r="K26" s="1"/>
      <c r="L26" s="1"/>
      <c r="M26" s="1"/>
      <c r="N26" s="1"/>
      <c r="O26" s="1"/>
    </row>
    <row r="27" spans="1:15" s="40" customFormat="1" ht="13.05" customHeight="1" x14ac:dyDescent="0.25">
      <c r="A27" s="83" t="s">
        <v>61</v>
      </c>
      <c r="B27" s="71">
        <v>4</v>
      </c>
      <c r="C27" s="79" t="s">
        <v>20</v>
      </c>
      <c r="D27" s="71"/>
      <c r="E27" s="79">
        <v>4</v>
      </c>
      <c r="F27" s="79" t="s">
        <v>20</v>
      </c>
      <c r="G27" s="71"/>
      <c r="H27" s="79" t="s">
        <v>20</v>
      </c>
      <c r="I27" s="79" t="s">
        <v>20</v>
      </c>
      <c r="J27" s="71"/>
      <c r="K27" s="79" t="s">
        <v>20</v>
      </c>
      <c r="L27" s="79" t="s">
        <v>20</v>
      </c>
      <c r="M27" s="73"/>
      <c r="N27" s="79" t="s">
        <v>20</v>
      </c>
      <c r="O27" s="79" t="s">
        <v>20</v>
      </c>
    </row>
    <row r="28" spans="1:15" s="40" customFormat="1" ht="9.3000000000000007" customHeight="1" x14ac:dyDescent="0.25">
      <c r="A28" s="81"/>
      <c r="B28" s="71"/>
      <c r="C28" s="71"/>
      <c r="D28" s="71"/>
      <c r="E28" s="79"/>
      <c r="F28" s="79"/>
      <c r="G28" s="71"/>
      <c r="H28" s="79"/>
      <c r="I28" s="79"/>
      <c r="J28" s="71"/>
      <c r="K28" s="79"/>
      <c r="L28" s="79"/>
      <c r="M28" s="73"/>
      <c r="N28" s="79"/>
      <c r="O28" s="79"/>
    </row>
    <row r="29" spans="1:15" s="40" customFormat="1" ht="13.05" customHeight="1" x14ac:dyDescent="0.25">
      <c r="A29" s="81" t="s">
        <v>86</v>
      </c>
      <c r="B29" s="79"/>
      <c r="C29" s="79"/>
      <c r="D29" s="71"/>
      <c r="E29" s="79"/>
      <c r="F29" s="79"/>
      <c r="G29" s="71"/>
      <c r="H29" s="79"/>
      <c r="I29" s="79"/>
      <c r="J29" s="71"/>
      <c r="K29" s="79"/>
      <c r="L29" s="79"/>
      <c r="M29" s="73"/>
      <c r="N29" s="79"/>
      <c r="O29" s="79"/>
    </row>
    <row r="30" spans="1:15" s="40" customFormat="1" ht="13.05" customHeight="1" x14ac:dyDescent="0.25">
      <c r="A30" s="83" t="s">
        <v>87</v>
      </c>
      <c r="B30" s="71">
        <v>364</v>
      </c>
      <c r="C30" s="71">
        <v>38680</v>
      </c>
      <c r="D30" s="71"/>
      <c r="E30" s="79">
        <v>277</v>
      </c>
      <c r="F30" s="79">
        <v>20282</v>
      </c>
      <c r="G30" s="71"/>
      <c r="H30" s="79">
        <v>73</v>
      </c>
      <c r="I30" s="79">
        <v>16272</v>
      </c>
      <c r="J30" s="71"/>
      <c r="K30" s="79">
        <v>9</v>
      </c>
      <c r="L30" s="79">
        <v>1763</v>
      </c>
      <c r="M30" s="73"/>
      <c r="N30" s="79">
        <v>5</v>
      </c>
      <c r="O30" s="79">
        <v>363</v>
      </c>
    </row>
    <row r="31" spans="1:15" s="40" customFormat="1" ht="9.3000000000000007" customHeight="1" x14ac:dyDescent="0.25">
      <c r="A31" s="81"/>
      <c r="E31" s="79"/>
      <c r="F31" s="79"/>
      <c r="G31" s="71"/>
      <c r="H31" s="79"/>
      <c r="I31" s="79"/>
      <c r="J31" s="71"/>
      <c r="K31" s="79"/>
      <c r="L31" s="79"/>
      <c r="M31" s="73"/>
      <c r="N31" s="79"/>
      <c r="O31" s="79"/>
    </row>
    <row r="32" spans="1:15" s="40" customFormat="1" ht="13.05" customHeight="1" x14ac:dyDescent="0.25">
      <c r="A32" s="81" t="s">
        <v>88</v>
      </c>
      <c r="B32" s="71"/>
      <c r="C32" s="71"/>
      <c r="D32" s="71"/>
      <c r="E32" s="1"/>
      <c r="F32" s="1"/>
      <c r="G32" s="71"/>
      <c r="H32" s="1"/>
      <c r="I32" s="1"/>
      <c r="J32" s="71"/>
      <c r="K32" s="1"/>
      <c r="L32" s="1"/>
      <c r="M32" s="1"/>
      <c r="N32" s="1"/>
      <c r="O32" s="1"/>
    </row>
    <row r="33" spans="1:15" s="40" customFormat="1" ht="13.05" customHeight="1" x14ac:dyDescent="0.25">
      <c r="A33" s="83" t="s">
        <v>89</v>
      </c>
      <c r="B33" s="71">
        <v>321</v>
      </c>
      <c r="C33" s="71">
        <v>205</v>
      </c>
      <c r="D33" s="71"/>
      <c r="E33" s="79">
        <v>263</v>
      </c>
      <c r="F33" s="79">
        <v>205</v>
      </c>
      <c r="G33" s="71"/>
      <c r="H33" s="79">
        <v>49</v>
      </c>
      <c r="I33" s="79" t="s">
        <v>20</v>
      </c>
      <c r="J33" s="71"/>
      <c r="K33" s="79">
        <v>3</v>
      </c>
      <c r="L33" s="79" t="s">
        <v>20</v>
      </c>
      <c r="M33" s="73"/>
      <c r="N33" s="79">
        <v>6</v>
      </c>
      <c r="O33" s="79" t="s">
        <v>20</v>
      </c>
    </row>
    <row r="34" spans="1:15" s="40" customFormat="1" ht="9.3000000000000007" customHeight="1" x14ac:dyDescent="0.25">
      <c r="A34" s="83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</row>
    <row r="35" spans="1:15" s="40" customFormat="1" ht="13.05" customHeight="1" x14ac:dyDescent="0.25">
      <c r="A35" s="81" t="s">
        <v>98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</row>
    <row r="36" spans="1:15" s="40" customFormat="1" ht="9.3000000000000007" customHeight="1" x14ac:dyDescent="0.25">
      <c r="A36" s="81"/>
      <c r="B36" s="25"/>
      <c r="C36" s="26"/>
      <c r="D36" s="26"/>
      <c r="E36" s="25"/>
      <c r="F36" s="26"/>
      <c r="G36" s="26"/>
      <c r="H36" s="25"/>
      <c r="I36" s="26"/>
      <c r="J36" s="26"/>
      <c r="K36" s="25"/>
      <c r="L36" s="25"/>
      <c r="M36" s="25"/>
      <c r="N36" s="25"/>
      <c r="O36" s="25"/>
    </row>
    <row r="37" spans="1:15" s="40" customFormat="1" ht="13.05" customHeight="1" x14ac:dyDescent="0.25">
      <c r="A37" s="83" t="s">
        <v>69</v>
      </c>
      <c r="B37" s="71">
        <v>1654</v>
      </c>
      <c r="C37" s="71">
        <v>245811.02</v>
      </c>
      <c r="D37" s="71"/>
      <c r="E37" s="71">
        <v>1322</v>
      </c>
      <c r="F37" s="71">
        <v>173707.31</v>
      </c>
      <c r="G37" s="71"/>
      <c r="H37" s="71">
        <v>282</v>
      </c>
      <c r="I37" s="71">
        <v>56181.060000000005</v>
      </c>
      <c r="J37" s="71"/>
      <c r="K37" s="71">
        <v>33</v>
      </c>
      <c r="L37" s="71">
        <v>12968.17</v>
      </c>
      <c r="M37" s="79"/>
      <c r="N37" s="71">
        <v>17</v>
      </c>
      <c r="O37" s="71">
        <v>2954.4799999999996</v>
      </c>
    </row>
    <row r="38" spans="1:15" s="40" customFormat="1" ht="9.3000000000000007" customHeight="1" x14ac:dyDescent="0.25">
      <c r="A38" s="8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</row>
    <row r="39" spans="1:15" s="40" customFormat="1" ht="13.05" customHeight="1" x14ac:dyDescent="0.25">
      <c r="A39" s="83" t="s">
        <v>0</v>
      </c>
      <c r="B39" s="71">
        <v>294</v>
      </c>
      <c r="C39" s="71">
        <v>156263.01999999999</v>
      </c>
      <c r="D39" s="71"/>
      <c r="E39" s="79">
        <v>226</v>
      </c>
      <c r="F39" s="79">
        <v>120204.16</v>
      </c>
      <c r="G39" s="71"/>
      <c r="H39" s="79">
        <v>61</v>
      </c>
      <c r="I39" s="79">
        <v>29586.54</v>
      </c>
      <c r="J39" s="71"/>
      <c r="K39" s="79">
        <v>4</v>
      </c>
      <c r="L39" s="79">
        <v>4787</v>
      </c>
      <c r="M39" s="73"/>
      <c r="N39" s="79">
        <v>3</v>
      </c>
      <c r="O39" s="79">
        <v>1685.32</v>
      </c>
    </row>
    <row r="40" spans="1:15" s="40" customFormat="1" ht="9.3000000000000007" customHeight="1" x14ac:dyDescent="0.25">
      <c r="A40" s="81"/>
      <c r="B40" s="71"/>
      <c r="C40" s="71"/>
      <c r="D40" s="71"/>
      <c r="E40" s="79"/>
      <c r="F40" s="79"/>
      <c r="G40" s="71"/>
      <c r="H40" s="79"/>
      <c r="I40" s="79"/>
      <c r="J40" s="71"/>
      <c r="K40" s="79"/>
      <c r="L40" s="79"/>
      <c r="M40" s="73"/>
      <c r="N40" s="79"/>
      <c r="O40" s="79"/>
    </row>
    <row r="41" spans="1:15" s="40" customFormat="1" ht="13.05" customHeight="1" x14ac:dyDescent="0.25">
      <c r="A41" s="83" t="s">
        <v>23</v>
      </c>
      <c r="B41" s="71">
        <v>6</v>
      </c>
      <c r="C41" s="71">
        <v>473.42</v>
      </c>
      <c r="D41" s="71"/>
      <c r="E41" s="79">
        <v>4</v>
      </c>
      <c r="F41" s="79">
        <v>221.42</v>
      </c>
      <c r="G41" s="71"/>
      <c r="H41" s="79" t="s">
        <v>20</v>
      </c>
      <c r="I41" s="79" t="s">
        <v>20</v>
      </c>
      <c r="J41" s="79"/>
      <c r="K41" s="79" t="s">
        <v>20</v>
      </c>
      <c r="L41" s="79" t="s">
        <v>20</v>
      </c>
      <c r="M41" s="73"/>
      <c r="N41" s="79">
        <v>2</v>
      </c>
      <c r="O41" s="79">
        <v>252</v>
      </c>
    </row>
    <row r="42" spans="1:15" s="40" customFormat="1" ht="9.3000000000000007" customHeight="1" x14ac:dyDescent="0.25">
      <c r="A42" s="81"/>
      <c r="B42" s="71"/>
      <c r="C42" s="71"/>
      <c r="D42" s="71"/>
      <c r="E42" s="79"/>
      <c r="F42" s="79"/>
      <c r="G42" s="71"/>
      <c r="H42" s="79"/>
      <c r="I42" s="79"/>
      <c r="J42" s="71"/>
      <c r="K42" s="79"/>
      <c r="L42" s="79"/>
      <c r="M42" s="73"/>
      <c r="N42" s="79"/>
      <c r="O42" s="79"/>
    </row>
    <row r="43" spans="1:15" s="40" customFormat="1" ht="13.05" customHeight="1" x14ac:dyDescent="0.25">
      <c r="A43" s="83" t="s">
        <v>97</v>
      </c>
      <c r="B43" s="71">
        <v>1</v>
      </c>
      <c r="C43" s="71">
        <v>3254</v>
      </c>
      <c r="D43" s="71"/>
      <c r="E43" s="79" t="s">
        <v>20</v>
      </c>
      <c r="F43" s="79" t="s">
        <v>20</v>
      </c>
      <c r="G43" s="71"/>
      <c r="H43" s="79" t="s">
        <v>20</v>
      </c>
      <c r="I43" s="79" t="s">
        <v>20</v>
      </c>
      <c r="J43" s="71"/>
      <c r="K43" s="79">
        <v>1</v>
      </c>
      <c r="L43" s="79">
        <v>3254</v>
      </c>
      <c r="M43" s="73"/>
      <c r="N43" s="79" t="s">
        <v>20</v>
      </c>
      <c r="O43" s="79" t="s">
        <v>20</v>
      </c>
    </row>
    <row r="44" spans="1:15" s="40" customFormat="1" ht="9.3000000000000007" customHeight="1" x14ac:dyDescent="0.25">
      <c r="A44" s="81"/>
      <c r="B44" s="71"/>
      <c r="C44" s="71"/>
      <c r="D44" s="71"/>
      <c r="E44" s="79"/>
      <c r="F44" s="79"/>
      <c r="G44" s="71"/>
      <c r="H44" s="79"/>
      <c r="I44" s="79"/>
      <c r="J44" s="71"/>
      <c r="K44" s="79"/>
      <c r="L44" s="79"/>
      <c r="M44" s="73"/>
      <c r="N44" s="79"/>
      <c r="O44" s="79"/>
    </row>
    <row r="45" spans="1:15" s="40" customFormat="1" ht="13.05" customHeight="1" x14ac:dyDescent="0.25">
      <c r="A45" s="83" t="s">
        <v>1</v>
      </c>
      <c r="B45" s="71">
        <v>96</v>
      </c>
      <c r="C45" s="71" t="s">
        <v>20</v>
      </c>
      <c r="D45" s="71"/>
      <c r="E45" s="79">
        <v>64</v>
      </c>
      <c r="F45" s="79" t="s">
        <v>20</v>
      </c>
      <c r="G45" s="71"/>
      <c r="H45" s="79">
        <v>29</v>
      </c>
      <c r="I45" s="79" t="s">
        <v>20</v>
      </c>
      <c r="J45" s="71"/>
      <c r="K45" s="79">
        <v>2</v>
      </c>
      <c r="L45" s="79" t="s">
        <v>20</v>
      </c>
      <c r="M45" s="73"/>
      <c r="N45" s="79">
        <v>1</v>
      </c>
      <c r="O45" s="79" t="s">
        <v>20</v>
      </c>
    </row>
    <row r="46" spans="1:15" s="40" customFormat="1" ht="9.3000000000000007" customHeight="1" x14ac:dyDescent="0.25">
      <c r="A46" s="81"/>
      <c r="B46" s="71"/>
      <c r="C46" s="71"/>
      <c r="D46" s="71"/>
      <c r="E46" s="79"/>
      <c r="F46" s="79"/>
      <c r="G46" s="71"/>
      <c r="H46" s="79"/>
      <c r="I46" s="79"/>
      <c r="J46" s="71"/>
      <c r="K46" s="79"/>
      <c r="L46" s="79"/>
      <c r="M46" s="73"/>
      <c r="N46" s="79"/>
      <c r="O46" s="79"/>
    </row>
    <row r="47" spans="1:15" s="40" customFormat="1" ht="13.05" customHeight="1" x14ac:dyDescent="0.25">
      <c r="A47" s="83" t="s">
        <v>2</v>
      </c>
      <c r="B47" s="71">
        <v>331</v>
      </c>
      <c r="C47" s="71">
        <v>29676.560000000001</v>
      </c>
      <c r="D47" s="71"/>
      <c r="E47" s="79">
        <v>276</v>
      </c>
      <c r="F47" s="79">
        <v>19603.650000000001</v>
      </c>
      <c r="G47" s="71"/>
      <c r="H47" s="79">
        <v>47</v>
      </c>
      <c r="I47" s="79">
        <v>8097.23</v>
      </c>
      <c r="J47" s="71"/>
      <c r="K47" s="79">
        <v>6</v>
      </c>
      <c r="L47" s="79">
        <v>1717.68</v>
      </c>
      <c r="M47" s="73"/>
      <c r="N47" s="79">
        <v>2</v>
      </c>
      <c r="O47" s="79">
        <v>258</v>
      </c>
    </row>
    <row r="48" spans="1:15" s="40" customFormat="1" ht="9.3000000000000007" customHeight="1" x14ac:dyDescent="0.25">
      <c r="A48" s="81"/>
      <c r="B48" s="71"/>
      <c r="C48" s="71"/>
      <c r="D48" s="71"/>
      <c r="E48" s="79"/>
      <c r="F48" s="79"/>
      <c r="G48" s="71"/>
      <c r="H48" s="79"/>
      <c r="I48" s="79"/>
      <c r="J48" s="71"/>
      <c r="K48" s="79"/>
      <c r="L48" s="79"/>
      <c r="M48" s="73"/>
      <c r="N48" s="79"/>
      <c r="O48" s="79"/>
    </row>
    <row r="49" spans="1:15" s="40" customFormat="1" ht="13.05" customHeight="1" x14ac:dyDescent="0.25">
      <c r="A49" s="81" t="s">
        <v>9</v>
      </c>
      <c r="B49" s="71"/>
      <c r="C49" s="71"/>
      <c r="D49" s="71"/>
      <c r="E49" s="1"/>
      <c r="F49" s="1"/>
      <c r="G49" s="71"/>
      <c r="H49" s="1"/>
      <c r="I49" s="1"/>
      <c r="J49" s="71"/>
      <c r="K49" s="1"/>
      <c r="L49" s="1"/>
      <c r="M49" s="1"/>
      <c r="N49" s="1"/>
      <c r="O49" s="1"/>
    </row>
    <row r="50" spans="1:15" s="40" customFormat="1" ht="13.05" customHeight="1" x14ac:dyDescent="0.25">
      <c r="A50" s="83" t="s">
        <v>61</v>
      </c>
      <c r="B50" s="71">
        <v>4</v>
      </c>
      <c r="C50" s="71" t="s">
        <v>20</v>
      </c>
      <c r="D50" s="71"/>
      <c r="E50" s="79">
        <v>3</v>
      </c>
      <c r="F50" s="79" t="s">
        <v>20</v>
      </c>
      <c r="G50" s="71"/>
      <c r="H50" s="79">
        <v>1</v>
      </c>
      <c r="I50" s="79" t="s">
        <v>20</v>
      </c>
      <c r="J50" s="71"/>
      <c r="K50" s="79" t="s">
        <v>20</v>
      </c>
      <c r="L50" s="79" t="s">
        <v>20</v>
      </c>
      <c r="M50" s="73"/>
      <c r="N50" s="79" t="s">
        <v>20</v>
      </c>
      <c r="O50" s="79" t="s">
        <v>20</v>
      </c>
    </row>
    <row r="51" spans="1:15" s="40" customFormat="1" ht="9.3000000000000007" customHeight="1" x14ac:dyDescent="0.25">
      <c r="A51" s="81"/>
      <c r="B51" s="71"/>
      <c r="C51" s="71"/>
      <c r="D51" s="71"/>
      <c r="E51" s="79"/>
      <c r="F51" s="79"/>
      <c r="G51" s="71"/>
      <c r="H51" s="79"/>
      <c r="I51" s="79"/>
      <c r="J51" s="71"/>
      <c r="K51" s="79"/>
      <c r="L51" s="79"/>
      <c r="M51" s="73"/>
      <c r="N51" s="79"/>
      <c r="O51" s="79"/>
    </row>
    <row r="52" spans="1:15" s="40" customFormat="1" ht="13.05" customHeight="1" x14ac:dyDescent="0.25">
      <c r="A52" s="81" t="s">
        <v>86</v>
      </c>
    </row>
    <row r="53" spans="1:15" s="40" customFormat="1" ht="13.05" customHeight="1" x14ac:dyDescent="0.25">
      <c r="A53" s="83" t="s">
        <v>87</v>
      </c>
      <c r="B53" s="79">
        <v>501</v>
      </c>
      <c r="C53" s="79">
        <v>56144.02</v>
      </c>
      <c r="D53" s="71"/>
      <c r="E53" s="79">
        <v>395</v>
      </c>
      <c r="F53" s="79">
        <v>33678.080000000002</v>
      </c>
      <c r="G53" s="71"/>
      <c r="H53" s="79">
        <v>88</v>
      </c>
      <c r="I53" s="79">
        <v>18497.29</v>
      </c>
      <c r="J53" s="71"/>
      <c r="K53" s="79">
        <v>15</v>
      </c>
      <c r="L53" s="79">
        <v>3209.49</v>
      </c>
      <c r="M53" s="73"/>
      <c r="N53" s="79">
        <v>3</v>
      </c>
      <c r="O53" s="79">
        <v>759.16</v>
      </c>
    </row>
    <row r="54" spans="1:15" s="40" customFormat="1" ht="9.3000000000000007" customHeight="1" x14ac:dyDescent="0.25">
      <c r="A54" s="83"/>
      <c r="B54" s="71"/>
      <c r="C54" s="71"/>
      <c r="D54" s="71"/>
      <c r="E54" s="79"/>
      <c r="F54" s="79"/>
      <c r="G54" s="71"/>
      <c r="H54" s="79"/>
      <c r="I54" s="79"/>
      <c r="J54" s="71"/>
      <c r="K54" s="79"/>
      <c r="L54" s="79"/>
      <c r="M54" s="73"/>
      <c r="N54" s="79"/>
      <c r="O54" s="79"/>
    </row>
    <row r="55" spans="1:15" s="40" customFormat="1" ht="13.05" customHeight="1" x14ac:dyDescent="0.25">
      <c r="A55" s="81" t="s">
        <v>88</v>
      </c>
    </row>
    <row r="56" spans="1:15" s="40" customFormat="1" ht="13.05" customHeight="1" x14ac:dyDescent="0.25">
      <c r="A56" s="83" t="s">
        <v>89</v>
      </c>
      <c r="B56" s="71">
        <v>421</v>
      </c>
      <c r="C56" s="71" t="s">
        <v>20</v>
      </c>
      <c r="D56" s="71"/>
      <c r="E56" s="79">
        <v>354</v>
      </c>
      <c r="F56" s="79" t="s">
        <v>20</v>
      </c>
      <c r="G56" s="71"/>
      <c r="H56" s="25">
        <v>56</v>
      </c>
      <c r="I56" s="79" t="s">
        <v>20</v>
      </c>
      <c r="J56" s="71"/>
      <c r="K56" s="25">
        <v>5</v>
      </c>
      <c r="L56" s="79" t="s">
        <v>20</v>
      </c>
      <c r="M56" s="73"/>
      <c r="N56" s="25">
        <v>6</v>
      </c>
      <c r="O56" s="79" t="s">
        <v>20</v>
      </c>
    </row>
    <row r="57" spans="1:15" s="40" customFormat="1" ht="9.3000000000000007" customHeight="1" x14ac:dyDescent="0.25">
      <c r="A57" s="83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</row>
    <row r="58" spans="1:15" s="81" customFormat="1" ht="9.3000000000000007" customHeight="1" x14ac:dyDescent="0.25"/>
    <row r="59" spans="1:15" s="81" customFormat="1" ht="13.05" customHeight="1" x14ac:dyDescent="0.25">
      <c r="A59" s="83" t="s">
        <v>90</v>
      </c>
      <c r="C59" s="82"/>
      <c r="D59" s="82"/>
      <c r="F59" s="82"/>
      <c r="G59" s="82"/>
      <c r="I59" s="82"/>
      <c r="J59" s="82"/>
    </row>
    <row r="60" spans="1:15" s="81" customFormat="1" ht="13.05" customHeight="1" x14ac:dyDescent="0.25">
      <c r="A60" s="83" t="s">
        <v>99</v>
      </c>
      <c r="C60" s="82"/>
      <c r="D60" s="82"/>
      <c r="F60" s="82"/>
      <c r="G60" s="82"/>
      <c r="I60" s="82"/>
      <c r="J60" s="82"/>
    </row>
    <row r="61" spans="1:15" s="81" customFormat="1" ht="13.05" customHeight="1" x14ac:dyDescent="0.25">
      <c r="A61" s="83" t="s">
        <v>100</v>
      </c>
      <c r="C61" s="82"/>
      <c r="D61" s="82"/>
      <c r="F61" s="82"/>
      <c r="G61" s="82"/>
      <c r="I61" s="82"/>
      <c r="J61" s="82"/>
    </row>
    <row r="62" spans="1:15" s="81" customFormat="1" ht="9.3000000000000007" customHeight="1" x14ac:dyDescent="0.25">
      <c r="A62" s="83" t="s">
        <v>44</v>
      </c>
      <c r="C62" s="82"/>
      <c r="D62" s="82"/>
      <c r="F62" s="82"/>
      <c r="G62" s="82"/>
      <c r="I62" s="82"/>
      <c r="J62" s="82"/>
    </row>
    <row r="63" spans="1:15" ht="13.05" customHeight="1" x14ac:dyDescent="0.25"/>
  </sheetData>
  <mergeCells count="7">
    <mergeCell ref="P6:Q6"/>
    <mergeCell ref="E5:O5"/>
    <mergeCell ref="B6:C6"/>
    <mergeCell ref="E6:F6"/>
    <mergeCell ref="H6:I6"/>
    <mergeCell ref="K6:L6"/>
    <mergeCell ref="N6:O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showGridLines="0" workbookViewId="0"/>
  </sheetViews>
  <sheetFormatPr baseColWidth="10" defaultColWidth="9.75" defaultRowHeight="15" x14ac:dyDescent="0.25"/>
  <cols>
    <col min="1" max="1" width="19.33203125" customWidth="1"/>
    <col min="2" max="2" width="4.9140625" customWidth="1"/>
    <col min="3" max="3" width="5.75" style="67" customWidth="1"/>
    <col min="4" max="4" width="1.08203125" style="67" customWidth="1"/>
    <col min="5" max="5" width="4.08203125" customWidth="1"/>
    <col min="6" max="6" width="6.08203125" style="67" customWidth="1"/>
    <col min="7" max="7" width="0.9140625" style="67" customWidth="1"/>
    <col min="8" max="8" width="4.75" customWidth="1"/>
    <col min="9" max="9" width="5.08203125" style="67" customWidth="1"/>
    <col min="10" max="10" width="0.75" style="67" customWidth="1"/>
    <col min="11" max="11" width="3.9140625" customWidth="1"/>
    <col min="12" max="12" width="5.33203125" customWidth="1"/>
    <col min="13" max="13" width="0.6640625" customWidth="1"/>
    <col min="14" max="14" width="3.9140625" customWidth="1"/>
    <col min="15" max="15" width="4.4140625" customWidth="1"/>
    <col min="16" max="16" width="0.4140625" customWidth="1"/>
    <col min="17" max="17" width="4.58203125" customWidth="1"/>
    <col min="18" max="18" width="4.33203125" style="67" customWidth="1"/>
  </cols>
  <sheetData>
    <row r="1" spans="1:20" s="81" customFormat="1" ht="15" customHeight="1" x14ac:dyDescent="0.25">
      <c r="A1" s="80" t="s">
        <v>58</v>
      </c>
      <c r="C1" s="82"/>
      <c r="D1" s="82"/>
      <c r="F1" s="82"/>
      <c r="G1" s="82"/>
      <c r="I1" s="82"/>
      <c r="J1" s="82"/>
      <c r="R1" s="82"/>
    </row>
    <row r="2" spans="1:20" s="81" customFormat="1" ht="15" customHeight="1" x14ac:dyDescent="0.25">
      <c r="A2" s="83" t="s">
        <v>93</v>
      </c>
      <c r="C2" s="82"/>
      <c r="D2" s="82"/>
      <c r="F2" s="82"/>
      <c r="G2" s="82"/>
      <c r="I2" s="82"/>
      <c r="J2" s="82"/>
      <c r="R2" s="82"/>
    </row>
    <row r="3" spans="1:20" s="81" customFormat="1" ht="15" customHeight="1" x14ac:dyDescent="0.25">
      <c r="A3" s="83" t="s">
        <v>94</v>
      </c>
      <c r="C3" s="82"/>
      <c r="D3" s="82"/>
      <c r="F3" s="82"/>
      <c r="G3" s="82"/>
      <c r="I3" s="82"/>
      <c r="J3" s="82"/>
      <c r="R3" s="82"/>
    </row>
    <row r="4" spans="1:20" s="81" customFormat="1" ht="6" customHeight="1" x14ac:dyDescent="0.25">
      <c r="C4" s="82"/>
      <c r="D4" s="82"/>
      <c r="F4" s="82"/>
      <c r="G4" s="82"/>
      <c r="I4" s="82"/>
      <c r="J4" s="82"/>
      <c r="R4" s="82"/>
    </row>
    <row r="5" spans="1:20" s="81" customFormat="1" ht="6" customHeight="1" x14ac:dyDescent="0.25">
      <c r="C5" s="82"/>
      <c r="D5" s="82"/>
      <c r="F5" s="82"/>
      <c r="G5" s="82"/>
      <c r="I5" s="82"/>
      <c r="J5" s="82"/>
      <c r="R5" s="82"/>
    </row>
    <row r="6" spans="1:20" s="81" customFormat="1" ht="13.05" customHeight="1" x14ac:dyDescent="0.25">
      <c r="A6" s="83" t="s">
        <v>95</v>
      </c>
      <c r="C6" s="82"/>
      <c r="D6" s="82"/>
      <c r="F6" s="82"/>
      <c r="G6" s="82"/>
      <c r="H6" s="83" t="s">
        <v>81</v>
      </c>
      <c r="I6" s="88"/>
      <c r="J6" s="88"/>
      <c r="R6" s="82"/>
    </row>
    <row r="7" spans="1:20" s="81" customFormat="1" ht="13.05" customHeight="1" x14ac:dyDescent="0.25">
      <c r="A7" s="83" t="s">
        <v>66</v>
      </c>
      <c r="B7" s="155" t="s">
        <v>68</v>
      </c>
      <c r="C7" s="155"/>
      <c r="D7" s="84"/>
      <c r="E7" s="155" t="s">
        <v>3</v>
      </c>
      <c r="F7" s="155"/>
      <c r="G7" s="84"/>
      <c r="H7" s="155" t="s">
        <v>4</v>
      </c>
      <c r="I7" s="155"/>
      <c r="J7" s="84"/>
      <c r="K7" s="155" t="s">
        <v>5</v>
      </c>
      <c r="L7" s="155"/>
      <c r="M7" s="84"/>
      <c r="N7" s="155" t="s">
        <v>6</v>
      </c>
      <c r="O7" s="155"/>
      <c r="P7" s="84"/>
      <c r="Q7" s="155" t="s">
        <v>7</v>
      </c>
      <c r="R7" s="155"/>
      <c r="S7" s="154"/>
      <c r="T7" s="154"/>
    </row>
    <row r="8" spans="1:20" s="81" customFormat="1" ht="9.3000000000000007" customHeight="1" x14ac:dyDescent="0.25">
      <c r="A8" s="83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</row>
    <row r="9" spans="1:20" s="81" customFormat="1" ht="13.5" customHeight="1" x14ac:dyDescent="0.25">
      <c r="B9" s="85" t="s">
        <v>82</v>
      </c>
      <c r="C9" s="86" t="s">
        <v>83</v>
      </c>
      <c r="D9" s="86"/>
      <c r="E9" s="85" t="s">
        <v>82</v>
      </c>
      <c r="F9" s="86" t="s">
        <v>83</v>
      </c>
      <c r="G9" s="86"/>
      <c r="H9" s="85" t="s">
        <v>82</v>
      </c>
      <c r="I9" s="86" t="s">
        <v>83</v>
      </c>
      <c r="J9" s="86"/>
      <c r="K9" s="87" t="s">
        <v>82</v>
      </c>
      <c r="L9" s="86" t="s">
        <v>83</v>
      </c>
      <c r="M9" s="86"/>
      <c r="N9" s="85" t="s">
        <v>82</v>
      </c>
      <c r="O9" s="86" t="s">
        <v>83</v>
      </c>
      <c r="P9" s="86"/>
      <c r="Q9" s="85" t="s">
        <v>82</v>
      </c>
      <c r="R9" s="86" t="s">
        <v>83</v>
      </c>
      <c r="S9" s="87"/>
      <c r="T9" s="86"/>
    </row>
    <row r="10" spans="1:20" s="81" customFormat="1" ht="13.05" customHeight="1" x14ac:dyDescent="0.25">
      <c r="B10" s="85" t="s">
        <v>47</v>
      </c>
      <c r="C10" s="86" t="s">
        <v>84</v>
      </c>
      <c r="D10" s="86"/>
      <c r="E10" s="85" t="s">
        <v>47</v>
      </c>
      <c r="F10" s="86" t="s">
        <v>84</v>
      </c>
      <c r="G10" s="86"/>
      <c r="H10" s="85" t="s">
        <v>47</v>
      </c>
      <c r="I10" s="86" t="s">
        <v>84</v>
      </c>
      <c r="J10" s="86"/>
      <c r="K10" s="85" t="s">
        <v>47</v>
      </c>
      <c r="L10" s="86" t="s">
        <v>84</v>
      </c>
      <c r="M10" s="86"/>
      <c r="N10" s="85" t="s">
        <v>47</v>
      </c>
      <c r="O10" s="86" t="s">
        <v>84</v>
      </c>
      <c r="P10" s="86"/>
      <c r="Q10" s="85" t="s">
        <v>47</v>
      </c>
      <c r="R10" s="86" t="s">
        <v>84</v>
      </c>
      <c r="S10" s="85"/>
      <c r="T10" s="86"/>
    </row>
    <row r="11" spans="1:20" s="81" customFormat="1" ht="6" customHeight="1" x14ac:dyDescent="0.25">
      <c r="B11" s="82"/>
      <c r="C11" s="86"/>
      <c r="D11" s="86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R11" s="82"/>
    </row>
    <row r="12" spans="1:20" s="40" customFormat="1" ht="9.3000000000000007" customHeight="1" x14ac:dyDescent="0.25">
      <c r="A12" s="81"/>
      <c r="B12" s="25"/>
      <c r="C12" s="26"/>
      <c r="D12" s="26"/>
      <c r="E12" s="25"/>
      <c r="F12" s="26"/>
      <c r="G12" s="26"/>
      <c r="H12" s="25"/>
      <c r="I12" s="26"/>
      <c r="J12" s="26"/>
      <c r="K12" s="25"/>
      <c r="L12" s="25"/>
      <c r="M12" s="25"/>
      <c r="N12" s="25"/>
      <c r="O12" s="25"/>
      <c r="P12" s="25"/>
      <c r="Q12" s="25"/>
      <c r="R12" s="26"/>
    </row>
    <row r="13" spans="1:20" s="40" customFormat="1" ht="13.05" customHeight="1" x14ac:dyDescent="0.25">
      <c r="A13" s="81" t="s">
        <v>101</v>
      </c>
      <c r="B13" s="25"/>
      <c r="C13" s="26"/>
      <c r="D13" s="26"/>
      <c r="E13" s="25"/>
      <c r="F13" s="26"/>
      <c r="G13" s="26"/>
      <c r="H13" s="25"/>
      <c r="I13" s="26"/>
      <c r="J13" s="26"/>
      <c r="K13" s="25"/>
      <c r="L13" s="25"/>
      <c r="M13" s="25"/>
      <c r="N13" s="25"/>
      <c r="O13" s="25"/>
      <c r="P13" s="25"/>
      <c r="Q13" s="71"/>
      <c r="R13" s="71"/>
    </row>
    <row r="14" spans="1:20" s="40" customFormat="1" ht="9.3000000000000007" customHeight="1" x14ac:dyDescent="0.25">
      <c r="A14" s="81"/>
      <c r="B14" s="25"/>
      <c r="C14" s="26"/>
      <c r="D14" s="26"/>
      <c r="E14" s="25"/>
      <c r="F14" s="26"/>
      <c r="G14" s="26"/>
      <c r="H14" s="25"/>
      <c r="I14" s="26"/>
      <c r="J14" s="26"/>
      <c r="K14" s="25"/>
      <c r="L14" s="25"/>
      <c r="M14" s="25"/>
      <c r="N14" s="25"/>
      <c r="O14" s="25"/>
      <c r="P14" s="25"/>
      <c r="Q14" s="71"/>
      <c r="R14" s="71"/>
    </row>
    <row r="15" spans="1:20" s="40" customFormat="1" ht="13.05" customHeight="1" x14ac:dyDescent="0.25">
      <c r="A15" s="83" t="s">
        <v>69</v>
      </c>
      <c r="B15" s="71">
        <v>1088</v>
      </c>
      <c r="C15" s="71">
        <v>107394</v>
      </c>
      <c r="D15" s="71"/>
      <c r="E15" s="71">
        <v>826</v>
      </c>
      <c r="F15" s="71">
        <v>64053</v>
      </c>
      <c r="G15" s="71"/>
      <c r="H15" s="71">
        <v>198</v>
      </c>
      <c r="I15" s="71">
        <v>33900</v>
      </c>
      <c r="J15" s="71">
        <v>0</v>
      </c>
      <c r="K15" s="71">
        <v>16</v>
      </c>
      <c r="L15" s="71">
        <v>7666</v>
      </c>
      <c r="M15" s="71">
        <v>0</v>
      </c>
      <c r="N15" s="71">
        <v>14</v>
      </c>
      <c r="O15" s="71">
        <v>1775</v>
      </c>
      <c r="P15" s="71">
        <v>0</v>
      </c>
      <c r="Q15" s="71">
        <v>34</v>
      </c>
      <c r="R15" s="79" t="s">
        <v>20</v>
      </c>
    </row>
    <row r="16" spans="1:20" s="40" customFormat="1" ht="9.75" customHeight="1" x14ac:dyDescent="0.25">
      <c r="A16" s="8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</row>
    <row r="17" spans="1:18" s="40" customFormat="1" ht="13.05" customHeight="1" x14ac:dyDescent="0.25">
      <c r="A17" s="83" t="s">
        <v>0</v>
      </c>
      <c r="B17" s="71">
        <v>208</v>
      </c>
      <c r="C17" s="71">
        <v>53864</v>
      </c>
      <c r="D17" s="71"/>
      <c r="E17" s="79">
        <v>172</v>
      </c>
      <c r="F17" s="79">
        <v>38235</v>
      </c>
      <c r="G17" s="71"/>
      <c r="H17" s="79">
        <v>30</v>
      </c>
      <c r="I17" s="79">
        <v>10415</v>
      </c>
      <c r="J17" s="71"/>
      <c r="K17" s="79">
        <v>4</v>
      </c>
      <c r="L17" s="79">
        <v>4398</v>
      </c>
      <c r="M17" s="73"/>
      <c r="N17" s="79">
        <v>2</v>
      </c>
      <c r="O17" s="79">
        <v>816</v>
      </c>
      <c r="P17" s="79"/>
      <c r="Q17" s="79" t="s">
        <v>20</v>
      </c>
      <c r="R17" s="79" t="s">
        <v>20</v>
      </c>
    </row>
    <row r="18" spans="1:18" s="40" customFormat="1" ht="9.75" customHeight="1" x14ac:dyDescent="0.25">
      <c r="A18" s="81"/>
      <c r="B18" s="71"/>
      <c r="C18" s="71"/>
      <c r="D18" s="71"/>
      <c r="E18" s="79"/>
      <c r="F18" s="79"/>
      <c r="G18" s="71"/>
      <c r="H18" s="79"/>
      <c r="I18" s="79"/>
      <c r="J18" s="71"/>
      <c r="K18" s="79"/>
      <c r="L18" s="79"/>
      <c r="M18" s="73"/>
      <c r="N18" s="79"/>
      <c r="O18" s="79"/>
      <c r="P18" s="79"/>
      <c r="Q18" s="79"/>
      <c r="R18" s="79"/>
    </row>
    <row r="19" spans="1:18" s="40" customFormat="1" ht="13.05" customHeight="1" x14ac:dyDescent="0.25">
      <c r="A19" s="83" t="s">
        <v>23</v>
      </c>
      <c r="B19" s="71">
        <v>8</v>
      </c>
      <c r="C19" s="71">
        <v>237</v>
      </c>
      <c r="D19" s="71"/>
      <c r="E19" s="79">
        <v>7</v>
      </c>
      <c r="F19" s="79">
        <v>175</v>
      </c>
      <c r="G19" s="71"/>
      <c r="H19" s="79" t="s">
        <v>20</v>
      </c>
      <c r="I19" s="79" t="s">
        <v>20</v>
      </c>
      <c r="J19" s="71"/>
      <c r="K19" s="79" t="s">
        <v>20</v>
      </c>
      <c r="L19" s="79" t="s">
        <v>20</v>
      </c>
      <c r="M19" s="73"/>
      <c r="N19" s="79">
        <v>1</v>
      </c>
      <c r="O19" s="79">
        <v>62</v>
      </c>
      <c r="P19" s="79"/>
      <c r="Q19" s="79" t="s">
        <v>20</v>
      </c>
      <c r="R19" s="79" t="s">
        <v>20</v>
      </c>
    </row>
    <row r="20" spans="1:18" s="40" customFormat="1" ht="9.75" customHeight="1" x14ac:dyDescent="0.25">
      <c r="A20" s="81"/>
      <c r="B20" s="71"/>
      <c r="C20" s="71"/>
      <c r="D20" s="71"/>
      <c r="E20" s="79"/>
      <c r="F20" s="79"/>
      <c r="G20" s="71"/>
      <c r="H20" s="79"/>
      <c r="I20" s="79"/>
      <c r="J20" s="71"/>
      <c r="K20" s="79"/>
      <c r="L20" s="79"/>
      <c r="M20" s="73"/>
      <c r="N20" s="79"/>
      <c r="O20" s="79"/>
      <c r="P20" s="79"/>
      <c r="Q20" s="79"/>
      <c r="R20" s="79"/>
    </row>
    <row r="21" spans="1:18" s="40" customFormat="1" ht="13.05" customHeight="1" x14ac:dyDescent="0.25">
      <c r="A21" s="83" t="s">
        <v>97</v>
      </c>
      <c r="B21" s="71">
        <v>8</v>
      </c>
      <c r="C21" s="71">
        <v>631</v>
      </c>
      <c r="D21" s="71"/>
      <c r="E21" s="79">
        <v>6</v>
      </c>
      <c r="F21" s="79">
        <v>282</v>
      </c>
      <c r="G21" s="71"/>
      <c r="H21" s="79">
        <v>1</v>
      </c>
      <c r="I21" s="79">
        <v>349</v>
      </c>
      <c r="J21" s="71"/>
      <c r="K21" s="79" t="s">
        <v>20</v>
      </c>
      <c r="L21" s="79" t="s">
        <v>20</v>
      </c>
      <c r="M21" s="73"/>
      <c r="N21" s="79">
        <v>1</v>
      </c>
      <c r="O21" s="79" t="s">
        <v>20</v>
      </c>
      <c r="P21" s="79"/>
      <c r="Q21" s="79" t="s">
        <v>20</v>
      </c>
      <c r="R21" s="79" t="s">
        <v>20</v>
      </c>
    </row>
    <row r="22" spans="1:18" s="40" customFormat="1" ht="9.75" customHeight="1" x14ac:dyDescent="0.25">
      <c r="A22" s="81"/>
      <c r="B22" s="71"/>
      <c r="C22" s="71"/>
      <c r="D22" s="71"/>
      <c r="E22" s="79"/>
      <c r="F22" s="79"/>
      <c r="G22" s="71"/>
      <c r="H22" s="79"/>
      <c r="I22" s="79"/>
      <c r="J22" s="71"/>
      <c r="K22" s="79"/>
      <c r="L22" s="79"/>
      <c r="M22" s="73"/>
      <c r="N22" s="79"/>
      <c r="O22" s="79"/>
      <c r="P22" s="79"/>
      <c r="Q22" s="79"/>
      <c r="R22" s="79"/>
    </row>
    <row r="23" spans="1:18" s="40" customFormat="1" ht="13.05" customHeight="1" x14ac:dyDescent="0.25">
      <c r="A23" s="83" t="s">
        <v>1</v>
      </c>
      <c r="B23" s="71">
        <v>44</v>
      </c>
      <c r="C23" s="79" t="s">
        <v>20</v>
      </c>
      <c r="D23" s="71"/>
      <c r="E23" s="79">
        <v>26</v>
      </c>
      <c r="F23" s="79" t="s">
        <v>20</v>
      </c>
      <c r="G23" s="71"/>
      <c r="H23" s="79">
        <v>17</v>
      </c>
      <c r="I23" s="79" t="s">
        <v>20</v>
      </c>
      <c r="J23" s="71"/>
      <c r="K23" s="79">
        <v>1</v>
      </c>
      <c r="L23" s="79" t="s">
        <v>20</v>
      </c>
      <c r="M23" s="73"/>
      <c r="N23" s="79" t="s">
        <v>20</v>
      </c>
      <c r="O23" s="79" t="s">
        <v>20</v>
      </c>
      <c r="P23" s="79"/>
      <c r="Q23" s="79" t="s">
        <v>20</v>
      </c>
      <c r="R23" s="79" t="s">
        <v>20</v>
      </c>
    </row>
    <row r="24" spans="1:18" s="40" customFormat="1" ht="9.75" customHeight="1" x14ac:dyDescent="0.25">
      <c r="A24" s="81"/>
      <c r="B24" s="71"/>
      <c r="C24" s="71"/>
      <c r="D24" s="71"/>
      <c r="E24" s="79"/>
      <c r="F24" s="79"/>
      <c r="G24" s="71"/>
      <c r="H24" s="79"/>
      <c r="I24" s="79"/>
      <c r="J24" s="71"/>
      <c r="K24" s="79"/>
      <c r="L24" s="79"/>
      <c r="M24" s="73"/>
      <c r="N24" s="79"/>
      <c r="O24" s="79"/>
      <c r="P24" s="79"/>
      <c r="Q24" s="79"/>
      <c r="R24" s="79"/>
    </row>
    <row r="25" spans="1:18" s="40" customFormat="1" ht="13.05" customHeight="1" x14ac:dyDescent="0.25">
      <c r="A25" s="83" t="s">
        <v>2</v>
      </c>
      <c r="B25" s="71">
        <v>217</v>
      </c>
      <c r="C25" s="71">
        <v>26285</v>
      </c>
      <c r="D25" s="71"/>
      <c r="E25" s="79">
        <v>173</v>
      </c>
      <c r="F25" s="79">
        <v>10798</v>
      </c>
      <c r="G25" s="71"/>
      <c r="H25" s="79">
        <v>37</v>
      </c>
      <c r="I25" s="79">
        <v>14400</v>
      </c>
      <c r="J25" s="71"/>
      <c r="K25" s="79">
        <v>5</v>
      </c>
      <c r="L25" s="79">
        <v>711</v>
      </c>
      <c r="M25" s="73"/>
      <c r="N25" s="79">
        <v>2</v>
      </c>
      <c r="O25" s="79">
        <v>376</v>
      </c>
      <c r="P25" s="79"/>
      <c r="Q25" s="79" t="s">
        <v>20</v>
      </c>
      <c r="R25" s="79" t="s">
        <v>20</v>
      </c>
    </row>
    <row r="26" spans="1:18" s="40" customFormat="1" ht="9.75" customHeight="1" x14ac:dyDescent="0.25">
      <c r="A26" s="81"/>
      <c r="B26" s="71"/>
      <c r="C26" s="71"/>
      <c r="D26" s="71"/>
      <c r="E26" s="79"/>
      <c r="F26" s="79"/>
      <c r="G26" s="71"/>
      <c r="H26" s="79"/>
      <c r="I26" s="79"/>
      <c r="J26" s="71"/>
      <c r="K26" s="79"/>
      <c r="L26" s="79"/>
      <c r="M26" s="73"/>
      <c r="N26" s="79"/>
      <c r="O26" s="79"/>
      <c r="P26" s="79"/>
      <c r="Q26" s="79"/>
      <c r="R26" s="79"/>
    </row>
    <row r="27" spans="1:18" s="40" customFormat="1" ht="12" customHeight="1" x14ac:dyDescent="0.25">
      <c r="A27" s="81" t="s">
        <v>9</v>
      </c>
      <c r="B27" s="71"/>
      <c r="C27" s="71"/>
      <c r="D27" s="71"/>
      <c r="E27" s="1"/>
      <c r="F27" s="1"/>
      <c r="G27" s="71"/>
      <c r="H27" s="1"/>
      <c r="I27" s="1"/>
      <c r="J27" s="71"/>
      <c r="K27" s="1"/>
      <c r="L27" s="1"/>
      <c r="M27" s="1"/>
      <c r="N27" s="1"/>
      <c r="O27" s="1"/>
      <c r="P27" s="1"/>
      <c r="Q27" s="1"/>
      <c r="R27" s="1"/>
    </row>
    <row r="28" spans="1:18" s="40" customFormat="1" ht="13.05" customHeight="1" x14ac:dyDescent="0.25">
      <c r="A28" s="83" t="s">
        <v>61</v>
      </c>
      <c r="B28" s="71">
        <v>2</v>
      </c>
      <c r="C28" s="79" t="s">
        <v>20</v>
      </c>
      <c r="D28" s="71"/>
      <c r="E28" s="79">
        <v>2</v>
      </c>
      <c r="F28" s="79" t="s">
        <v>20</v>
      </c>
      <c r="G28" s="71"/>
      <c r="H28" s="79" t="s">
        <v>20</v>
      </c>
      <c r="I28" s="79" t="s">
        <v>20</v>
      </c>
      <c r="J28" s="71"/>
      <c r="K28" s="79" t="s">
        <v>20</v>
      </c>
      <c r="L28" s="79" t="s">
        <v>20</v>
      </c>
      <c r="M28" s="73"/>
      <c r="N28" s="79" t="s">
        <v>20</v>
      </c>
      <c r="O28" s="79" t="s">
        <v>20</v>
      </c>
      <c r="P28" s="79"/>
      <c r="Q28" s="79" t="s">
        <v>20</v>
      </c>
      <c r="R28" s="79" t="s">
        <v>20</v>
      </c>
    </row>
    <row r="29" spans="1:18" s="40" customFormat="1" ht="9.3000000000000007" customHeight="1" x14ac:dyDescent="0.25">
      <c r="A29" s="81"/>
      <c r="B29" s="71"/>
      <c r="C29" s="71"/>
      <c r="D29" s="71"/>
      <c r="E29" s="79"/>
      <c r="F29" s="79"/>
      <c r="G29" s="71"/>
      <c r="H29" s="79"/>
      <c r="I29" s="79"/>
      <c r="J29" s="71"/>
      <c r="K29" s="79"/>
      <c r="L29" s="79"/>
      <c r="M29" s="73"/>
      <c r="N29" s="79"/>
      <c r="O29" s="79"/>
      <c r="P29" s="79"/>
      <c r="Q29" s="79"/>
      <c r="R29" s="79"/>
    </row>
    <row r="30" spans="1:18" s="40" customFormat="1" ht="13.05" customHeight="1" x14ac:dyDescent="0.25">
      <c r="A30" s="81" t="s">
        <v>6</v>
      </c>
      <c r="B30" s="79" t="s">
        <v>20</v>
      </c>
      <c r="C30" s="79" t="s">
        <v>20</v>
      </c>
      <c r="D30" s="71"/>
      <c r="E30" s="79" t="s">
        <v>20</v>
      </c>
      <c r="F30" s="79" t="s">
        <v>20</v>
      </c>
      <c r="G30" s="71"/>
      <c r="H30" s="79" t="s">
        <v>20</v>
      </c>
      <c r="I30" s="79" t="s">
        <v>20</v>
      </c>
      <c r="J30" s="71"/>
      <c r="K30" s="79" t="s">
        <v>20</v>
      </c>
      <c r="L30" s="79" t="s">
        <v>20</v>
      </c>
      <c r="M30" s="73"/>
      <c r="N30" s="79" t="s">
        <v>20</v>
      </c>
      <c r="O30" s="79" t="s">
        <v>20</v>
      </c>
      <c r="P30" s="79"/>
      <c r="Q30" s="79" t="s">
        <v>20</v>
      </c>
      <c r="R30" s="79" t="s">
        <v>20</v>
      </c>
    </row>
    <row r="31" spans="1:18" s="40" customFormat="1" ht="8.25" customHeight="1" x14ac:dyDescent="0.25">
      <c r="A31" s="81"/>
      <c r="B31" s="71"/>
      <c r="C31" s="71"/>
      <c r="D31" s="71"/>
      <c r="E31" s="79"/>
      <c r="F31" s="79"/>
      <c r="G31" s="71"/>
      <c r="H31" s="79"/>
      <c r="I31" s="79"/>
      <c r="J31" s="71"/>
      <c r="K31" s="79"/>
      <c r="L31" s="79"/>
      <c r="M31" s="73"/>
      <c r="N31" s="79"/>
      <c r="O31" s="79"/>
      <c r="P31" s="79"/>
      <c r="Q31" s="79"/>
      <c r="R31" s="79"/>
    </row>
    <row r="32" spans="1:18" s="40" customFormat="1" ht="13.05" customHeight="1" x14ac:dyDescent="0.25">
      <c r="A32" s="83" t="s">
        <v>102</v>
      </c>
      <c r="B32" s="71">
        <v>250</v>
      </c>
      <c r="C32" s="71">
        <v>26377</v>
      </c>
      <c r="D32" s="71"/>
      <c r="E32" s="79">
        <v>189</v>
      </c>
      <c r="F32" s="79">
        <v>14563</v>
      </c>
      <c r="G32" s="71"/>
      <c r="H32" s="79">
        <v>51</v>
      </c>
      <c r="I32" s="79">
        <v>8736</v>
      </c>
      <c r="J32" s="71"/>
      <c r="K32" s="79">
        <v>5</v>
      </c>
      <c r="L32" s="79">
        <v>2557</v>
      </c>
      <c r="M32" s="73"/>
      <c r="N32" s="79">
        <v>5</v>
      </c>
      <c r="O32" s="79">
        <v>521</v>
      </c>
      <c r="P32" s="79"/>
      <c r="Q32" s="79" t="s">
        <v>20</v>
      </c>
      <c r="R32" s="79" t="s">
        <v>20</v>
      </c>
    </row>
    <row r="33" spans="1:18" s="40" customFormat="1" ht="9.75" customHeight="1" x14ac:dyDescent="0.25">
      <c r="A33" s="81"/>
      <c r="E33" s="79"/>
      <c r="F33" s="79"/>
      <c r="G33" s="71"/>
      <c r="H33" s="79"/>
      <c r="I33" s="79"/>
      <c r="J33" s="71"/>
      <c r="K33" s="79"/>
      <c r="L33" s="79"/>
      <c r="M33" s="73"/>
      <c r="N33" s="79"/>
      <c r="O33" s="79"/>
      <c r="P33" s="79"/>
      <c r="Q33" s="79"/>
      <c r="R33" s="79"/>
    </row>
    <row r="34" spans="1:18" s="40" customFormat="1" ht="13.05" customHeight="1" x14ac:dyDescent="0.25">
      <c r="A34" s="81" t="s">
        <v>88</v>
      </c>
      <c r="B34" s="71"/>
      <c r="C34" s="71"/>
      <c r="D34" s="71"/>
      <c r="E34" s="1"/>
      <c r="F34" s="1"/>
      <c r="G34" s="71"/>
      <c r="H34" s="1"/>
      <c r="I34" s="1"/>
      <c r="J34" s="71"/>
      <c r="K34" s="1"/>
      <c r="L34" s="1"/>
      <c r="M34" s="1"/>
      <c r="N34" s="1"/>
      <c r="O34" s="1"/>
      <c r="P34" s="1"/>
      <c r="Q34" s="1"/>
      <c r="R34" s="1"/>
    </row>
    <row r="35" spans="1:18" s="40" customFormat="1" ht="13.05" customHeight="1" x14ac:dyDescent="0.25">
      <c r="A35" s="83" t="s">
        <v>89</v>
      </c>
      <c r="B35" s="71">
        <v>351</v>
      </c>
      <c r="C35" s="79" t="s">
        <v>20</v>
      </c>
      <c r="D35" s="71"/>
      <c r="E35" s="79">
        <v>251</v>
      </c>
      <c r="F35" s="79" t="s">
        <v>20</v>
      </c>
      <c r="G35" s="71"/>
      <c r="H35" s="79">
        <v>62</v>
      </c>
      <c r="I35" s="79" t="s">
        <v>20</v>
      </c>
      <c r="J35" s="71"/>
      <c r="K35" s="79">
        <v>1</v>
      </c>
      <c r="L35" s="79" t="s">
        <v>20</v>
      </c>
      <c r="M35" s="79"/>
      <c r="N35" s="79">
        <v>3</v>
      </c>
      <c r="O35" s="79" t="s">
        <v>20</v>
      </c>
      <c r="P35" s="79"/>
      <c r="Q35" s="79">
        <v>34</v>
      </c>
      <c r="R35" s="79" t="s">
        <v>20</v>
      </c>
    </row>
    <row r="36" spans="1:18" s="40" customFormat="1" ht="9.75" customHeight="1" x14ac:dyDescent="0.25">
      <c r="A36" s="83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</row>
    <row r="37" spans="1:18" s="40" customFormat="1" ht="13.05" customHeight="1" x14ac:dyDescent="0.25">
      <c r="A37" s="81" t="s">
        <v>103</v>
      </c>
      <c r="B37" s="25"/>
      <c r="C37" s="26"/>
      <c r="D37" s="26"/>
      <c r="E37" s="25"/>
      <c r="F37" s="26"/>
      <c r="G37" s="26"/>
      <c r="H37" s="25"/>
      <c r="I37" s="26"/>
      <c r="J37" s="26"/>
      <c r="K37" s="25"/>
      <c r="L37" s="25"/>
      <c r="M37" s="25"/>
      <c r="N37" s="25"/>
      <c r="O37" s="25"/>
      <c r="P37" s="25"/>
      <c r="Q37" s="71"/>
      <c r="R37" s="71"/>
    </row>
    <row r="38" spans="1:18" s="40" customFormat="1" ht="9.3000000000000007" customHeight="1" x14ac:dyDescent="0.25">
      <c r="A38" s="81"/>
      <c r="B38" s="25"/>
      <c r="C38" s="26"/>
      <c r="D38" s="26"/>
      <c r="E38" s="25"/>
      <c r="F38" s="26"/>
      <c r="G38" s="26"/>
      <c r="H38" s="25"/>
      <c r="I38" s="26"/>
      <c r="J38" s="26"/>
      <c r="K38" s="25"/>
      <c r="L38" s="25"/>
      <c r="M38" s="25"/>
      <c r="N38" s="25"/>
      <c r="O38" s="25"/>
      <c r="P38" s="25"/>
      <c r="Q38" s="71"/>
      <c r="R38" s="71"/>
    </row>
    <row r="39" spans="1:18" s="40" customFormat="1" ht="13.05" customHeight="1" x14ac:dyDescent="0.25">
      <c r="A39" s="83" t="s">
        <v>69</v>
      </c>
      <c r="B39" s="71">
        <v>1002</v>
      </c>
      <c r="C39" s="71">
        <v>248354.49999999997</v>
      </c>
      <c r="D39" s="71"/>
      <c r="E39" s="71">
        <v>789</v>
      </c>
      <c r="F39" s="71">
        <v>146198.49</v>
      </c>
      <c r="G39" s="71"/>
      <c r="H39" s="71">
        <v>185</v>
      </c>
      <c r="I39" s="71">
        <v>87174.98</v>
      </c>
      <c r="J39" s="71">
        <v>0</v>
      </c>
      <c r="K39" s="71">
        <v>22</v>
      </c>
      <c r="L39" s="71">
        <v>13280</v>
      </c>
      <c r="M39" s="71">
        <v>0</v>
      </c>
      <c r="N39" s="71">
        <v>6</v>
      </c>
      <c r="O39" s="71">
        <v>1701.03</v>
      </c>
      <c r="P39" s="71">
        <v>0</v>
      </c>
      <c r="Q39" s="79" t="s">
        <v>57</v>
      </c>
      <c r="R39" s="79" t="s">
        <v>57</v>
      </c>
    </row>
    <row r="40" spans="1:18" s="40" customFormat="1" ht="9.75" customHeight="1" x14ac:dyDescent="0.25">
      <c r="A40" s="8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</row>
    <row r="41" spans="1:18" s="40" customFormat="1" ht="13.05" customHeight="1" x14ac:dyDescent="0.25">
      <c r="A41" s="83" t="s">
        <v>0</v>
      </c>
      <c r="B41" s="71">
        <v>243</v>
      </c>
      <c r="C41" s="71">
        <v>177967.98</v>
      </c>
      <c r="D41" s="71"/>
      <c r="E41" s="79">
        <v>195</v>
      </c>
      <c r="F41" s="79">
        <v>113751.49</v>
      </c>
      <c r="G41" s="71"/>
      <c r="H41" s="79">
        <v>40</v>
      </c>
      <c r="I41" s="79">
        <v>60871.49</v>
      </c>
      <c r="J41" s="71"/>
      <c r="K41" s="79">
        <v>7</v>
      </c>
      <c r="L41" s="79">
        <v>2383.5</v>
      </c>
      <c r="M41" s="73"/>
      <c r="N41" s="79">
        <v>1</v>
      </c>
      <c r="O41" s="79">
        <v>961.5</v>
      </c>
      <c r="P41" s="79"/>
      <c r="Q41" s="79" t="s">
        <v>57</v>
      </c>
      <c r="R41" s="79" t="s">
        <v>57</v>
      </c>
    </row>
    <row r="42" spans="1:18" s="40" customFormat="1" ht="9.75" customHeight="1" x14ac:dyDescent="0.25">
      <c r="A42" s="81"/>
      <c r="B42" s="71"/>
      <c r="C42" s="71"/>
      <c r="D42" s="71"/>
      <c r="E42" s="79"/>
      <c r="F42" s="79"/>
      <c r="G42" s="71"/>
      <c r="H42" s="79"/>
      <c r="I42" s="79"/>
      <c r="J42" s="71"/>
      <c r="K42" s="79"/>
      <c r="L42" s="79"/>
      <c r="M42" s="73"/>
      <c r="N42" s="79"/>
      <c r="O42" s="79"/>
      <c r="P42" s="79"/>
      <c r="Q42" s="79"/>
      <c r="R42" s="79"/>
    </row>
    <row r="43" spans="1:18" s="40" customFormat="1" ht="13.05" customHeight="1" x14ac:dyDescent="0.25">
      <c r="A43" s="83" t="s">
        <v>23</v>
      </c>
      <c r="B43" s="71">
        <v>8</v>
      </c>
      <c r="C43" s="71">
        <v>2214.02</v>
      </c>
      <c r="D43" s="71"/>
      <c r="E43" s="79">
        <v>5</v>
      </c>
      <c r="F43" s="79">
        <v>289</v>
      </c>
      <c r="G43" s="71"/>
      <c r="H43" s="79">
        <v>2</v>
      </c>
      <c r="I43" s="79">
        <v>1863.49</v>
      </c>
      <c r="J43" s="71"/>
      <c r="K43" s="79" t="s">
        <v>20</v>
      </c>
      <c r="L43" s="79" t="s">
        <v>20</v>
      </c>
      <c r="M43" s="73"/>
      <c r="N43" s="79">
        <v>1</v>
      </c>
      <c r="O43" s="79">
        <v>61.53</v>
      </c>
      <c r="P43" s="79"/>
      <c r="Q43" s="79" t="s">
        <v>57</v>
      </c>
      <c r="R43" s="79" t="s">
        <v>57</v>
      </c>
    </row>
    <row r="44" spans="1:18" s="40" customFormat="1" ht="9.75" customHeight="1" x14ac:dyDescent="0.25">
      <c r="A44" s="81"/>
      <c r="B44" s="71"/>
      <c r="C44" s="71"/>
      <c r="D44" s="71"/>
      <c r="E44" s="79"/>
      <c r="F44" s="79"/>
      <c r="G44" s="71"/>
      <c r="H44" s="79"/>
      <c r="I44" s="79"/>
      <c r="J44" s="71"/>
      <c r="K44" s="79"/>
      <c r="L44" s="79"/>
      <c r="M44" s="73"/>
      <c r="N44" s="79"/>
      <c r="O44" s="79"/>
      <c r="P44" s="79"/>
      <c r="Q44" s="79"/>
      <c r="R44" s="79"/>
    </row>
    <row r="45" spans="1:18" s="40" customFormat="1" ht="13.05" customHeight="1" x14ac:dyDescent="0.25">
      <c r="A45" s="83" t="s">
        <v>97</v>
      </c>
      <c r="B45" s="71">
        <v>4</v>
      </c>
      <c r="C45" s="71">
        <v>584</v>
      </c>
      <c r="D45" s="71"/>
      <c r="E45" s="79">
        <v>3</v>
      </c>
      <c r="F45" s="79">
        <v>548</v>
      </c>
      <c r="G45" s="71"/>
      <c r="H45" s="79">
        <v>1</v>
      </c>
      <c r="I45" s="79">
        <v>36</v>
      </c>
      <c r="J45" s="71"/>
      <c r="K45" s="79" t="s">
        <v>20</v>
      </c>
      <c r="L45" s="79" t="s">
        <v>20</v>
      </c>
      <c r="M45" s="73"/>
      <c r="N45" s="79" t="s">
        <v>20</v>
      </c>
      <c r="O45" s="79" t="s">
        <v>20</v>
      </c>
      <c r="P45" s="79"/>
      <c r="Q45" s="79" t="s">
        <v>57</v>
      </c>
      <c r="R45" s="79" t="s">
        <v>57</v>
      </c>
    </row>
    <row r="46" spans="1:18" s="40" customFormat="1" ht="9.75" customHeight="1" x14ac:dyDescent="0.25">
      <c r="A46" s="81"/>
      <c r="B46" s="71"/>
      <c r="C46" s="71"/>
      <c r="D46" s="71"/>
      <c r="E46" s="79"/>
      <c r="F46" s="79"/>
      <c r="G46" s="71"/>
      <c r="H46" s="79"/>
      <c r="I46" s="79"/>
      <c r="J46" s="71"/>
      <c r="K46" s="79"/>
      <c r="L46" s="79"/>
      <c r="M46" s="73"/>
      <c r="N46" s="79"/>
      <c r="O46" s="79"/>
      <c r="P46" s="79"/>
      <c r="Q46" s="79"/>
      <c r="R46" s="79"/>
    </row>
    <row r="47" spans="1:18" s="40" customFormat="1" ht="13.05" customHeight="1" x14ac:dyDescent="0.25">
      <c r="A47" s="83" t="s">
        <v>1</v>
      </c>
      <c r="B47" s="71">
        <v>36</v>
      </c>
      <c r="C47" s="79" t="s">
        <v>20</v>
      </c>
      <c r="D47" s="71"/>
      <c r="E47" s="79">
        <v>25</v>
      </c>
      <c r="F47" s="79" t="s">
        <v>20</v>
      </c>
      <c r="G47" s="71"/>
      <c r="H47" s="79">
        <v>11</v>
      </c>
      <c r="I47" s="79" t="s">
        <v>20</v>
      </c>
      <c r="J47" s="71"/>
      <c r="K47" s="79" t="s">
        <v>20</v>
      </c>
      <c r="L47" s="79" t="s">
        <v>20</v>
      </c>
      <c r="M47" s="73"/>
      <c r="N47" s="79" t="s">
        <v>20</v>
      </c>
      <c r="O47" s="79" t="s">
        <v>20</v>
      </c>
      <c r="P47" s="79"/>
      <c r="Q47" s="79" t="s">
        <v>57</v>
      </c>
      <c r="R47" s="79" t="s">
        <v>57</v>
      </c>
    </row>
    <row r="48" spans="1:18" s="40" customFormat="1" ht="9.75" customHeight="1" x14ac:dyDescent="0.25">
      <c r="A48" s="81"/>
      <c r="B48" s="71"/>
      <c r="C48" s="71"/>
      <c r="D48" s="71"/>
      <c r="E48" s="79"/>
      <c r="F48" s="79"/>
      <c r="G48" s="71"/>
      <c r="H48" s="79"/>
      <c r="I48" s="79"/>
      <c r="J48" s="71"/>
      <c r="K48" s="79"/>
      <c r="L48" s="79"/>
      <c r="M48" s="73"/>
      <c r="N48" s="79"/>
      <c r="O48" s="79"/>
      <c r="P48" s="79"/>
      <c r="Q48" s="79"/>
      <c r="R48" s="79"/>
    </row>
    <row r="49" spans="1:18" s="40" customFormat="1" ht="13.05" customHeight="1" x14ac:dyDescent="0.25">
      <c r="A49" s="83" t="s">
        <v>2</v>
      </c>
      <c r="B49" s="71">
        <v>180</v>
      </c>
      <c r="C49" s="71">
        <v>28982</v>
      </c>
      <c r="D49" s="71"/>
      <c r="E49" s="79">
        <v>136</v>
      </c>
      <c r="F49" s="79">
        <v>10563.5</v>
      </c>
      <c r="G49" s="71"/>
      <c r="H49" s="79">
        <v>37</v>
      </c>
      <c r="I49" s="79">
        <v>15321</v>
      </c>
      <c r="J49" s="71"/>
      <c r="K49" s="79">
        <v>7</v>
      </c>
      <c r="L49" s="79">
        <v>3097.5</v>
      </c>
      <c r="M49" s="73"/>
      <c r="N49" s="79" t="s">
        <v>20</v>
      </c>
      <c r="O49" s="79" t="s">
        <v>20</v>
      </c>
      <c r="P49" s="79"/>
      <c r="Q49" s="79" t="s">
        <v>57</v>
      </c>
      <c r="R49" s="79" t="s">
        <v>57</v>
      </c>
    </row>
    <row r="50" spans="1:18" s="40" customFormat="1" ht="9.75" customHeight="1" x14ac:dyDescent="0.25">
      <c r="A50" s="81"/>
      <c r="B50" s="71"/>
      <c r="C50" s="71"/>
      <c r="D50" s="71"/>
      <c r="E50" s="79"/>
      <c r="F50" s="79"/>
      <c r="G50" s="71"/>
      <c r="H50" s="79"/>
      <c r="I50" s="79"/>
      <c r="J50" s="71"/>
      <c r="K50" s="79"/>
      <c r="L50" s="79"/>
      <c r="M50" s="73"/>
      <c r="N50" s="79"/>
      <c r="O50" s="79"/>
      <c r="P50" s="79"/>
      <c r="Q50" s="79"/>
      <c r="R50" s="79"/>
    </row>
    <row r="51" spans="1:18" s="40" customFormat="1" ht="12" customHeight="1" x14ac:dyDescent="0.25">
      <c r="A51" s="81" t="s">
        <v>9</v>
      </c>
      <c r="B51" s="71"/>
      <c r="C51" s="71"/>
      <c r="D51" s="71"/>
      <c r="E51" s="1"/>
      <c r="F51" s="1"/>
      <c r="G51" s="71"/>
      <c r="H51" s="1"/>
      <c r="I51" s="1"/>
      <c r="J51" s="71"/>
      <c r="K51" s="1"/>
      <c r="L51" s="1"/>
      <c r="M51" s="1"/>
      <c r="N51" s="1"/>
      <c r="O51" s="1"/>
      <c r="P51" s="1"/>
      <c r="Q51" s="1"/>
      <c r="R51" s="1"/>
    </row>
    <row r="52" spans="1:18" s="40" customFormat="1" ht="13.05" customHeight="1" x14ac:dyDescent="0.25">
      <c r="A52" s="83" t="s">
        <v>61</v>
      </c>
      <c r="B52" s="71">
        <v>2</v>
      </c>
      <c r="C52" s="79" t="s">
        <v>20</v>
      </c>
      <c r="D52" s="71"/>
      <c r="E52" s="79">
        <v>2</v>
      </c>
      <c r="F52" s="79" t="s">
        <v>20</v>
      </c>
      <c r="G52" s="71"/>
      <c r="H52" s="79" t="s">
        <v>20</v>
      </c>
      <c r="I52" s="79" t="s">
        <v>20</v>
      </c>
      <c r="J52" s="71"/>
      <c r="K52" s="79" t="s">
        <v>20</v>
      </c>
      <c r="L52" s="79" t="s">
        <v>20</v>
      </c>
      <c r="M52" s="73"/>
      <c r="N52" s="79" t="s">
        <v>20</v>
      </c>
      <c r="O52" s="79" t="s">
        <v>20</v>
      </c>
      <c r="P52" s="79"/>
      <c r="Q52" s="79" t="s">
        <v>57</v>
      </c>
      <c r="R52" s="79" t="s">
        <v>57</v>
      </c>
    </row>
    <row r="53" spans="1:18" s="40" customFormat="1" ht="9.3000000000000007" customHeight="1" x14ac:dyDescent="0.25">
      <c r="A53" s="81"/>
      <c r="B53" s="71"/>
      <c r="C53" s="71"/>
      <c r="D53" s="71"/>
      <c r="E53" s="79"/>
      <c r="F53" s="79"/>
      <c r="G53" s="71"/>
      <c r="H53" s="79"/>
      <c r="I53" s="79"/>
      <c r="J53" s="71"/>
      <c r="K53" s="79"/>
      <c r="L53" s="79"/>
      <c r="M53" s="73"/>
      <c r="N53" s="79"/>
      <c r="O53" s="79"/>
      <c r="P53" s="79"/>
      <c r="Q53" s="79"/>
      <c r="R53" s="79"/>
    </row>
    <row r="54" spans="1:18" s="40" customFormat="1" ht="13.05" customHeight="1" x14ac:dyDescent="0.25">
      <c r="A54" s="81" t="s">
        <v>6</v>
      </c>
      <c r="B54" s="79"/>
      <c r="C54" s="79"/>
      <c r="D54" s="71"/>
      <c r="E54" s="79"/>
      <c r="F54" s="79"/>
      <c r="G54" s="71"/>
      <c r="H54" s="79"/>
      <c r="I54" s="79"/>
      <c r="J54" s="71"/>
      <c r="K54" s="79"/>
      <c r="L54" s="79"/>
      <c r="M54" s="73"/>
      <c r="N54" s="79"/>
      <c r="O54" s="79"/>
      <c r="P54" s="79"/>
      <c r="Q54" s="79"/>
      <c r="R54" s="79"/>
    </row>
    <row r="55" spans="1:18" s="40" customFormat="1" ht="9.75" customHeight="1" x14ac:dyDescent="0.25">
      <c r="A55" s="81"/>
      <c r="B55" s="71"/>
      <c r="C55" s="71"/>
      <c r="D55" s="71"/>
      <c r="E55" s="79"/>
      <c r="F55" s="79"/>
      <c r="G55" s="71"/>
      <c r="H55" s="79"/>
      <c r="I55" s="79"/>
      <c r="J55" s="71"/>
      <c r="K55" s="79"/>
      <c r="L55" s="79"/>
      <c r="M55" s="73"/>
      <c r="N55" s="79"/>
      <c r="O55" s="79"/>
      <c r="P55" s="79"/>
      <c r="Q55" s="79"/>
      <c r="R55" s="79"/>
    </row>
    <row r="56" spans="1:18" s="40" customFormat="1" ht="12" customHeight="1" x14ac:dyDescent="0.25">
      <c r="A56" s="83" t="s">
        <v>102</v>
      </c>
      <c r="B56" s="71">
        <v>296</v>
      </c>
      <c r="C56" s="71">
        <v>38606.5</v>
      </c>
      <c r="D56" s="71"/>
      <c r="E56" s="79">
        <v>232</v>
      </c>
      <c r="F56" s="79">
        <v>21046.5</v>
      </c>
      <c r="G56" s="71"/>
      <c r="H56" s="79">
        <v>57</v>
      </c>
      <c r="I56" s="79">
        <v>9083</v>
      </c>
      <c r="J56" s="71"/>
      <c r="K56" s="79">
        <v>5</v>
      </c>
      <c r="L56" s="79">
        <v>7799</v>
      </c>
      <c r="M56" s="73"/>
      <c r="N56" s="79">
        <v>2</v>
      </c>
      <c r="O56" s="79">
        <v>678</v>
      </c>
      <c r="P56" s="79"/>
      <c r="Q56" s="79" t="s">
        <v>57</v>
      </c>
      <c r="R56" s="79" t="s">
        <v>57</v>
      </c>
    </row>
    <row r="57" spans="1:18" s="40" customFormat="1" ht="13.05" customHeight="1" x14ac:dyDescent="0.25">
      <c r="A57" s="81"/>
      <c r="E57" s="79"/>
      <c r="F57" s="79"/>
      <c r="G57" s="71"/>
      <c r="H57" s="79"/>
      <c r="I57" s="79"/>
      <c r="J57" s="71"/>
      <c r="K57" s="79"/>
      <c r="L57" s="79"/>
      <c r="M57" s="73"/>
      <c r="N57" s="79"/>
      <c r="O57" s="79"/>
      <c r="P57" s="79"/>
      <c r="Q57" s="79"/>
      <c r="R57" s="79"/>
    </row>
    <row r="58" spans="1:18" s="40" customFormat="1" ht="13.05" customHeight="1" x14ac:dyDescent="0.25">
      <c r="A58" s="81" t="s">
        <v>88</v>
      </c>
      <c r="B58" s="71"/>
      <c r="C58" s="71"/>
      <c r="D58" s="71"/>
      <c r="E58" s="1"/>
      <c r="F58" s="1"/>
      <c r="G58" s="71"/>
      <c r="H58" s="1"/>
      <c r="I58" s="1"/>
      <c r="J58" s="71"/>
      <c r="K58" s="1"/>
      <c r="L58" s="1"/>
      <c r="M58" s="1"/>
      <c r="N58" s="1"/>
      <c r="O58" s="1"/>
      <c r="P58" s="1"/>
      <c r="Q58" s="1"/>
      <c r="R58" s="1"/>
    </row>
    <row r="59" spans="1:18" s="40" customFormat="1" ht="13.05" customHeight="1" x14ac:dyDescent="0.25">
      <c r="A59" s="83" t="s">
        <v>89</v>
      </c>
      <c r="B59" s="71">
        <v>233</v>
      </c>
      <c r="C59" s="79" t="s">
        <v>20</v>
      </c>
      <c r="D59" s="71"/>
      <c r="E59" s="79">
        <v>191</v>
      </c>
      <c r="F59" s="79" t="s">
        <v>20</v>
      </c>
      <c r="G59" s="71"/>
      <c r="H59" s="79">
        <v>37</v>
      </c>
      <c r="I59" s="79" t="s">
        <v>20</v>
      </c>
      <c r="J59" s="71"/>
      <c r="K59" s="79">
        <v>3</v>
      </c>
      <c r="L59" s="79" t="s">
        <v>20</v>
      </c>
      <c r="M59" s="73"/>
      <c r="N59" s="79">
        <v>2</v>
      </c>
      <c r="O59" s="79" t="s">
        <v>20</v>
      </c>
      <c r="P59" s="79"/>
      <c r="Q59" s="79" t="s">
        <v>57</v>
      </c>
      <c r="R59" s="79" t="s">
        <v>57</v>
      </c>
    </row>
    <row r="60" spans="1:18" s="40" customFormat="1" ht="9.75" customHeight="1" x14ac:dyDescent="0.25">
      <c r="A60" s="83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</row>
    <row r="61" spans="1:18" s="81" customFormat="1" ht="9.3000000000000007" customHeight="1" x14ac:dyDescent="0.25">
      <c r="C61" s="82"/>
      <c r="D61" s="82"/>
      <c r="F61" s="82"/>
      <c r="G61" s="82"/>
      <c r="I61" s="82"/>
      <c r="J61" s="82"/>
      <c r="R61" s="82"/>
    </row>
    <row r="62" spans="1:18" s="81" customFormat="1" ht="13.05" customHeight="1" x14ac:dyDescent="0.25">
      <c r="A62" s="83" t="s">
        <v>90</v>
      </c>
      <c r="C62" s="82"/>
      <c r="D62" s="82"/>
      <c r="F62" s="82"/>
      <c r="G62" s="82"/>
      <c r="I62" s="82"/>
      <c r="J62" s="82"/>
      <c r="R62" s="82"/>
    </row>
    <row r="63" spans="1:18" s="81" customFormat="1" ht="13.05" customHeight="1" x14ac:dyDescent="0.25">
      <c r="A63" s="83" t="s">
        <v>99</v>
      </c>
      <c r="C63" s="82"/>
      <c r="D63" s="82"/>
      <c r="F63" s="82"/>
      <c r="G63" s="82"/>
      <c r="I63" s="82"/>
      <c r="J63" s="82"/>
      <c r="R63" s="82"/>
    </row>
    <row r="64" spans="1:18" s="81" customFormat="1" ht="13.05" customHeight="1" x14ac:dyDescent="0.25">
      <c r="A64" s="83" t="s">
        <v>100</v>
      </c>
      <c r="C64" s="82"/>
      <c r="D64" s="82"/>
      <c r="F64" s="82"/>
      <c r="G64" s="82"/>
      <c r="I64" s="82"/>
      <c r="J64" s="82"/>
      <c r="R64" s="82"/>
    </row>
    <row r="65" spans="1:18" s="81" customFormat="1" ht="9.3000000000000007" customHeight="1" x14ac:dyDescent="0.25">
      <c r="A65" s="83" t="s">
        <v>44</v>
      </c>
      <c r="C65" s="82"/>
      <c r="D65" s="82"/>
      <c r="F65" s="82"/>
      <c r="G65" s="82"/>
      <c r="I65" s="82"/>
      <c r="J65" s="82"/>
      <c r="R65" s="82"/>
    </row>
    <row r="66" spans="1:18" ht="13.05" customHeight="1" x14ac:dyDescent="0.25"/>
  </sheetData>
  <mergeCells count="7">
    <mergeCell ref="S7:T7"/>
    <mergeCell ref="B7:C7"/>
    <mergeCell ref="E7:F7"/>
    <mergeCell ref="H7:I7"/>
    <mergeCell ref="K7:L7"/>
    <mergeCell ref="N7:O7"/>
    <mergeCell ref="Q7:R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8"/>
  <sheetViews>
    <sheetView showGridLines="0" workbookViewId="0"/>
  </sheetViews>
  <sheetFormatPr baseColWidth="10" defaultColWidth="9.75" defaultRowHeight="15" x14ac:dyDescent="0.25"/>
  <cols>
    <col min="1" max="1" width="9.08203125" customWidth="1"/>
    <col min="2" max="2" width="4.58203125" style="127" customWidth="1"/>
    <col min="3" max="3" width="6" style="127" customWidth="1"/>
    <col min="4" max="4" width="0.75" style="127" customWidth="1"/>
    <col min="5" max="5" width="4.33203125" style="127" customWidth="1"/>
    <col min="6" max="6" width="6" style="127" customWidth="1"/>
    <col min="7" max="7" width="0.25" style="127" customWidth="1"/>
    <col min="8" max="8" width="3.9140625" style="127" customWidth="1"/>
    <col min="9" max="9" width="5.4140625" style="127" customWidth="1"/>
    <col min="10" max="10" width="0.4140625" style="127" customWidth="1"/>
    <col min="11" max="11" width="4" style="127" customWidth="1"/>
    <col min="12" max="12" width="5.4140625" style="127" customWidth="1"/>
    <col min="13" max="13" width="0.4140625" style="128" customWidth="1"/>
    <col min="14" max="14" width="4.25" style="127" customWidth="1"/>
    <col min="15" max="15" width="5" style="127" customWidth="1"/>
    <col min="16" max="16" width="0.58203125" style="127" customWidth="1"/>
    <col min="17" max="17" width="3.25" style="127" customWidth="1"/>
    <col min="18" max="18" width="4.9140625" style="127" customWidth="1"/>
    <col min="19" max="20" width="4.25" customWidth="1"/>
  </cols>
  <sheetData>
    <row r="1" spans="1:20" ht="15" customHeight="1" x14ac:dyDescent="0.25">
      <c r="A1" s="89" t="s">
        <v>58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90"/>
      <c r="N1" s="89"/>
      <c r="O1" s="89"/>
      <c r="P1" s="89"/>
      <c r="Q1" s="89"/>
      <c r="R1" s="89"/>
      <c r="S1" s="89"/>
      <c r="T1" s="89"/>
    </row>
    <row r="2" spans="1:20" s="91" customFormat="1" ht="15" customHeight="1" x14ac:dyDescent="0.2">
      <c r="A2" s="89" t="s">
        <v>104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  <c r="N2" s="89"/>
      <c r="O2" s="89"/>
      <c r="P2" s="89"/>
      <c r="Q2" s="89"/>
      <c r="R2" s="89"/>
      <c r="S2" s="89"/>
      <c r="T2" s="89"/>
    </row>
    <row r="3" spans="1:20" s="91" customFormat="1" ht="15" customHeight="1" x14ac:dyDescent="0.2">
      <c r="A3" s="89" t="s">
        <v>105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90"/>
      <c r="N3" s="89"/>
      <c r="O3" s="89"/>
      <c r="P3" s="89"/>
      <c r="Q3" s="89"/>
      <c r="R3" s="89"/>
      <c r="S3" s="89"/>
      <c r="T3" s="89"/>
    </row>
    <row r="4" spans="1:20" s="91" customFormat="1" ht="15" customHeight="1" x14ac:dyDescent="0.2">
      <c r="A4" s="89" t="s">
        <v>106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90"/>
      <c r="N4" s="89"/>
      <c r="O4" s="89"/>
      <c r="P4" s="89"/>
      <c r="Q4" s="89"/>
      <c r="R4" s="89"/>
      <c r="S4" s="89"/>
      <c r="T4" s="89"/>
    </row>
    <row r="5" spans="1:20" s="91" customFormat="1" ht="6" customHeight="1" x14ac:dyDescent="0.2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90"/>
      <c r="N5" s="89"/>
      <c r="O5" s="89"/>
      <c r="P5" s="89"/>
      <c r="Q5" s="89"/>
      <c r="R5" s="89"/>
      <c r="S5" s="89"/>
      <c r="T5" s="89"/>
    </row>
    <row r="6" spans="1:20" s="95" customFormat="1" ht="6" customHeight="1" x14ac:dyDescent="0.25">
      <c r="A6" s="92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4"/>
      <c r="N6" s="93"/>
      <c r="O6" s="93"/>
      <c r="P6" s="93"/>
      <c r="Q6" s="93"/>
      <c r="R6" s="93"/>
      <c r="S6" s="92"/>
      <c r="T6" s="92"/>
    </row>
    <row r="7" spans="1:20" s="98" customFormat="1" ht="13.05" customHeight="1" x14ac:dyDescent="0.2">
      <c r="A7" s="96"/>
      <c r="B7" s="157" t="s">
        <v>81</v>
      </c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97"/>
      <c r="T7" s="97"/>
    </row>
    <row r="8" spans="1:20" s="98" customFormat="1" ht="15" customHeight="1" x14ac:dyDescent="0.2">
      <c r="A8" s="96" t="s">
        <v>107</v>
      </c>
      <c r="B8" s="156" t="s">
        <v>108</v>
      </c>
      <c r="C8" s="156"/>
      <c r="D8" s="99"/>
      <c r="E8" s="156" t="s">
        <v>109</v>
      </c>
      <c r="F8" s="156"/>
      <c r="G8" s="100"/>
      <c r="H8" s="156" t="s">
        <v>110</v>
      </c>
      <c r="I8" s="156"/>
      <c r="J8" s="101"/>
      <c r="K8" s="156" t="s">
        <v>111</v>
      </c>
      <c r="L8" s="156"/>
      <c r="M8" s="102"/>
      <c r="N8" s="156" t="s">
        <v>6</v>
      </c>
      <c r="O8" s="156"/>
      <c r="P8" s="102"/>
      <c r="Q8" s="156" t="s">
        <v>22</v>
      </c>
      <c r="R8" s="156"/>
      <c r="S8" s="156" t="s">
        <v>7</v>
      </c>
      <c r="T8" s="156"/>
    </row>
    <row r="9" spans="1:20" s="98" customFormat="1" ht="15" customHeight="1" x14ac:dyDescent="0.2">
      <c r="A9" s="103" t="s">
        <v>112</v>
      </c>
      <c r="B9" s="104" t="s">
        <v>82</v>
      </c>
      <c r="C9" s="104" t="s">
        <v>83</v>
      </c>
      <c r="D9" s="105"/>
      <c r="E9" s="104" t="s">
        <v>82</v>
      </c>
      <c r="F9" s="104" t="s">
        <v>83</v>
      </c>
      <c r="G9" s="105"/>
      <c r="H9" s="104" t="s">
        <v>82</v>
      </c>
      <c r="I9" s="104" t="s">
        <v>83</v>
      </c>
      <c r="J9" s="105"/>
      <c r="K9" s="104" t="s">
        <v>82</v>
      </c>
      <c r="L9" s="104" t="s">
        <v>83</v>
      </c>
      <c r="M9" s="105"/>
      <c r="N9" s="104" t="s">
        <v>82</v>
      </c>
      <c r="O9" s="104" t="s">
        <v>83</v>
      </c>
      <c r="P9" s="105"/>
      <c r="Q9" s="104" t="s">
        <v>82</v>
      </c>
      <c r="R9" s="104" t="s">
        <v>83</v>
      </c>
      <c r="S9" s="104" t="s">
        <v>82</v>
      </c>
      <c r="T9" s="104" t="s">
        <v>83</v>
      </c>
    </row>
    <row r="10" spans="1:20" s="98" customFormat="1" ht="13.05" customHeight="1" x14ac:dyDescent="0.2">
      <c r="A10" s="106" t="s">
        <v>113</v>
      </c>
      <c r="B10" s="104" t="s">
        <v>47</v>
      </c>
      <c r="C10" s="107"/>
      <c r="D10" s="108"/>
      <c r="E10" s="104" t="s">
        <v>47</v>
      </c>
      <c r="F10" s="107"/>
      <c r="G10" s="108"/>
      <c r="H10" s="104" t="s">
        <v>47</v>
      </c>
      <c r="I10" s="107"/>
      <c r="J10" s="108"/>
      <c r="K10" s="104" t="s">
        <v>47</v>
      </c>
      <c r="L10" s="107"/>
      <c r="M10" s="108"/>
      <c r="N10" s="104" t="s">
        <v>47</v>
      </c>
      <c r="O10" s="107"/>
      <c r="P10" s="108"/>
      <c r="Q10" s="104" t="s">
        <v>47</v>
      </c>
      <c r="R10" s="107"/>
      <c r="S10" s="104" t="s">
        <v>47</v>
      </c>
      <c r="T10" s="107"/>
    </row>
    <row r="11" spans="1:20" s="95" customFormat="1" ht="6" customHeight="1" x14ac:dyDescent="0.25">
      <c r="A11" s="109"/>
      <c r="B11" s="110"/>
      <c r="C11" s="111"/>
      <c r="D11" s="110"/>
      <c r="E11" s="110"/>
      <c r="F11" s="110"/>
      <c r="G11" s="110"/>
      <c r="H11" s="112"/>
      <c r="I11" s="112"/>
      <c r="J11" s="110"/>
      <c r="K11" s="110"/>
      <c r="L11" s="110"/>
      <c r="M11" s="110"/>
      <c r="N11" s="110"/>
      <c r="O11" s="110"/>
      <c r="P11" s="110"/>
      <c r="Q11" s="110"/>
      <c r="R11" s="110"/>
      <c r="S11" s="109"/>
      <c r="T11" s="109"/>
    </row>
    <row r="12" spans="1:20" s="95" customFormat="1" ht="9.3000000000000007" customHeight="1" x14ac:dyDescent="0.25">
      <c r="A12" s="113"/>
      <c r="B12" s="114"/>
      <c r="C12" s="115"/>
      <c r="D12" s="114"/>
      <c r="E12" s="114"/>
      <c r="F12" s="114"/>
      <c r="G12" s="114"/>
      <c r="H12" s="116"/>
      <c r="I12" s="116"/>
      <c r="J12" s="114"/>
      <c r="K12" s="114"/>
      <c r="L12" s="114"/>
      <c r="M12" s="114"/>
      <c r="N12" s="114"/>
      <c r="O12" s="114"/>
      <c r="P12" s="114"/>
      <c r="Q12" s="114"/>
      <c r="R12" s="114"/>
      <c r="S12" s="117"/>
      <c r="T12" s="117"/>
    </row>
    <row r="13" spans="1:20" s="48" customFormat="1" ht="13.05" customHeight="1" x14ac:dyDescent="0.2">
      <c r="A13" s="118" t="s">
        <v>114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20"/>
      <c r="N13" s="119"/>
      <c r="O13" s="119"/>
      <c r="P13" s="119"/>
      <c r="Q13" s="119"/>
      <c r="R13" s="119"/>
      <c r="S13" s="119"/>
      <c r="T13" s="119"/>
    </row>
    <row r="14" spans="1:20" s="48" customFormat="1" ht="9.3000000000000007" customHeight="1" x14ac:dyDescent="0.2">
      <c r="A14" s="118"/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20"/>
      <c r="N14" s="119"/>
      <c r="O14" s="119"/>
      <c r="P14" s="119"/>
      <c r="Q14" s="119"/>
      <c r="R14" s="119"/>
      <c r="S14" s="119"/>
      <c r="T14" s="119"/>
    </row>
    <row r="15" spans="1:20" s="48" customFormat="1" ht="13.05" customHeight="1" x14ac:dyDescent="0.2">
      <c r="A15" s="118" t="s">
        <v>69</v>
      </c>
      <c r="B15" s="119">
        <v>857</v>
      </c>
      <c r="C15" s="119">
        <v>120132</v>
      </c>
      <c r="D15" s="119">
        <v>0</v>
      </c>
      <c r="E15" s="119">
        <v>688</v>
      </c>
      <c r="F15" s="119">
        <v>79483</v>
      </c>
      <c r="G15" s="119">
        <v>0</v>
      </c>
      <c r="H15" s="119">
        <v>129</v>
      </c>
      <c r="I15" s="119">
        <v>29305</v>
      </c>
      <c r="J15" s="119">
        <v>0</v>
      </c>
      <c r="K15" s="119">
        <v>19</v>
      </c>
      <c r="L15" s="119">
        <v>9096</v>
      </c>
      <c r="M15" s="119">
        <v>0</v>
      </c>
      <c r="N15" s="119">
        <v>11</v>
      </c>
      <c r="O15" s="119">
        <v>1553</v>
      </c>
      <c r="P15" s="119">
        <v>0</v>
      </c>
      <c r="Q15" s="121" t="s">
        <v>57</v>
      </c>
      <c r="R15" s="121" t="s">
        <v>57</v>
      </c>
      <c r="S15" s="119">
        <v>10</v>
      </c>
      <c r="T15" s="119">
        <v>695</v>
      </c>
    </row>
    <row r="16" spans="1:20" s="48" customFormat="1" ht="9.3000000000000007" customHeight="1" x14ac:dyDescent="0.2">
      <c r="A16" s="118"/>
      <c r="B16" s="119"/>
      <c r="C16" s="119"/>
      <c r="D16" s="119"/>
      <c r="E16" s="119"/>
      <c r="F16" s="119"/>
      <c r="G16" s="119"/>
      <c r="H16" s="121"/>
      <c r="I16" s="121"/>
      <c r="J16" s="121"/>
      <c r="K16" s="121"/>
      <c r="L16" s="121"/>
      <c r="M16" s="119"/>
      <c r="N16" s="121"/>
      <c r="O16" s="121"/>
      <c r="P16" s="119"/>
      <c r="Q16" s="121"/>
      <c r="R16" s="121"/>
      <c r="S16" s="119"/>
      <c r="T16" s="119"/>
    </row>
    <row r="17" spans="1:37" s="48" customFormat="1" ht="13.05" customHeight="1" x14ac:dyDescent="0.2">
      <c r="A17" s="118" t="s">
        <v>115</v>
      </c>
      <c r="B17" s="119">
        <v>121</v>
      </c>
      <c r="C17" s="119">
        <v>1912</v>
      </c>
      <c r="D17" s="119"/>
      <c r="E17" s="121">
        <v>104</v>
      </c>
      <c r="F17" s="121">
        <v>1658</v>
      </c>
      <c r="G17" s="121"/>
      <c r="H17" s="121">
        <v>15</v>
      </c>
      <c r="I17" s="121">
        <v>225</v>
      </c>
      <c r="J17" s="121"/>
      <c r="K17" s="121" t="s">
        <v>20</v>
      </c>
      <c r="L17" s="121" t="s">
        <v>20</v>
      </c>
      <c r="M17" s="121"/>
      <c r="N17" s="121">
        <v>2</v>
      </c>
      <c r="O17" s="121">
        <v>29</v>
      </c>
      <c r="P17" s="121"/>
      <c r="Q17" s="121" t="s">
        <v>57</v>
      </c>
      <c r="R17" s="121" t="s">
        <v>57</v>
      </c>
      <c r="S17" s="121" t="s">
        <v>20</v>
      </c>
      <c r="T17" s="121" t="s">
        <v>20</v>
      </c>
    </row>
    <row r="18" spans="1:37" s="48" customFormat="1" ht="9.3000000000000007" customHeight="1" x14ac:dyDescent="0.2">
      <c r="A18" s="118"/>
      <c r="B18" s="119"/>
      <c r="C18" s="119"/>
      <c r="D18" s="119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</row>
    <row r="19" spans="1:37" s="48" customFormat="1" ht="13.05" customHeight="1" x14ac:dyDescent="0.2">
      <c r="A19" s="118" t="s">
        <v>116</v>
      </c>
      <c r="B19" s="119">
        <v>213</v>
      </c>
      <c r="C19" s="119">
        <v>11915</v>
      </c>
      <c r="D19" s="119"/>
      <c r="E19" s="121">
        <v>194</v>
      </c>
      <c r="F19" s="121">
        <v>10889</v>
      </c>
      <c r="G19" s="121"/>
      <c r="H19" s="121">
        <v>14</v>
      </c>
      <c r="I19" s="121">
        <v>725</v>
      </c>
      <c r="J19" s="121"/>
      <c r="K19" s="121">
        <v>3</v>
      </c>
      <c r="L19" s="121">
        <v>204</v>
      </c>
      <c r="M19" s="121"/>
      <c r="N19" s="121" t="s">
        <v>20</v>
      </c>
      <c r="O19" s="121" t="s">
        <v>20</v>
      </c>
      <c r="P19" s="121"/>
      <c r="Q19" s="121" t="s">
        <v>57</v>
      </c>
      <c r="R19" s="121" t="s">
        <v>57</v>
      </c>
      <c r="S19" s="121">
        <v>2</v>
      </c>
      <c r="T19" s="121">
        <v>97</v>
      </c>
    </row>
    <row r="20" spans="1:37" s="48" customFormat="1" ht="9.3000000000000007" customHeight="1" x14ac:dyDescent="0.2">
      <c r="A20" s="118"/>
      <c r="B20" s="119"/>
      <c r="C20" s="119"/>
      <c r="D20" s="119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</row>
    <row r="21" spans="1:37" s="48" customFormat="1" ht="13.05" customHeight="1" x14ac:dyDescent="0.2">
      <c r="A21" s="118" t="s">
        <v>117</v>
      </c>
      <c r="B21" s="119">
        <v>84</v>
      </c>
      <c r="C21" s="119">
        <v>8128</v>
      </c>
      <c r="D21" s="119"/>
      <c r="E21" s="121">
        <v>74</v>
      </c>
      <c r="F21" s="121">
        <v>7143</v>
      </c>
      <c r="G21" s="121"/>
      <c r="H21" s="121">
        <v>8</v>
      </c>
      <c r="I21" s="121">
        <v>790</v>
      </c>
      <c r="J21" s="121"/>
      <c r="K21" s="121">
        <v>1</v>
      </c>
      <c r="L21" s="121">
        <v>90</v>
      </c>
      <c r="M21" s="121"/>
      <c r="N21" s="121" t="s">
        <v>20</v>
      </c>
      <c r="O21" s="121" t="s">
        <v>20</v>
      </c>
      <c r="P21" s="121"/>
      <c r="Q21" s="121" t="s">
        <v>57</v>
      </c>
      <c r="R21" s="121" t="s">
        <v>57</v>
      </c>
      <c r="S21" s="121">
        <v>1</v>
      </c>
      <c r="T21" s="121">
        <v>105</v>
      </c>
    </row>
    <row r="22" spans="1:37" s="48" customFormat="1" ht="9.3000000000000007" customHeight="1" x14ac:dyDescent="0.2">
      <c r="A22" s="118"/>
      <c r="B22" s="119"/>
      <c r="C22" s="119"/>
      <c r="D22" s="119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</row>
    <row r="23" spans="1:37" s="48" customFormat="1" ht="13.05" customHeight="1" x14ac:dyDescent="0.2">
      <c r="A23" s="118" t="s">
        <v>118</v>
      </c>
      <c r="B23" s="119">
        <v>49</v>
      </c>
      <c r="C23" s="119">
        <v>7631</v>
      </c>
      <c r="D23" s="119"/>
      <c r="E23" s="121">
        <v>36</v>
      </c>
      <c r="F23" s="121">
        <v>5666</v>
      </c>
      <c r="G23" s="121"/>
      <c r="H23" s="121">
        <v>10</v>
      </c>
      <c r="I23" s="121">
        <v>1488</v>
      </c>
      <c r="J23" s="121"/>
      <c r="K23" s="121">
        <v>2</v>
      </c>
      <c r="L23" s="121">
        <v>306</v>
      </c>
      <c r="M23" s="121"/>
      <c r="N23" s="121">
        <v>1</v>
      </c>
      <c r="O23" s="121">
        <v>171</v>
      </c>
      <c r="P23" s="121"/>
      <c r="Q23" s="121" t="s">
        <v>57</v>
      </c>
      <c r="R23" s="121" t="s">
        <v>57</v>
      </c>
      <c r="S23" s="121" t="s">
        <v>20</v>
      </c>
      <c r="T23" s="121" t="s">
        <v>20</v>
      </c>
    </row>
    <row r="24" spans="1:37" s="48" customFormat="1" ht="9.3000000000000007" customHeight="1" x14ac:dyDescent="0.2">
      <c r="A24" s="118"/>
      <c r="B24" s="119"/>
      <c r="C24" s="119"/>
      <c r="D24" s="119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</row>
    <row r="25" spans="1:37" s="48" customFormat="1" ht="13.05" customHeight="1" x14ac:dyDescent="0.2">
      <c r="A25" s="118" t="s">
        <v>119</v>
      </c>
      <c r="B25" s="119">
        <v>53</v>
      </c>
      <c r="C25" s="119">
        <v>16510</v>
      </c>
      <c r="D25" s="119"/>
      <c r="E25" s="121">
        <v>22</v>
      </c>
      <c r="F25" s="121">
        <v>6422</v>
      </c>
      <c r="G25" s="121"/>
      <c r="H25" s="121">
        <v>19</v>
      </c>
      <c r="I25" s="121">
        <v>6101</v>
      </c>
      <c r="J25" s="121"/>
      <c r="K25" s="121">
        <v>6</v>
      </c>
      <c r="L25" s="121">
        <v>2141</v>
      </c>
      <c r="M25" s="121"/>
      <c r="N25" s="121">
        <v>5</v>
      </c>
      <c r="O25" s="121">
        <v>1353</v>
      </c>
      <c r="P25" s="121"/>
      <c r="Q25" s="121" t="s">
        <v>57</v>
      </c>
      <c r="R25" s="121" t="s">
        <v>57</v>
      </c>
      <c r="S25" s="121">
        <v>1</v>
      </c>
      <c r="T25" s="121">
        <v>493</v>
      </c>
    </row>
    <row r="26" spans="1:37" s="48" customFormat="1" ht="9.3000000000000007" customHeight="1" x14ac:dyDescent="0.2">
      <c r="A26" s="118" t="s">
        <v>92</v>
      </c>
      <c r="B26" s="119"/>
      <c r="C26" s="119"/>
      <c r="D26" s="119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  <row r="27" spans="1:37" s="48" customFormat="1" ht="13.05" customHeight="1" x14ac:dyDescent="0.2">
      <c r="A27" s="118" t="s">
        <v>120</v>
      </c>
      <c r="B27" s="119">
        <v>16</v>
      </c>
      <c r="C27" s="119">
        <v>11146</v>
      </c>
      <c r="D27" s="119"/>
      <c r="E27" s="121">
        <v>9</v>
      </c>
      <c r="F27" s="121">
        <v>5850</v>
      </c>
      <c r="G27" s="121"/>
      <c r="H27" s="121">
        <v>6</v>
      </c>
      <c r="I27" s="121">
        <v>4421</v>
      </c>
      <c r="J27" s="121"/>
      <c r="K27" s="121">
        <v>1</v>
      </c>
      <c r="L27" s="121">
        <v>875</v>
      </c>
      <c r="M27" s="121"/>
      <c r="N27" s="121" t="s">
        <v>20</v>
      </c>
      <c r="O27" s="121" t="s">
        <v>20</v>
      </c>
      <c r="P27" s="121"/>
      <c r="Q27" s="121" t="s">
        <v>57</v>
      </c>
      <c r="R27" s="121" t="s">
        <v>57</v>
      </c>
      <c r="S27" s="121" t="s">
        <v>20</v>
      </c>
      <c r="T27" s="121" t="s">
        <v>20</v>
      </c>
    </row>
    <row r="28" spans="1:37" s="48" customFormat="1" ht="9.3000000000000007" customHeight="1" x14ac:dyDescent="0.2">
      <c r="A28" s="118"/>
      <c r="B28" s="119"/>
      <c r="C28" s="119"/>
      <c r="D28" s="119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</row>
    <row r="29" spans="1:37" s="48" customFormat="1" ht="13.05" customHeight="1" x14ac:dyDescent="0.2">
      <c r="A29" s="118" t="s">
        <v>121</v>
      </c>
      <c r="B29" s="119">
        <v>10</v>
      </c>
      <c r="C29" s="119">
        <v>13942</v>
      </c>
      <c r="D29" s="119"/>
      <c r="E29" s="121">
        <v>5</v>
      </c>
      <c r="F29" s="121">
        <v>7280</v>
      </c>
      <c r="G29" s="121"/>
      <c r="H29" s="121">
        <v>5</v>
      </c>
      <c r="I29" s="121">
        <v>6662</v>
      </c>
      <c r="J29" s="121"/>
      <c r="K29" s="121" t="s">
        <v>20</v>
      </c>
      <c r="L29" s="121" t="s">
        <v>20</v>
      </c>
      <c r="M29" s="121"/>
      <c r="N29" s="121" t="s">
        <v>20</v>
      </c>
      <c r="O29" s="121" t="s">
        <v>20</v>
      </c>
      <c r="P29" s="121"/>
      <c r="Q29" s="121" t="s">
        <v>57</v>
      </c>
      <c r="R29" s="121" t="s">
        <v>57</v>
      </c>
      <c r="S29" s="121" t="s">
        <v>20</v>
      </c>
      <c r="T29" s="121" t="s">
        <v>20</v>
      </c>
    </row>
    <row r="30" spans="1:37" s="48" customFormat="1" ht="9.3000000000000007" customHeight="1" x14ac:dyDescent="0.2">
      <c r="A30" s="118"/>
      <c r="B30" s="119"/>
      <c r="C30" s="119"/>
      <c r="D30" s="119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</row>
    <row r="31" spans="1:37" s="48" customFormat="1" ht="13.05" customHeight="1" x14ac:dyDescent="0.2">
      <c r="A31" s="118" t="s">
        <v>122</v>
      </c>
      <c r="B31" s="119">
        <v>13</v>
      </c>
      <c r="C31" s="119">
        <v>48948</v>
      </c>
      <c r="D31" s="119"/>
      <c r="E31" s="121">
        <v>10</v>
      </c>
      <c r="F31" s="121">
        <v>34575</v>
      </c>
      <c r="G31" s="121"/>
      <c r="H31" s="121">
        <v>2</v>
      </c>
      <c r="I31" s="121">
        <v>8893</v>
      </c>
      <c r="J31" s="121"/>
      <c r="K31" s="121">
        <v>1</v>
      </c>
      <c r="L31" s="121">
        <v>5480</v>
      </c>
      <c r="M31" s="121"/>
      <c r="N31" s="121" t="s">
        <v>20</v>
      </c>
      <c r="O31" s="121" t="s">
        <v>20</v>
      </c>
      <c r="P31" s="121"/>
      <c r="Q31" s="121" t="s">
        <v>57</v>
      </c>
      <c r="R31" s="121" t="s">
        <v>57</v>
      </c>
      <c r="S31" s="121" t="s">
        <v>20</v>
      </c>
      <c r="T31" s="121" t="s">
        <v>20</v>
      </c>
    </row>
    <row r="32" spans="1:37" s="48" customFormat="1" ht="9.3000000000000007" customHeight="1" x14ac:dyDescent="0.2">
      <c r="A32" s="118"/>
      <c r="B32" s="119"/>
      <c r="C32" s="119"/>
      <c r="D32" s="119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</row>
    <row r="33" spans="1:37" s="48" customFormat="1" ht="13.05" customHeight="1" x14ac:dyDescent="0.2">
      <c r="A33" s="118" t="s">
        <v>7</v>
      </c>
      <c r="B33" s="119">
        <v>298</v>
      </c>
      <c r="C33" s="121" t="s">
        <v>20</v>
      </c>
      <c r="D33" s="119"/>
      <c r="E33" s="121">
        <v>234</v>
      </c>
      <c r="F33" s="121" t="s">
        <v>20</v>
      </c>
      <c r="G33" s="121"/>
      <c r="H33" s="121">
        <v>50</v>
      </c>
      <c r="I33" s="121" t="s">
        <v>20</v>
      </c>
      <c r="J33" s="121"/>
      <c r="K33" s="121">
        <v>5</v>
      </c>
      <c r="L33" s="121" t="s">
        <v>20</v>
      </c>
      <c r="M33" s="121"/>
      <c r="N33" s="121">
        <v>3</v>
      </c>
      <c r="O33" s="121" t="s">
        <v>20</v>
      </c>
      <c r="P33" s="121"/>
      <c r="Q33" s="121" t="s">
        <v>57</v>
      </c>
      <c r="R33" s="121" t="s">
        <v>57</v>
      </c>
      <c r="S33" s="121">
        <v>6</v>
      </c>
      <c r="T33" s="121" t="s">
        <v>20</v>
      </c>
      <c r="U33" s="123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</row>
    <row r="34" spans="1:37" s="48" customFormat="1" ht="9.3000000000000007" customHeight="1" x14ac:dyDescent="0.2">
      <c r="A34" s="118"/>
      <c r="B34" s="119"/>
      <c r="C34" s="119"/>
      <c r="D34" s="119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</row>
    <row r="35" spans="1:37" s="48" customFormat="1" ht="13.05" customHeight="1" x14ac:dyDescent="0.2">
      <c r="A35" s="118" t="s">
        <v>123</v>
      </c>
      <c r="B35" s="119"/>
      <c r="C35" s="119"/>
      <c r="D35" s="119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</row>
    <row r="36" spans="1:37" s="48" customFormat="1" ht="9.3000000000000007" customHeight="1" x14ac:dyDescent="0.2">
      <c r="A36" s="118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20"/>
      <c r="N36" s="119"/>
      <c r="O36" s="119"/>
      <c r="P36" s="119"/>
      <c r="Q36" s="119"/>
      <c r="R36" s="119"/>
      <c r="S36" s="119"/>
      <c r="T36" s="119"/>
    </row>
    <row r="37" spans="1:37" s="48" customFormat="1" ht="13.05" customHeight="1" x14ac:dyDescent="0.2">
      <c r="A37" s="118" t="s">
        <v>69</v>
      </c>
      <c r="B37" s="119">
        <v>953</v>
      </c>
      <c r="C37" s="119">
        <v>190032.21</v>
      </c>
      <c r="D37" s="119"/>
      <c r="E37" s="119">
        <v>681</v>
      </c>
      <c r="F37" s="119">
        <v>87301.02</v>
      </c>
      <c r="G37" s="119"/>
      <c r="H37" s="121">
        <v>138</v>
      </c>
      <c r="I37" s="121">
        <v>62577.9</v>
      </c>
      <c r="J37" s="121"/>
      <c r="K37" s="121">
        <v>25</v>
      </c>
      <c r="L37" s="121">
        <v>11899.02</v>
      </c>
      <c r="M37" s="119"/>
      <c r="N37" s="121">
        <v>74</v>
      </c>
      <c r="O37" s="121">
        <v>18163</v>
      </c>
      <c r="P37" s="119"/>
      <c r="Q37" s="121">
        <v>35</v>
      </c>
      <c r="R37" s="121">
        <v>10091.27</v>
      </c>
      <c r="S37" s="121" t="s">
        <v>57</v>
      </c>
      <c r="T37" s="121" t="s">
        <v>57</v>
      </c>
    </row>
    <row r="38" spans="1:37" s="48" customFormat="1" ht="9.3000000000000007" customHeight="1" x14ac:dyDescent="0.2">
      <c r="A38" s="118"/>
      <c r="B38" s="119"/>
      <c r="C38" s="119"/>
      <c r="D38" s="119"/>
      <c r="E38" s="119"/>
      <c r="F38" s="119"/>
      <c r="G38" s="119"/>
      <c r="H38" s="121"/>
      <c r="I38" s="121"/>
      <c r="J38" s="121"/>
      <c r="K38" s="121"/>
      <c r="L38" s="121"/>
      <c r="M38" s="119"/>
      <c r="N38" s="121"/>
      <c r="O38" s="121"/>
      <c r="P38" s="119"/>
      <c r="Q38" s="121"/>
      <c r="R38" s="121"/>
      <c r="S38" s="119"/>
      <c r="T38" s="119"/>
    </row>
    <row r="39" spans="1:37" s="48" customFormat="1" ht="13.05" customHeight="1" x14ac:dyDescent="0.2">
      <c r="A39" s="118" t="s">
        <v>115</v>
      </c>
      <c r="B39" s="119">
        <v>230</v>
      </c>
      <c r="C39" s="119">
        <v>2241.4800000000005</v>
      </c>
      <c r="D39" s="119"/>
      <c r="E39" s="119">
        <v>158</v>
      </c>
      <c r="F39" s="119">
        <v>1871.55</v>
      </c>
      <c r="G39" s="119"/>
      <c r="H39" s="121">
        <v>40</v>
      </c>
      <c r="I39" s="121">
        <v>197.02</v>
      </c>
      <c r="J39" s="121"/>
      <c r="K39" s="121">
        <v>2</v>
      </c>
      <c r="L39" s="121">
        <v>17.899999999999999</v>
      </c>
      <c r="M39" s="119">
        <v>20</v>
      </c>
      <c r="N39" s="121">
        <v>20</v>
      </c>
      <c r="O39" s="121">
        <v>146.01</v>
      </c>
      <c r="P39" s="119"/>
      <c r="Q39" s="121">
        <v>10</v>
      </c>
      <c r="R39" s="121">
        <v>9</v>
      </c>
      <c r="S39" s="121" t="s">
        <v>57</v>
      </c>
      <c r="T39" s="121" t="s">
        <v>57</v>
      </c>
    </row>
    <row r="40" spans="1:37" s="48" customFormat="1" ht="9.3000000000000007" customHeight="1" x14ac:dyDescent="0.2">
      <c r="A40" s="118"/>
      <c r="B40" s="119"/>
      <c r="C40" s="119"/>
      <c r="D40" s="119"/>
      <c r="E40" s="119"/>
      <c r="F40" s="119"/>
      <c r="G40" s="119"/>
      <c r="H40" s="121"/>
      <c r="I40" s="121"/>
      <c r="J40" s="121"/>
      <c r="K40" s="121"/>
      <c r="L40" s="121"/>
      <c r="M40" s="119"/>
      <c r="N40" s="121"/>
      <c r="O40" s="121"/>
      <c r="P40" s="119"/>
      <c r="Q40" s="121"/>
      <c r="R40" s="121"/>
      <c r="S40" s="121"/>
      <c r="T40" s="119"/>
    </row>
    <row r="41" spans="1:37" s="48" customFormat="1" ht="13.05" customHeight="1" x14ac:dyDescent="0.2">
      <c r="A41" s="118" t="s">
        <v>116</v>
      </c>
      <c r="B41" s="119">
        <v>284</v>
      </c>
      <c r="C41" s="119">
        <v>15618.06</v>
      </c>
      <c r="D41" s="119"/>
      <c r="E41" s="119">
        <v>253</v>
      </c>
      <c r="F41" s="119">
        <v>14046.43</v>
      </c>
      <c r="G41" s="119"/>
      <c r="H41" s="121">
        <v>13</v>
      </c>
      <c r="I41" s="121">
        <v>602.20000000000005</v>
      </c>
      <c r="J41" s="121"/>
      <c r="K41" s="121">
        <v>3</v>
      </c>
      <c r="L41" s="121">
        <v>128.21</v>
      </c>
      <c r="M41" s="119">
        <v>11</v>
      </c>
      <c r="N41" s="121">
        <v>11</v>
      </c>
      <c r="O41" s="121">
        <v>590.74</v>
      </c>
      <c r="P41" s="119"/>
      <c r="Q41" s="121">
        <v>4</v>
      </c>
      <c r="R41" s="121">
        <v>250.48</v>
      </c>
      <c r="S41" s="121" t="s">
        <v>57</v>
      </c>
      <c r="T41" s="121" t="s">
        <v>57</v>
      </c>
    </row>
    <row r="42" spans="1:37" s="48" customFormat="1" ht="9.3000000000000007" customHeight="1" x14ac:dyDescent="0.2">
      <c r="A42" s="118"/>
      <c r="B42" s="119"/>
      <c r="C42" s="119"/>
      <c r="D42" s="119"/>
      <c r="E42" s="119"/>
      <c r="F42" s="119"/>
      <c r="G42" s="119"/>
      <c r="H42" s="121"/>
      <c r="I42" s="121"/>
      <c r="J42" s="121"/>
      <c r="K42" s="121"/>
      <c r="L42" s="121"/>
      <c r="M42" s="119"/>
      <c r="N42" s="121"/>
      <c r="O42" s="121"/>
      <c r="P42" s="119"/>
      <c r="Q42" s="121"/>
      <c r="R42" s="121"/>
      <c r="S42" s="121"/>
      <c r="T42" s="121"/>
    </row>
    <row r="43" spans="1:37" s="48" customFormat="1" ht="13.05" customHeight="1" x14ac:dyDescent="0.2">
      <c r="A43" s="118" t="s">
        <v>117</v>
      </c>
      <c r="B43" s="119">
        <v>115</v>
      </c>
      <c r="C43" s="119">
        <v>11231.519999999999</v>
      </c>
      <c r="D43" s="119"/>
      <c r="E43" s="119">
        <v>98</v>
      </c>
      <c r="F43" s="119">
        <v>9555.0499999999993</v>
      </c>
      <c r="G43" s="119"/>
      <c r="H43" s="121">
        <v>4</v>
      </c>
      <c r="I43" s="121">
        <v>402.25</v>
      </c>
      <c r="J43" s="121"/>
      <c r="K43" s="121">
        <v>1</v>
      </c>
      <c r="L43" s="121">
        <v>112</v>
      </c>
      <c r="M43" s="119">
        <v>8</v>
      </c>
      <c r="N43" s="121">
        <v>8</v>
      </c>
      <c r="O43" s="121">
        <v>785.88</v>
      </c>
      <c r="P43" s="119"/>
      <c r="Q43" s="121">
        <v>4</v>
      </c>
      <c r="R43" s="121">
        <v>376.34</v>
      </c>
      <c r="S43" s="121" t="s">
        <v>57</v>
      </c>
      <c r="T43" s="121" t="s">
        <v>57</v>
      </c>
    </row>
    <row r="44" spans="1:37" s="48" customFormat="1" ht="9.3000000000000007" customHeight="1" x14ac:dyDescent="0.2">
      <c r="A44" s="118"/>
      <c r="B44" s="119"/>
      <c r="C44" s="119"/>
      <c r="D44" s="119"/>
      <c r="E44" s="119"/>
      <c r="F44" s="119"/>
      <c r="G44" s="119"/>
      <c r="H44" s="121"/>
      <c r="I44" s="121"/>
      <c r="J44" s="121"/>
      <c r="K44" s="121"/>
      <c r="L44" s="121"/>
      <c r="M44" s="119"/>
      <c r="N44" s="121"/>
      <c r="O44" s="121"/>
      <c r="P44" s="119"/>
      <c r="Q44" s="121"/>
      <c r="R44" s="121"/>
      <c r="S44" s="121"/>
      <c r="T44" s="121"/>
    </row>
    <row r="45" spans="1:37" s="48" customFormat="1" ht="13.05" customHeight="1" x14ac:dyDescent="0.2">
      <c r="A45" s="118" t="s">
        <v>118</v>
      </c>
      <c r="B45" s="119">
        <v>123</v>
      </c>
      <c r="C45" s="119">
        <v>18925.75</v>
      </c>
      <c r="D45" s="119"/>
      <c r="E45" s="119">
        <v>83</v>
      </c>
      <c r="F45" s="119">
        <v>12798.57</v>
      </c>
      <c r="G45" s="119"/>
      <c r="H45" s="121">
        <v>23</v>
      </c>
      <c r="I45" s="121">
        <v>3537.3</v>
      </c>
      <c r="J45" s="121"/>
      <c r="K45" s="121">
        <v>3</v>
      </c>
      <c r="L45" s="121">
        <v>492.13</v>
      </c>
      <c r="M45" s="119">
        <v>12</v>
      </c>
      <c r="N45" s="121">
        <v>12</v>
      </c>
      <c r="O45" s="121">
        <v>1800.78</v>
      </c>
      <c r="P45" s="119"/>
      <c r="Q45" s="121">
        <v>2</v>
      </c>
      <c r="R45" s="121">
        <v>296.97000000000003</v>
      </c>
      <c r="S45" s="121" t="s">
        <v>57</v>
      </c>
      <c r="T45" s="121" t="s">
        <v>57</v>
      </c>
    </row>
    <row r="46" spans="1:37" s="48" customFormat="1" ht="9.3000000000000007" customHeight="1" x14ac:dyDescent="0.2">
      <c r="A46" s="118"/>
      <c r="B46" s="119"/>
      <c r="C46" s="119"/>
      <c r="D46" s="119"/>
      <c r="E46" s="119"/>
      <c r="F46" s="119"/>
      <c r="G46" s="119"/>
      <c r="H46" s="121"/>
      <c r="I46" s="121"/>
      <c r="J46" s="121"/>
      <c r="K46" s="121"/>
      <c r="L46" s="121"/>
      <c r="M46" s="119"/>
      <c r="N46" s="121"/>
      <c r="O46" s="121"/>
      <c r="P46" s="119"/>
      <c r="Q46" s="121"/>
      <c r="R46" s="121"/>
      <c r="S46" s="121"/>
      <c r="T46" s="121"/>
    </row>
    <row r="47" spans="1:37" s="48" customFormat="1" ht="13.05" customHeight="1" x14ac:dyDescent="0.2">
      <c r="A47" s="118" t="s">
        <v>119</v>
      </c>
      <c r="B47" s="119">
        <v>143</v>
      </c>
      <c r="C47" s="119">
        <v>42331.35</v>
      </c>
      <c r="D47" s="119"/>
      <c r="E47" s="119">
        <v>70</v>
      </c>
      <c r="F47" s="119">
        <v>19645.009999999998</v>
      </c>
      <c r="G47" s="119"/>
      <c r="H47" s="121">
        <v>39</v>
      </c>
      <c r="I47" s="121">
        <v>12330.31</v>
      </c>
      <c r="J47" s="121"/>
      <c r="K47" s="121">
        <v>8</v>
      </c>
      <c r="L47" s="121">
        <v>2402.0100000000002</v>
      </c>
      <c r="M47" s="119">
        <v>15</v>
      </c>
      <c r="N47" s="121">
        <v>15</v>
      </c>
      <c r="O47" s="121">
        <v>4829.2</v>
      </c>
      <c r="P47" s="119"/>
      <c r="Q47" s="121">
        <v>11</v>
      </c>
      <c r="R47" s="121">
        <v>3124.82</v>
      </c>
      <c r="S47" s="121" t="s">
        <v>57</v>
      </c>
      <c r="T47" s="121" t="s">
        <v>57</v>
      </c>
    </row>
    <row r="48" spans="1:37" s="48" customFormat="1" ht="9.3000000000000007" customHeight="1" x14ac:dyDescent="0.2">
      <c r="A48" s="118" t="s">
        <v>92</v>
      </c>
      <c r="B48" s="119"/>
      <c r="C48" s="119"/>
      <c r="D48" s="119"/>
      <c r="E48" s="119"/>
      <c r="F48" s="119"/>
      <c r="G48" s="119"/>
      <c r="H48" s="121"/>
      <c r="I48" s="121"/>
      <c r="J48" s="121"/>
      <c r="K48" s="121"/>
      <c r="L48" s="121"/>
      <c r="M48" s="119"/>
      <c r="N48" s="121"/>
      <c r="O48" s="121"/>
      <c r="P48" s="119"/>
      <c r="Q48" s="121"/>
      <c r="R48" s="121"/>
      <c r="S48" s="121"/>
      <c r="T48" s="121"/>
    </row>
    <row r="49" spans="1:20" s="48" customFormat="1" ht="13.05" customHeight="1" x14ac:dyDescent="0.2">
      <c r="A49" s="118" t="s">
        <v>120</v>
      </c>
      <c r="B49" s="119">
        <v>30</v>
      </c>
      <c r="C49" s="119">
        <v>20525.669999999998</v>
      </c>
      <c r="D49" s="119"/>
      <c r="E49" s="119">
        <v>8</v>
      </c>
      <c r="F49" s="119">
        <v>5745.87</v>
      </c>
      <c r="G49" s="119"/>
      <c r="H49" s="121">
        <v>12</v>
      </c>
      <c r="I49" s="121">
        <v>7951.07</v>
      </c>
      <c r="J49" s="121"/>
      <c r="K49" s="121">
        <v>4</v>
      </c>
      <c r="L49" s="121">
        <v>2798.41</v>
      </c>
      <c r="M49" s="119">
        <v>4</v>
      </c>
      <c r="N49" s="121">
        <v>4</v>
      </c>
      <c r="O49" s="121">
        <v>2801.48</v>
      </c>
      <c r="P49" s="119"/>
      <c r="Q49" s="121">
        <v>2</v>
      </c>
      <c r="R49" s="121">
        <v>1228.8399999999999</v>
      </c>
      <c r="S49" s="121" t="s">
        <v>57</v>
      </c>
      <c r="T49" s="121" t="s">
        <v>57</v>
      </c>
    </row>
    <row r="50" spans="1:20" s="48" customFormat="1" ht="9.3000000000000007" customHeight="1" x14ac:dyDescent="0.2">
      <c r="A50" s="118"/>
      <c r="B50" s="119"/>
      <c r="C50" s="119"/>
      <c r="D50" s="119"/>
      <c r="E50" s="119"/>
      <c r="F50" s="119"/>
      <c r="G50" s="119"/>
      <c r="H50" s="121"/>
      <c r="I50" s="121"/>
      <c r="J50" s="121"/>
      <c r="K50" s="121"/>
      <c r="L50" s="121"/>
      <c r="M50" s="119"/>
      <c r="N50" s="121"/>
      <c r="O50" s="121"/>
      <c r="P50" s="119"/>
      <c r="Q50" s="121"/>
      <c r="R50" s="121"/>
      <c r="S50" s="121"/>
      <c r="T50" s="121"/>
    </row>
    <row r="51" spans="1:20" s="48" customFormat="1" ht="13.05" customHeight="1" x14ac:dyDescent="0.2">
      <c r="A51" s="118" t="s">
        <v>121</v>
      </c>
      <c r="B51" s="119">
        <v>14</v>
      </c>
      <c r="C51" s="119">
        <v>20739.22</v>
      </c>
      <c r="D51" s="119"/>
      <c r="E51" s="119">
        <v>6</v>
      </c>
      <c r="F51" s="119">
        <v>9178.9500000000007</v>
      </c>
      <c r="G51" s="119"/>
      <c r="H51" s="121">
        <v>1</v>
      </c>
      <c r="I51" s="121">
        <v>1770</v>
      </c>
      <c r="J51" s="121"/>
      <c r="K51" s="121">
        <v>4</v>
      </c>
      <c r="L51" s="121">
        <v>5948.36</v>
      </c>
      <c r="M51" s="119">
        <v>2</v>
      </c>
      <c r="N51" s="121">
        <v>2</v>
      </c>
      <c r="O51" s="121">
        <v>2436.91</v>
      </c>
      <c r="P51" s="119"/>
      <c r="Q51" s="121">
        <v>1</v>
      </c>
      <c r="R51" s="121">
        <v>1405</v>
      </c>
      <c r="S51" s="121" t="s">
        <v>57</v>
      </c>
      <c r="T51" s="121" t="s">
        <v>57</v>
      </c>
    </row>
    <row r="52" spans="1:20" s="48" customFormat="1" ht="9.3000000000000007" customHeight="1" x14ac:dyDescent="0.2">
      <c r="A52" s="118"/>
      <c r="B52" s="119"/>
      <c r="C52" s="119"/>
      <c r="D52" s="119"/>
      <c r="E52" s="119"/>
      <c r="F52" s="119"/>
      <c r="G52" s="119"/>
      <c r="H52" s="121"/>
      <c r="I52" s="121"/>
      <c r="J52" s="121"/>
      <c r="K52" s="121"/>
      <c r="L52" s="121"/>
      <c r="M52" s="119"/>
      <c r="N52" s="121"/>
      <c r="O52" s="121"/>
      <c r="P52" s="119"/>
      <c r="Q52" s="119"/>
      <c r="R52" s="119"/>
      <c r="S52" s="121"/>
      <c r="T52" s="121"/>
    </row>
    <row r="53" spans="1:20" s="48" customFormat="1" ht="13.05" customHeight="1" x14ac:dyDescent="0.2">
      <c r="A53" s="118" t="s">
        <v>122</v>
      </c>
      <c r="B53" s="119">
        <v>14</v>
      </c>
      <c r="C53" s="119">
        <v>58419.159999999996</v>
      </c>
      <c r="D53" s="119"/>
      <c r="E53" s="119">
        <v>5</v>
      </c>
      <c r="F53" s="119">
        <v>14459.59</v>
      </c>
      <c r="G53" s="119"/>
      <c r="H53" s="121">
        <v>6</v>
      </c>
      <c r="I53" s="121">
        <v>35787.75</v>
      </c>
      <c r="J53" s="119"/>
      <c r="K53" s="121" t="s">
        <v>20</v>
      </c>
      <c r="L53" s="121" t="s">
        <v>20</v>
      </c>
      <c r="M53" s="119">
        <v>2</v>
      </c>
      <c r="N53" s="121">
        <v>2</v>
      </c>
      <c r="O53" s="121">
        <v>4772</v>
      </c>
      <c r="P53" s="119"/>
      <c r="Q53" s="121">
        <v>1</v>
      </c>
      <c r="R53" s="121">
        <v>3399.82</v>
      </c>
      <c r="S53" s="121" t="s">
        <v>57</v>
      </c>
      <c r="T53" s="121" t="s">
        <v>57</v>
      </c>
    </row>
    <row r="54" spans="1:20" s="48" customFormat="1" ht="9.3000000000000007" customHeight="1" x14ac:dyDescent="0.2">
      <c r="A54" s="118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21"/>
      <c r="T54" s="121"/>
    </row>
    <row r="55" spans="1:20" s="126" customFormat="1" ht="9.3000000000000007" customHeight="1" x14ac:dyDescent="0.2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5"/>
      <c r="N55" s="124"/>
      <c r="O55" s="124"/>
      <c r="P55" s="124"/>
      <c r="Q55" s="124"/>
      <c r="R55" s="124"/>
      <c r="S55" s="124"/>
      <c r="T55" s="124"/>
    </row>
    <row r="56" spans="1:20" s="126" customFormat="1" ht="13.05" customHeight="1" x14ac:dyDescent="0.2">
      <c r="A56" s="124" t="s">
        <v>124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5"/>
      <c r="N56" s="124"/>
      <c r="O56" s="124"/>
      <c r="P56" s="124"/>
      <c r="Q56" s="124"/>
      <c r="R56" s="124"/>
      <c r="S56" s="124"/>
      <c r="T56" s="124"/>
    </row>
    <row r="57" spans="1:20" s="126" customFormat="1" ht="13.05" customHeight="1" x14ac:dyDescent="0.2">
      <c r="A57" s="124" t="s">
        <v>125</v>
      </c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5"/>
      <c r="N57" s="124"/>
      <c r="O57" s="124"/>
      <c r="P57" s="124"/>
      <c r="Q57" s="124"/>
      <c r="R57" s="124"/>
      <c r="S57" s="124"/>
      <c r="T57" s="124"/>
    </row>
    <row r="58" spans="1:20" ht="9.3000000000000007" customHeight="1" x14ac:dyDescent="0.25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</row>
  </sheetData>
  <mergeCells count="8">
    <mergeCell ref="S8:T8"/>
    <mergeCell ref="B7:R7"/>
    <mergeCell ref="B8:C8"/>
    <mergeCell ref="E8:F8"/>
    <mergeCell ref="H8:I8"/>
    <mergeCell ref="K8:L8"/>
    <mergeCell ref="N8:O8"/>
    <mergeCell ref="Q8:R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4.4.9-2024</vt:lpstr>
      <vt:lpstr>4.4.9-2023 </vt:lpstr>
      <vt:lpstr>4.4.9-2022</vt:lpstr>
      <vt:lpstr>4.4.9-2021</vt:lpstr>
      <vt:lpstr>4.4.9_2020</vt:lpstr>
      <vt:lpstr>4.4.9_2019</vt:lpstr>
      <vt:lpstr>4.4.9_2018</vt:lpstr>
      <vt:lpstr>4.4.9_2017</vt:lpstr>
      <vt:lpstr>4.4.9_2016</vt:lpstr>
      <vt:lpstr>4.4.10_2015</vt:lpstr>
      <vt:lpstr>4.4.10_2014</vt:lpstr>
      <vt:lpstr>4.4.10_2013</vt:lpstr>
      <vt:lpstr>4.4.10_2012</vt:lpstr>
      <vt:lpstr>4.4.10_2011</vt:lpstr>
      <vt:lpstr>4.4.10_2010</vt:lpstr>
      <vt:lpstr>4.4.10_2009</vt:lpstr>
      <vt:lpstr>4.4.10_2008</vt:lpstr>
      <vt:lpstr>4.4.10_2007</vt:lpstr>
      <vt:lpstr>4.4.10_2005 - 2006</vt:lpstr>
      <vt:lpstr>4.4.10_2003 - 2004</vt:lpstr>
      <vt:lpstr>4.4.10_2002_2001</vt:lpstr>
    </vt:vector>
  </TitlesOfParts>
  <Company>I.N.E.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DellGL1</dc:creator>
  <cp:lastModifiedBy>Stella Landeira</cp:lastModifiedBy>
  <cp:lastPrinted>2018-08-31T18:10:23Z</cp:lastPrinted>
  <dcterms:created xsi:type="dcterms:W3CDTF">1999-03-12T19:42:12Z</dcterms:created>
  <dcterms:modified xsi:type="dcterms:W3CDTF">2025-11-11T18:09:16Z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b8fb7f63-ac51-4524-8d5b-33c073c8a637</vt:lpwstr>
  </property>
</Properties>
</file>