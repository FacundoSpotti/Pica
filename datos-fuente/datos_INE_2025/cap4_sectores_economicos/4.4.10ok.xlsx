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" yWindow="84" windowWidth="16200" windowHeight="12276"/>
  </bookViews>
  <sheets>
    <sheet name="4.4.10_2024 " sheetId="8" r:id="rId1"/>
    <sheet name="4.4.10_2023" sheetId="21" r:id="rId2"/>
    <sheet name="4.4.10_2022" sheetId="7" r:id="rId3"/>
    <sheet name="4.4.10_2021" sheetId="6" r:id="rId4"/>
    <sheet name="4.4.10_2020" sheetId="1" r:id="rId5"/>
    <sheet name="4.4.10_2019" sheetId="2" r:id="rId6"/>
    <sheet name="4.4.10_2018" sheetId="3" r:id="rId7"/>
    <sheet name="4.4.10_2017" sheetId="4" r:id="rId8"/>
    <sheet name="4.4.10_2016" sheetId="5" r:id="rId9"/>
    <sheet name="4.4.11_2015" sheetId="9" r:id="rId10"/>
    <sheet name="4.4.11_2014" sheetId="10" r:id="rId11"/>
    <sheet name="4.4.11_2013" sheetId="11" r:id="rId12"/>
    <sheet name="4.4.11_2012" sheetId="12" r:id="rId13"/>
    <sheet name="4.4.11_2011" sheetId="13" r:id="rId14"/>
    <sheet name="4.4.11_2010" sheetId="14" r:id="rId15"/>
    <sheet name="4.4.11_2009" sheetId="15" r:id="rId16"/>
    <sheet name="4.4.11_2008" sheetId="16" r:id="rId17"/>
    <sheet name="4.4.11_2007" sheetId="17" r:id="rId18"/>
    <sheet name="4.4.11_2005 - 2006" sheetId="18" r:id="rId19"/>
    <sheet name="4.4.11_2003 - 2004" sheetId="19" r:id="rId20"/>
    <sheet name="4.4.11_2002 - 2001" sheetId="20" r:id="rId21"/>
  </sheets>
  <definedNames>
    <definedName name="_xlnm.Print_Area" localSheetId="4">'4.4.10_2020'!$A$1:$R$23</definedName>
    <definedName name="_xlnm.Print_Area" localSheetId="3">'4.4.10_2021'!$A$1:$U$22</definedName>
  </definedNames>
  <calcPr calcId="145621"/>
</workbook>
</file>

<file path=xl/calcChain.xml><?xml version="1.0" encoding="utf-8"?>
<calcChain xmlns="http://schemas.openxmlformats.org/spreadsheetml/2006/main">
  <c r="R9" i="21" l="1"/>
  <c r="Q9" i="21"/>
  <c r="O9" i="21"/>
  <c r="N9" i="21"/>
  <c r="L9" i="21"/>
  <c r="K9" i="21"/>
  <c r="B9" i="21" s="1"/>
  <c r="C12" i="21"/>
  <c r="C16" i="21"/>
  <c r="B16" i="21"/>
  <c r="C13" i="21"/>
  <c r="B13" i="21"/>
  <c r="B12" i="21"/>
  <c r="B14" i="21"/>
  <c r="C14" i="21"/>
  <c r="B15" i="21"/>
  <c r="C15" i="21"/>
  <c r="B17" i="21"/>
  <c r="C17" i="21"/>
  <c r="B18" i="21"/>
  <c r="C18" i="21"/>
  <c r="C11" i="21"/>
  <c r="B11" i="21"/>
  <c r="C13" i="8" l="1"/>
  <c r="B13" i="8"/>
  <c r="C12" i="8"/>
  <c r="B12" i="8"/>
  <c r="B14" i="8"/>
  <c r="C14" i="8"/>
  <c r="B15" i="8"/>
  <c r="C15" i="8"/>
  <c r="B16" i="8"/>
  <c r="C16" i="8"/>
  <c r="B17" i="8"/>
  <c r="C17" i="8"/>
  <c r="B18" i="8"/>
  <c r="C18" i="8"/>
  <c r="C11" i="8"/>
  <c r="B11" i="8"/>
  <c r="C9" i="21"/>
  <c r="I9" i="21"/>
  <c r="H9" i="21"/>
  <c r="F9" i="21"/>
  <c r="E9" i="21"/>
  <c r="R9" i="8"/>
  <c r="Q9" i="8"/>
  <c r="O9" i="8"/>
  <c r="N9" i="8"/>
  <c r="L9" i="8"/>
  <c r="K9" i="8"/>
  <c r="I9" i="8"/>
  <c r="H9" i="8"/>
  <c r="F9" i="8"/>
  <c r="C9" i="8" s="1"/>
  <c r="E9" i="8"/>
  <c r="B17" i="7"/>
  <c r="B16" i="7"/>
  <c r="B14" i="7"/>
  <c r="B13" i="7"/>
  <c r="B12" i="7"/>
  <c r="C17" i="7"/>
  <c r="C16" i="7"/>
  <c r="C14" i="7"/>
  <c r="C13" i="7"/>
  <c r="C12" i="7"/>
  <c r="C15" i="7"/>
  <c r="C18" i="7"/>
  <c r="B11" i="7"/>
  <c r="B18" i="7"/>
  <c r="B15" i="7"/>
  <c r="C11" i="7"/>
  <c r="R9" i="7"/>
  <c r="Q9" i="7"/>
  <c r="O9" i="7"/>
  <c r="N9" i="7"/>
  <c r="L9" i="7"/>
  <c r="K9" i="7"/>
  <c r="B9" i="7"/>
  <c r="I9" i="7"/>
  <c r="C9" i="7"/>
  <c r="H9" i="7"/>
  <c r="F9" i="7"/>
  <c r="E9" i="7"/>
  <c r="B18" i="6"/>
  <c r="B17" i="6"/>
  <c r="B14" i="6"/>
  <c r="B13" i="6"/>
  <c r="C18" i="6"/>
  <c r="C17" i="6"/>
  <c r="C14" i="6"/>
  <c r="C13" i="6"/>
  <c r="C15" i="6"/>
  <c r="C16" i="6"/>
  <c r="B16" i="6"/>
  <c r="B15" i="6"/>
  <c r="C12" i="6"/>
  <c r="B12" i="6"/>
  <c r="C11" i="6"/>
  <c r="B11" i="6"/>
  <c r="R9" i="6"/>
  <c r="Q9" i="6"/>
  <c r="O9" i="6"/>
  <c r="N9" i="6"/>
  <c r="L9" i="6"/>
  <c r="K9" i="6"/>
  <c r="I9" i="6"/>
  <c r="H9" i="6"/>
  <c r="F9" i="6"/>
  <c r="E9" i="6"/>
  <c r="B19" i="1"/>
  <c r="C18" i="1"/>
  <c r="B18" i="1"/>
  <c r="C17" i="1"/>
  <c r="B17" i="1"/>
  <c r="C16" i="1"/>
  <c r="B16" i="1"/>
  <c r="C15" i="1"/>
  <c r="B15" i="1"/>
  <c r="C14" i="1"/>
  <c r="B14" i="1"/>
  <c r="C13" i="1"/>
  <c r="C9" i="1"/>
  <c r="B13" i="1"/>
  <c r="B9" i="1"/>
  <c r="C12" i="1"/>
  <c r="B12" i="1"/>
  <c r="C11" i="1"/>
  <c r="B11" i="1"/>
  <c r="R9" i="1"/>
  <c r="Q9" i="1"/>
  <c r="O9" i="1"/>
  <c r="N9" i="1"/>
  <c r="L9" i="1"/>
  <c r="K9" i="1"/>
  <c r="I9" i="1"/>
  <c r="H9" i="1"/>
  <c r="F9" i="1"/>
  <c r="E9" i="1"/>
  <c r="B9" i="6"/>
  <c r="C9" i="6"/>
  <c r="B9" i="8" l="1"/>
</calcChain>
</file>

<file path=xl/sharedStrings.xml><?xml version="1.0" encoding="utf-8"?>
<sst xmlns="http://schemas.openxmlformats.org/spreadsheetml/2006/main" count="1633" uniqueCount="135">
  <si>
    <t xml:space="preserve">    Comercio</t>
  </si>
  <si>
    <t>Otros</t>
  </si>
  <si>
    <t xml:space="preserve"> Industria</t>
  </si>
  <si>
    <t xml:space="preserve">      Vivienda (1)</t>
  </si>
  <si>
    <t>Sin dato</t>
  </si>
  <si>
    <t xml:space="preserve">       Total</t>
  </si>
  <si>
    <t xml:space="preserve">Destino </t>
  </si>
  <si>
    <t>Total</t>
  </si>
  <si>
    <t>Fuente: Instituto Nacional de Estadística (INE) con información de la Intendencia de Montevideo (IM).</t>
  </si>
  <si>
    <t>(1): Se incluyen viviendas populares. En reforma y en incorporación a propiedad horizontal, no se incluye superficie.</t>
  </si>
  <si>
    <t xml:space="preserve">Tramo de superficie </t>
  </si>
  <si>
    <r>
      <t>Más de 2.000 m</t>
    </r>
    <r>
      <rPr>
        <b/>
        <vertAlign val="superscript"/>
        <sz val="9"/>
        <rFont val="Arial"/>
        <family val="2"/>
      </rPr>
      <t>2</t>
    </r>
  </si>
  <si>
    <r>
      <t>Menos de 30 m</t>
    </r>
    <r>
      <rPr>
        <b/>
        <vertAlign val="superscript"/>
        <sz val="9"/>
        <rFont val="Arial"/>
        <family val="2"/>
      </rPr>
      <t>2</t>
    </r>
  </si>
  <si>
    <r>
      <t>De 30 a 79 m</t>
    </r>
    <r>
      <rPr>
        <b/>
        <vertAlign val="superscript"/>
        <sz val="9"/>
        <rFont val="Arial"/>
        <family val="2"/>
      </rPr>
      <t>2</t>
    </r>
  </si>
  <si>
    <r>
      <t>De 80 a 119 m</t>
    </r>
    <r>
      <rPr>
        <b/>
        <vertAlign val="superscript"/>
        <sz val="9"/>
        <rFont val="Arial"/>
        <family val="2"/>
      </rPr>
      <t>2</t>
    </r>
  </si>
  <si>
    <r>
      <t>De 120 a 199 m</t>
    </r>
    <r>
      <rPr>
        <b/>
        <vertAlign val="superscript"/>
        <sz val="9"/>
        <rFont val="Arial"/>
        <family val="2"/>
      </rPr>
      <t>2</t>
    </r>
  </si>
  <si>
    <r>
      <t>De 200 a 499 m</t>
    </r>
    <r>
      <rPr>
        <b/>
        <vertAlign val="superscript"/>
        <sz val="9"/>
        <rFont val="Arial"/>
        <family val="2"/>
      </rPr>
      <t>2</t>
    </r>
  </si>
  <si>
    <r>
      <t>De 500 a 999 m</t>
    </r>
    <r>
      <rPr>
        <b/>
        <vertAlign val="superscript"/>
        <sz val="9"/>
        <rFont val="Arial"/>
        <family val="2"/>
      </rPr>
      <t>2</t>
    </r>
  </si>
  <si>
    <r>
      <t>De 1.000 a 1.999  m</t>
    </r>
    <r>
      <rPr>
        <b/>
        <vertAlign val="superscript"/>
        <sz val="9"/>
        <rFont val="Arial"/>
        <family val="2"/>
      </rPr>
      <t>2</t>
    </r>
  </si>
  <si>
    <t>Cant.</t>
  </si>
  <si>
    <t>perm.</t>
  </si>
  <si>
    <t>Sup. (m²)</t>
  </si>
  <si>
    <t xml:space="preserve">4.4.10 - Cantidad de permisos de construcción otorgados por la Intendencia de Montevideo y superficie </t>
  </si>
  <si>
    <t>comprendida en los mismos, por destino, según tramos de superficie - 2020</t>
  </si>
  <si>
    <t>-</t>
  </si>
  <si>
    <t>Varios</t>
  </si>
  <si>
    <t>Nota 1: La suma de los totales puede no coincidir debido a redondeos en las cifras.</t>
  </si>
  <si>
    <t>comprendida en los mismos, por destino, según tramos de superficie - 2019</t>
  </si>
  <si>
    <t>comprendida en los mismos, por destino, según tramos de superficie - 2018</t>
  </si>
  <si>
    <r>
      <t>Más de 2.000 m</t>
    </r>
    <r>
      <rPr>
        <b/>
        <vertAlign val="superscript"/>
        <sz val="9"/>
        <rFont val="Arial"/>
        <family val="2"/>
      </rPr>
      <t>1</t>
    </r>
    <r>
      <rPr>
        <sz val="10"/>
        <rFont val="Arial"/>
      </rPr>
      <t/>
    </r>
  </si>
  <si>
    <t>comprendida en los mismos, por destino, según tramos de superficie - 2017</t>
  </si>
  <si>
    <t>comprendida en los mismos, por destino, según tramos de superficie - 2016</t>
  </si>
  <si>
    <t>Nota: La suma de los totales puede no coincidir debido a redondeos en las cifras.</t>
  </si>
  <si>
    <t>Nota 2: Datos revisados a Julio 2021.</t>
  </si>
  <si>
    <t>Varios Simultáneos</t>
  </si>
  <si>
    <t>4.4.10 - Cantidad de permisos de construcción otorgados por la Intendencia de Montevideo y superficie comprendida en los</t>
  </si>
  <si>
    <t>mismos, por destino, según tramos de superficie - 2021</t>
  </si>
  <si>
    <t>4.4.10 - Cantidad de permisos de construcción otorgados por la Intendencia de Montevideo y superficie comprendida en los mismos, por destino, según tramos de superficie - 2022</t>
  </si>
  <si>
    <t>4.4.10 - Cantidad de permisos de construcción otorgados por la Intendencia de Montevideo y superficie comprendida en los mismos, por destino, según tramos de superficie - 2023</t>
  </si>
  <si>
    <t>4.4.11 - Cantidad de permisos de construcción otorgados por la Intendencia de Montevideo y superficie comprendida en los mismos, por</t>
  </si>
  <si>
    <t>destino, según tramos de superficie - 2015</t>
  </si>
  <si>
    <t>destino, según tramos de superficie - 2014</t>
  </si>
  <si>
    <t>Sup.</t>
  </si>
  <si>
    <t>(m2)</t>
  </si>
  <si>
    <t>destino, según tramo de superficie (metros cuadrados) - 2013</t>
  </si>
  <si>
    <r>
      <t>Sup. m</t>
    </r>
    <r>
      <rPr>
        <b/>
        <sz val="12"/>
        <rFont val="Arial"/>
        <family val="2"/>
      </rPr>
      <t>²</t>
    </r>
  </si>
  <si>
    <t>Perm.</t>
  </si>
  <si>
    <t>4.4.11 - Número de permisos de construcción otorgados por la Intendencia  de Montevideo y superficie comprendida en los mismos, por</t>
  </si>
  <si>
    <t>destino, según tramo de superficie (metros cuadrados) - 2012</t>
  </si>
  <si>
    <t>Núm.</t>
  </si>
  <si>
    <t>4.4.11</t>
  </si>
  <si>
    <t>Número de permisos de construcción otorgados por la Intendencia  de Montevideo y superficie comprendida en los mismos, por</t>
  </si>
  <si>
    <t>destino, según tipo de obra (metros cuadrados). Año 2011</t>
  </si>
  <si>
    <r>
      <t>de 30 a 79 m</t>
    </r>
    <r>
      <rPr>
        <b/>
        <vertAlign val="superscript"/>
        <sz val="9"/>
        <rFont val="Arial"/>
        <family val="2"/>
      </rPr>
      <t>2</t>
    </r>
  </si>
  <si>
    <r>
      <t>de 80 a 119 m</t>
    </r>
    <r>
      <rPr>
        <b/>
        <vertAlign val="superscript"/>
        <sz val="9"/>
        <rFont val="Arial"/>
        <family val="2"/>
      </rPr>
      <t>2</t>
    </r>
  </si>
  <si>
    <r>
      <t>de 120 a 199 m</t>
    </r>
    <r>
      <rPr>
        <b/>
        <vertAlign val="superscript"/>
        <sz val="9"/>
        <rFont val="Arial"/>
        <family val="2"/>
      </rPr>
      <t>2</t>
    </r>
  </si>
  <si>
    <r>
      <t>de 200 a 499 m</t>
    </r>
    <r>
      <rPr>
        <b/>
        <vertAlign val="superscript"/>
        <sz val="9"/>
        <rFont val="Arial"/>
        <family val="2"/>
      </rPr>
      <t>2</t>
    </r>
  </si>
  <si>
    <r>
      <t>de 500 a 999 m</t>
    </r>
    <r>
      <rPr>
        <b/>
        <vertAlign val="superscript"/>
        <sz val="9"/>
        <rFont val="Arial"/>
        <family val="2"/>
      </rPr>
      <t>2</t>
    </r>
  </si>
  <si>
    <r>
      <t>de 1.000 a 1.999  m</t>
    </r>
    <r>
      <rPr>
        <b/>
        <vertAlign val="superscript"/>
        <sz val="9"/>
        <rFont val="Arial"/>
        <family val="2"/>
      </rPr>
      <t>2</t>
    </r>
  </si>
  <si>
    <t>NÚMERO DE PERMISOS DE CONSTRUCCIÓN OTORGADOS POR LA INTENDENCIA MUNICIPAL DE MONTEVIDEO Y</t>
  </si>
  <si>
    <t>SUPERFICIE COMPRENDIDA EN LOS MISMOS, POR DESTINO, SEGÚN TRAMO DE SUPERFICIE (metros cuadrados)</t>
  </si>
  <si>
    <t>AÑO 2010</t>
  </si>
  <si>
    <t xml:space="preserve">D E S T I N O </t>
  </si>
  <si>
    <t xml:space="preserve">       T O T A L</t>
  </si>
  <si>
    <t xml:space="preserve">TRAMO DE </t>
  </si>
  <si>
    <t xml:space="preserve">SUPERFICIE </t>
  </si>
  <si>
    <t xml:space="preserve">TOTAL </t>
  </si>
  <si>
    <t>menos de 30 m2</t>
  </si>
  <si>
    <t>de 30 a 79 m2</t>
  </si>
  <si>
    <t>de 80 a 119 m2</t>
  </si>
  <si>
    <t>de 120 a 199 m2</t>
  </si>
  <si>
    <t>de 200 a 499 m2</t>
  </si>
  <si>
    <t>de 500 a 999 m2</t>
  </si>
  <si>
    <t>de 1.000 a 1.999  m2</t>
  </si>
  <si>
    <t>Más de 2.000 m2</t>
  </si>
  <si>
    <t>FUENTE   : Instituto Nacional de Estadística (INE) con información de la Intendencia Municipal de Montevideo (IMM).</t>
  </si>
  <si>
    <t>NOTA       : La suma de los totales puede no coincidir debido a redondeos en las cifras.</t>
  </si>
  <si>
    <t xml:space="preserve">(1)            : Se incluyen viviendas populares. En reforma y en incorporación a Propiedad Horizontal, </t>
  </si>
  <si>
    <t xml:space="preserve">                   no se incluye superficie.</t>
  </si>
  <si>
    <t>AÑO 2009</t>
  </si>
  <si>
    <t>D E S T I N O</t>
  </si>
  <si>
    <t>Sup. M2</t>
  </si>
  <si>
    <t>Menos de 30 m2</t>
  </si>
  <si>
    <t>30  a   79 m2</t>
  </si>
  <si>
    <t>80  a  119 m2</t>
  </si>
  <si>
    <t>120  a  199 m2</t>
  </si>
  <si>
    <t>200  a  499 m2</t>
  </si>
  <si>
    <t xml:space="preserve"> </t>
  </si>
  <si>
    <t>500  a  999 m2</t>
  </si>
  <si>
    <t>1.000 a 1.999 m2</t>
  </si>
  <si>
    <t>NOTA       : La suma de los totales puede no concidir debido a redondeos en las cifras.</t>
  </si>
  <si>
    <t>AÑO 2008</t>
  </si>
  <si>
    <t xml:space="preserve">Menos de 30 </t>
  </si>
  <si>
    <t xml:space="preserve">30  a   79 </t>
  </si>
  <si>
    <t xml:space="preserve">80  a  119 </t>
  </si>
  <si>
    <t xml:space="preserve">120  a  199 </t>
  </si>
  <si>
    <t xml:space="preserve">200  a  499 </t>
  </si>
  <si>
    <t xml:space="preserve">500  a  999 </t>
  </si>
  <si>
    <t xml:space="preserve">1.000 a 2.000 </t>
  </si>
  <si>
    <t xml:space="preserve">Más de 2.000 </t>
  </si>
  <si>
    <t>FUENTE   : Instituto Nacional de Estadística con información de la Intendencia Municipal de Montevideo.</t>
  </si>
  <si>
    <t>AÑO 2007</t>
  </si>
  <si>
    <t>NUMERO DE PERMISOS DE CONSTRUCCION OTORGADOS POR LA INTENDENCIA MUNICIPAL DE MONTEVIDEO</t>
  </si>
  <si>
    <t>Y SUPERFICIE COMPRENDIDA EN LOS MISMOS, POR DESTINO, SEGUN AÑO Y TRAMO DE SUPERFICIE.</t>
  </si>
  <si>
    <t xml:space="preserve">(metros cuadrados) </t>
  </si>
  <si>
    <t xml:space="preserve">AÑO Y  </t>
  </si>
  <si>
    <t>2 0 0 5</t>
  </si>
  <si>
    <t xml:space="preserve">T O T A L </t>
  </si>
  <si>
    <t>2 0 0 6</t>
  </si>
  <si>
    <t xml:space="preserve">      Vivienda</t>
  </si>
  <si>
    <t>2 0 0 3</t>
  </si>
  <si>
    <t>2 0 0 4</t>
  </si>
  <si>
    <t xml:space="preserve">NUMERO DE PERMISOS DE CONSTRUCCION OTORGADOS POR LA INTENDENCIA MUNICIPAL DE MONTEVIDEO </t>
  </si>
  <si>
    <t xml:space="preserve">PARA OBRA NUEVA Y SUPERFICIE COMPRENDIDA EN LOS MISMOS,  POR DESTINO, SEGUN AÑO Y TRAMO </t>
  </si>
  <si>
    <t>DE SUPERFICIE.   (metros cuadrados)</t>
  </si>
  <si>
    <t>AÑO Y TRAMO</t>
  </si>
  <si>
    <t>T O T A L</t>
  </si>
  <si>
    <t xml:space="preserve"> Vivienda</t>
  </si>
  <si>
    <t xml:space="preserve"> Comercio</t>
  </si>
  <si>
    <t xml:space="preserve">    Industria</t>
  </si>
  <si>
    <t xml:space="preserve">       Otros</t>
  </si>
  <si>
    <t xml:space="preserve">     Varios </t>
  </si>
  <si>
    <t>DE SUPERFICIE</t>
  </si>
  <si>
    <t>2 0 0 2</t>
  </si>
  <si>
    <t>…</t>
  </si>
  <si>
    <t xml:space="preserve">Menos de  30 </t>
  </si>
  <si>
    <t xml:space="preserve">30 a    79 </t>
  </si>
  <si>
    <t xml:space="preserve">80 a   119 </t>
  </si>
  <si>
    <t xml:space="preserve">120 a   199 </t>
  </si>
  <si>
    <t xml:space="preserve">200 a   499 </t>
  </si>
  <si>
    <t xml:space="preserve">500 a   999 </t>
  </si>
  <si>
    <t>2 0 0 1</t>
  </si>
  <si>
    <t>FUENTE:Instituto Nacional de Estadística con información de la Intendencia Municipal de Montevideo.</t>
  </si>
  <si>
    <t>NOTA    :La suma de los totales en Sup. M2 puede no concidir debido a redondeos en las cifras. En vivienda, se incluyen las viviendas populares.</t>
  </si>
  <si>
    <t>4.4.10 - Cantidad de permisos de construcción otorgados por la Intendencia de Montevideo y superficie comprendida en los mismos, por destino, según tramos de superficie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</si>
</sst>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#."/>
  </numFmts>
  <fonts count="23">
    <font>
      <sz val="12"/>
      <name val="Courier"/>
    </font>
    <font>
      <sz val="10"/>
      <name val="Arial"/>
    </font>
    <font>
      <sz val="10"/>
      <name val="Arial"/>
      <family val="2"/>
    </font>
    <font>
      <b/>
      <i/>
      <sz val="1"/>
      <color indexed="16"/>
      <name val="Courier"/>
      <family val="3"/>
    </font>
    <font>
      <sz val="1"/>
      <color indexed="16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vertAlign val="superscript"/>
      <sz val="9"/>
      <name val="Arial"/>
      <family val="2"/>
    </font>
    <font>
      <sz val="12"/>
      <name val="Courier"/>
      <family val="3"/>
    </font>
    <font>
      <b/>
      <sz val="12"/>
      <name val="Arial"/>
      <family val="2"/>
    </font>
    <font>
      <b/>
      <sz val="9"/>
      <color indexed="9"/>
      <name val="Arial Rounded MT Bold"/>
      <family val="2"/>
    </font>
    <font>
      <b/>
      <sz val="14"/>
      <color indexed="10"/>
      <name val="Courier"/>
    </font>
    <font>
      <b/>
      <sz val="14"/>
      <color indexed="10"/>
      <name val="Arial Rounded MT Bold"/>
      <family val="2"/>
    </font>
    <font>
      <b/>
      <sz val="9"/>
      <name val="Arial Rounded MT Bold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9"/>
      <color indexed="8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sz val="11"/>
      <name val="Calibri"/>
    </font>
    <font>
      <sz val="9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7D549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3" fillId="0" borderId="0">
      <protection locked="0"/>
    </xf>
    <xf numFmtId="165" fontId="4" fillId="0" borderId="0">
      <protection locked="0"/>
    </xf>
    <xf numFmtId="164" fontId="2" fillId="0" borderId="0" applyFont="0" applyFill="0" applyBorder="0" applyAlignment="0" applyProtection="0"/>
    <xf numFmtId="0" fontId="9" fillId="0" borderId="0"/>
    <xf numFmtId="0" fontId="21" fillId="0" borderId="0"/>
  </cellStyleXfs>
  <cellXfs count="149">
    <xf numFmtId="0" fontId="0" fillId="0" borderId="0" xfId="0"/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 applyAlignment="1" applyProtection="1">
      <alignment horizontal="left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3" fontId="6" fillId="0" borderId="0" xfId="3" applyNumberFormat="1" applyFont="1" applyFill="1" applyAlignment="1">
      <alignment horizontal="right"/>
    </xf>
    <xf numFmtId="3" fontId="5" fillId="0" borderId="0" xfId="3" applyNumberFormat="1" applyFont="1" applyFill="1" applyAlignment="1">
      <alignment horizontal="right"/>
    </xf>
    <xf numFmtId="0" fontId="5" fillId="0" borderId="0" xfId="0" applyFont="1" applyFill="1" applyBorder="1"/>
    <xf numFmtId="0" fontId="5" fillId="0" borderId="0" xfId="0" applyFont="1" applyFill="1" applyBorder="1" applyAlignment="1" applyProtection="1">
      <alignment horizontal="left"/>
    </xf>
    <xf numFmtId="0" fontId="7" fillId="0" borderId="0" xfId="0" applyFont="1" applyFill="1" applyBorder="1"/>
    <xf numFmtId="0" fontId="5" fillId="0" borderId="0" xfId="0" applyFont="1" applyFill="1" applyBorder="1" applyAlignment="1" applyProtection="1">
      <alignment horizontal="right"/>
      <protection locked="0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/>
    </xf>
    <xf numFmtId="3" fontId="5" fillId="0" borderId="0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 wrapText="1"/>
    </xf>
    <xf numFmtId="37" fontId="6" fillId="0" borderId="0" xfId="0" applyNumberFormat="1" applyFont="1" applyFill="1" applyBorder="1" applyAlignment="1" applyProtection="1"/>
    <xf numFmtId="37" fontId="6" fillId="0" borderId="0" xfId="0" applyNumberFormat="1" applyFont="1" applyFill="1" applyBorder="1" applyAlignment="1" applyProtection="1">
      <alignment horizontal="right"/>
    </xf>
    <xf numFmtId="0" fontId="0" fillId="0" borderId="0" xfId="0" applyFill="1" applyAlignment="1"/>
    <xf numFmtId="0" fontId="0" fillId="0" borderId="0" xfId="0" applyFill="1" applyBorder="1" applyAlignment="1"/>
    <xf numFmtId="0" fontId="0" fillId="0" borderId="0" xfId="0" applyFill="1"/>
    <xf numFmtId="0" fontId="20" fillId="8" borderId="0" xfId="4" applyFont="1" applyFill="1" applyBorder="1" applyAlignment="1" applyProtection="1">
      <alignment horizontal="left"/>
    </xf>
    <xf numFmtId="0" fontId="0" fillId="0" borderId="0" xfId="0" applyFill="1" applyBorder="1"/>
    <xf numFmtId="0" fontId="6" fillId="0" borderId="0" xfId="0" applyFont="1" applyFill="1" applyBorder="1"/>
    <xf numFmtId="0" fontId="5" fillId="0" borderId="0" xfId="0" applyFont="1" applyFill="1" applyAlignment="1" applyProtection="1"/>
    <xf numFmtId="0" fontId="5" fillId="0" borderId="1" xfId="0" applyFont="1" applyFill="1" applyBorder="1" applyAlignment="1" applyProtection="1">
      <alignment horizontal="right" vertical="center"/>
      <protection locked="0"/>
    </xf>
    <xf numFmtId="0" fontId="5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2" borderId="0" xfId="0" applyFont="1" applyFill="1" applyBorder="1" applyAlignment="1" applyProtection="1">
      <alignment horizontal="left"/>
    </xf>
    <xf numFmtId="0" fontId="5" fillId="2" borderId="0" xfId="0" applyFont="1" applyFill="1" applyBorder="1" applyAlignment="1"/>
    <xf numFmtId="0" fontId="7" fillId="2" borderId="0" xfId="0" applyFont="1" applyFill="1" applyBorder="1"/>
    <xf numFmtId="0" fontId="5" fillId="2" borderId="0" xfId="0" applyFont="1" applyFill="1" applyBorder="1" applyAlignment="1" applyProtection="1">
      <alignment horizontal="right"/>
      <protection locked="0"/>
    </xf>
    <xf numFmtId="0" fontId="5" fillId="2" borderId="1" xfId="0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 applyAlignment="1">
      <alignment horizontal="right"/>
    </xf>
    <xf numFmtId="0" fontId="5" fillId="2" borderId="0" xfId="0" applyFont="1" applyFill="1" applyBorder="1" applyAlignment="1" applyProtection="1">
      <alignment horizontal="right"/>
    </xf>
    <xf numFmtId="0" fontId="5" fillId="2" borderId="0" xfId="0" applyFont="1" applyFill="1" applyBorder="1" applyAlignment="1" applyProtection="1">
      <alignment horizontal="center"/>
    </xf>
    <xf numFmtId="0" fontId="5" fillId="2" borderId="0" xfId="0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 applyAlignment="1">
      <alignment horizontal="center" vertical="center" wrapText="1"/>
    </xf>
    <xf numFmtId="0" fontId="5" fillId="0" borderId="0" xfId="0" applyFont="1" applyBorder="1"/>
    <xf numFmtId="3" fontId="5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/>
    </xf>
    <xf numFmtId="3" fontId="6" fillId="3" borderId="0" xfId="3" applyNumberFormat="1" applyFont="1" applyFill="1" applyAlignment="1">
      <alignment horizontal="right"/>
    </xf>
    <xf numFmtId="3" fontId="6" fillId="0" borderId="0" xfId="0" applyNumberFormat="1" applyFont="1" applyBorder="1" applyAlignment="1">
      <alignment horizontal="right" vertical="center" wrapText="1"/>
    </xf>
    <xf numFmtId="3" fontId="6" fillId="0" borderId="0" xfId="0" applyNumberFormat="1" applyFont="1" applyFill="1" applyAlignment="1" applyProtection="1">
      <alignment horizontal="right"/>
    </xf>
    <xf numFmtId="3" fontId="6" fillId="0" borderId="0" xfId="3" quotePrefix="1" applyNumberFormat="1" applyFont="1" applyFill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/>
    <xf numFmtId="0" fontId="5" fillId="3" borderId="0" xfId="0" applyFont="1" applyFill="1" applyBorder="1" applyAlignment="1"/>
    <xf numFmtId="0" fontId="5" fillId="3" borderId="0" xfId="0" applyFont="1" applyFill="1" applyBorder="1"/>
    <xf numFmtId="37" fontId="6" fillId="2" borderId="0" xfId="0" applyNumberFormat="1" applyFont="1" applyFill="1" applyBorder="1" applyAlignment="1" applyProtection="1"/>
    <xf numFmtId="37" fontId="6" fillId="2" borderId="0" xfId="0" applyNumberFormat="1" applyFont="1" applyFill="1" applyBorder="1" applyAlignment="1" applyProtection="1">
      <alignment horizontal="right"/>
    </xf>
    <xf numFmtId="0" fontId="0" fillId="2" borderId="0" xfId="0" applyFill="1" applyAlignment="1"/>
    <xf numFmtId="0" fontId="0" fillId="2" borderId="0" xfId="0" applyFill="1" applyBorder="1" applyAlignment="1"/>
    <xf numFmtId="0" fontId="0" fillId="0" borderId="0" xfId="0" applyAlignment="1"/>
    <xf numFmtId="0" fontId="0" fillId="0" borderId="0" xfId="0" applyBorder="1" applyAlignment="1"/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 applyBorder="1"/>
    <xf numFmtId="3" fontId="5" fillId="3" borderId="0" xfId="3" applyNumberFormat="1" applyFont="1" applyFill="1" applyAlignment="1">
      <alignment horizontal="right"/>
    </xf>
    <xf numFmtId="0" fontId="5" fillId="2" borderId="2" xfId="0" applyFont="1" applyFill="1" applyBorder="1" applyAlignment="1"/>
    <xf numFmtId="3" fontId="6" fillId="0" borderId="0" xfId="0" applyNumberFormat="1" applyFont="1" applyAlignment="1">
      <alignment vertical="center" wrapText="1"/>
    </xf>
    <xf numFmtId="3" fontId="6" fillId="0" borderId="0" xfId="0" applyNumberFormat="1" applyFont="1" applyAlignment="1">
      <alignment horizontal="right" vertical="center" wrapText="1"/>
    </xf>
    <xf numFmtId="37" fontId="6" fillId="0" borderId="0" xfId="0" applyNumberFormat="1" applyFont="1" applyFill="1" applyAlignment="1" applyProtection="1"/>
    <xf numFmtId="37" fontId="6" fillId="0" borderId="0" xfId="0" applyNumberFormat="1" applyFont="1" applyFill="1" applyAlignment="1" applyProtection="1">
      <alignment horizontal="right"/>
    </xf>
    <xf numFmtId="3" fontId="6" fillId="0" borderId="0" xfId="0" applyNumberFormat="1" applyFont="1" applyFill="1" applyAlignment="1" applyProtection="1"/>
    <xf numFmtId="0" fontId="6" fillId="0" borderId="0" xfId="0" applyFont="1" applyBorder="1" applyAlignment="1">
      <alignment horizontal="right"/>
    </xf>
    <xf numFmtId="0" fontId="5" fillId="2" borderId="0" xfId="0" applyFont="1" applyFill="1" applyBorder="1" applyAlignment="1" applyProtection="1">
      <alignment horizontal="center"/>
      <protection locked="0"/>
    </xf>
    <xf numFmtId="0" fontId="5" fillId="4" borderId="0" xfId="0" applyFont="1" applyFill="1" applyBorder="1" applyAlignment="1">
      <alignment horizontal="left"/>
    </xf>
    <xf numFmtId="0" fontId="10" fillId="4" borderId="0" xfId="0" applyFont="1" applyFill="1" applyBorder="1"/>
    <xf numFmtId="0" fontId="5" fillId="4" borderId="0" xfId="0" applyFont="1" applyFill="1" applyBorder="1"/>
    <xf numFmtId="0" fontId="5" fillId="4" borderId="0" xfId="0" applyFont="1" applyFill="1" applyBorder="1" applyAlignment="1"/>
    <xf numFmtId="0" fontId="7" fillId="4" borderId="0" xfId="0" applyFont="1" applyFill="1" applyBorder="1"/>
    <xf numFmtId="0" fontId="5" fillId="4" borderId="0" xfId="0" applyFont="1" applyFill="1" applyBorder="1" applyAlignment="1">
      <alignment horizontal="right"/>
    </xf>
    <xf numFmtId="0" fontId="5" fillId="4" borderId="0" xfId="0" applyFont="1" applyFill="1" applyBorder="1" applyAlignment="1" applyProtection="1">
      <alignment horizontal="right"/>
    </xf>
    <xf numFmtId="0" fontId="5" fillId="4" borderId="0" xfId="0" applyFont="1" applyFill="1" applyBorder="1" applyAlignment="1" applyProtection="1">
      <alignment horizontal="center"/>
    </xf>
    <xf numFmtId="0" fontId="5" fillId="4" borderId="0" xfId="0" applyFont="1" applyFill="1" applyBorder="1" applyAlignment="1" applyProtection="1">
      <alignment horizontal="right"/>
      <protection locked="0"/>
    </xf>
    <xf numFmtId="0" fontId="5" fillId="4" borderId="0" xfId="0" applyFont="1" applyFill="1" applyBorder="1" applyAlignment="1" applyProtection="1">
      <alignment horizontal="center"/>
      <protection locked="0"/>
    </xf>
    <xf numFmtId="0" fontId="5" fillId="4" borderId="0" xfId="0" applyFont="1" applyFill="1" applyBorder="1" applyAlignment="1" applyProtection="1">
      <alignment horizontal="left"/>
    </xf>
    <xf numFmtId="37" fontId="6" fillId="4" borderId="0" xfId="0" applyNumberFormat="1" applyFont="1" applyFill="1" applyBorder="1" applyAlignment="1" applyProtection="1"/>
    <xf numFmtId="37" fontId="6" fillId="4" borderId="0" xfId="0" applyNumberFormat="1" applyFont="1" applyFill="1" applyBorder="1" applyAlignment="1" applyProtection="1">
      <alignment horizontal="right"/>
    </xf>
    <xf numFmtId="0" fontId="5" fillId="4" borderId="0" xfId="0" applyFont="1" applyFill="1" applyBorder="1" applyAlignment="1" applyProtection="1">
      <protection locked="0"/>
    </xf>
    <xf numFmtId="37" fontId="5" fillId="3" borderId="0" xfId="0" applyNumberFormat="1" applyFont="1" applyFill="1" applyBorder="1" applyAlignment="1" applyProtection="1">
      <alignment horizontal="right"/>
    </xf>
    <xf numFmtId="37" fontId="5" fillId="4" borderId="0" xfId="0" applyNumberFormat="1" applyFont="1" applyFill="1" applyBorder="1" applyAlignment="1" applyProtection="1">
      <alignment horizontal="right"/>
    </xf>
    <xf numFmtId="0" fontId="11" fillId="5" borderId="0" xfId="0" quotePrefix="1" applyFont="1" applyFill="1" applyAlignment="1" applyProtection="1">
      <alignment horizontal="left"/>
    </xf>
    <xf numFmtId="0" fontId="11" fillId="5" borderId="0" xfId="0" applyFont="1" applyFill="1"/>
    <xf numFmtId="0" fontId="12" fillId="0" borderId="0" xfId="0" applyFont="1"/>
    <xf numFmtId="0" fontId="11" fillId="5" borderId="0" xfId="0" applyFont="1" applyFill="1" applyAlignment="1" applyProtection="1">
      <alignment horizontal="left"/>
    </xf>
    <xf numFmtId="0" fontId="13" fillId="0" borderId="0" xfId="0" applyFont="1"/>
    <xf numFmtId="0" fontId="14" fillId="0" borderId="0" xfId="0" applyFont="1"/>
    <xf numFmtId="0" fontId="15" fillId="6" borderId="1" xfId="0" applyFont="1" applyFill="1" applyBorder="1"/>
    <xf numFmtId="0" fontId="5" fillId="0" borderId="0" xfId="0" applyFont="1"/>
    <xf numFmtId="0" fontId="7" fillId="6" borderId="0" xfId="0" applyFont="1" applyFill="1"/>
    <xf numFmtId="0" fontId="7" fillId="6" borderId="0" xfId="0" applyFont="1" applyFill="1" applyBorder="1"/>
    <xf numFmtId="0" fontId="16" fillId="6" borderId="0" xfId="0" applyFont="1" applyFill="1" applyBorder="1"/>
    <xf numFmtId="0" fontId="7" fillId="0" borderId="0" xfId="0" applyFont="1"/>
    <xf numFmtId="0" fontId="7" fillId="6" borderId="0" xfId="0" applyFont="1" applyFill="1" applyBorder="1" applyAlignment="1" applyProtection="1">
      <alignment horizontal="left"/>
    </xf>
    <xf numFmtId="0" fontId="7" fillId="6" borderId="0" xfId="0" applyFont="1" applyFill="1" applyAlignment="1">
      <alignment horizontal="left"/>
    </xf>
    <xf numFmtId="0" fontId="16" fillId="6" borderId="0" xfId="0" applyFont="1" applyFill="1" applyAlignment="1" applyProtection="1">
      <alignment horizontal="right"/>
      <protection locked="0"/>
    </xf>
    <xf numFmtId="0" fontId="16" fillId="6" borderId="0" xfId="0" applyFont="1" applyFill="1" applyAlignment="1" applyProtection="1">
      <alignment horizontal="center"/>
      <protection locked="0"/>
    </xf>
    <xf numFmtId="0" fontId="7" fillId="6" borderId="0" xfId="0" applyFont="1" applyFill="1" applyAlignment="1">
      <alignment horizontal="right"/>
    </xf>
    <xf numFmtId="0" fontId="7" fillId="6" borderId="0" xfId="0" applyFont="1" applyFill="1" applyAlignment="1" applyProtection="1"/>
    <xf numFmtId="0" fontId="5" fillId="6" borderId="0" xfId="0" applyFont="1" applyFill="1"/>
    <xf numFmtId="0" fontId="5" fillId="6" borderId="0" xfId="0" applyFont="1" applyFill="1" applyAlignment="1"/>
    <xf numFmtId="0" fontId="5" fillId="6" borderId="2" xfId="0" applyFont="1" applyFill="1" applyBorder="1"/>
    <xf numFmtId="0" fontId="15" fillId="6" borderId="2" xfId="0" applyFont="1" applyFill="1" applyBorder="1"/>
    <xf numFmtId="0" fontId="17" fillId="6" borderId="1" xfId="0" applyFont="1" applyFill="1" applyBorder="1"/>
    <xf numFmtId="0" fontId="17" fillId="7" borderId="1" xfId="0" applyFont="1" applyFill="1" applyBorder="1"/>
    <xf numFmtId="0" fontId="17" fillId="7" borderId="0" xfId="0" applyFont="1" applyFill="1" applyBorder="1"/>
    <xf numFmtId="0" fontId="6" fillId="7" borderId="0" xfId="0" applyFont="1" applyFill="1"/>
    <xf numFmtId="0" fontId="6" fillId="0" borderId="0" xfId="0" applyFont="1"/>
    <xf numFmtId="0" fontId="6" fillId="6" borderId="0" xfId="0" applyFont="1" applyFill="1"/>
    <xf numFmtId="37" fontId="6" fillId="7" borderId="0" xfId="0" applyNumberFormat="1" applyFont="1" applyFill="1" applyProtection="1"/>
    <xf numFmtId="0" fontId="6" fillId="6" borderId="0" xfId="0" applyFont="1" applyFill="1" applyAlignment="1" applyProtection="1">
      <alignment horizontal="left"/>
    </xf>
    <xf numFmtId="37" fontId="6" fillId="7" borderId="0" xfId="0" applyNumberFormat="1" applyFont="1" applyFill="1" applyAlignment="1" applyProtection="1">
      <alignment horizontal="right"/>
    </xf>
    <xf numFmtId="37" fontId="6" fillId="7" borderId="0" xfId="0" applyNumberFormat="1" applyFont="1" applyFill="1" applyAlignment="1" applyProtection="1"/>
    <xf numFmtId="37" fontId="6" fillId="7" borderId="0" xfId="0" quotePrefix="1" applyNumberFormat="1" applyFont="1" applyFill="1" applyAlignment="1" applyProtection="1">
      <alignment horizontal="right"/>
    </xf>
    <xf numFmtId="0" fontId="18" fillId="5" borderId="1" xfId="0" applyFont="1" applyFill="1" applyBorder="1"/>
    <xf numFmtId="0" fontId="18" fillId="5" borderId="0" xfId="0" applyFont="1" applyFill="1" applyBorder="1"/>
    <xf numFmtId="0" fontId="19" fillId="0" borderId="0" xfId="0" applyFont="1"/>
    <xf numFmtId="0" fontId="18" fillId="5" borderId="0" xfId="0" applyFont="1" applyFill="1" applyAlignment="1" applyProtection="1">
      <alignment horizontal="left"/>
    </xf>
    <xf numFmtId="0" fontId="18" fillId="5" borderId="0" xfId="0" applyFont="1" applyFill="1"/>
    <xf numFmtId="3" fontId="22" fillId="0" borderId="0" xfId="5" applyNumberFormat="1" applyFont="1" applyBorder="1" applyAlignment="1">
      <alignment vertical="center"/>
    </xf>
    <xf numFmtId="3" fontId="22" fillId="0" borderId="0" xfId="0" applyNumberFormat="1" applyFont="1" applyBorder="1" applyAlignment="1">
      <alignment vertical="center"/>
    </xf>
    <xf numFmtId="0" fontId="5" fillId="0" borderId="0" xfId="0" applyFont="1" applyFill="1" applyBorder="1" applyAlignment="1" applyProtection="1">
      <alignment horizontal="left" wrapText="1"/>
    </xf>
    <xf numFmtId="0" fontId="20" fillId="8" borderId="0" xfId="4" applyFont="1" applyFill="1" applyBorder="1" applyAlignment="1" applyProtection="1">
      <alignment horizontal="left" wrapText="1"/>
    </xf>
    <xf numFmtId="0" fontId="5" fillId="0" borderId="2" xfId="0" applyFont="1" applyFill="1" applyBorder="1" applyAlignment="1" applyProtection="1">
      <alignment horizontal="center" wrapText="1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 applyProtection="1">
      <alignment horizont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right" vertical="center"/>
      <protection locked="0"/>
    </xf>
    <xf numFmtId="0" fontId="5" fillId="0" borderId="0" xfId="0" applyFont="1" applyFill="1" applyBorder="1" applyAlignment="1" applyProtection="1">
      <alignment horizontal="right" vertical="center"/>
      <protection locked="0"/>
    </xf>
    <xf numFmtId="0" fontId="5" fillId="0" borderId="2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 applyAlignment="1" applyProtection="1">
      <alignment horizontal="right" vertical="center"/>
      <protection locked="0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 applyProtection="1">
      <alignment horizontal="center"/>
    </xf>
    <xf numFmtId="0" fontId="7" fillId="6" borderId="3" xfId="0" applyFont="1" applyFill="1" applyBorder="1" applyAlignment="1" applyProtection="1">
      <alignment horizontal="center"/>
    </xf>
    <xf numFmtId="0" fontId="7" fillId="6" borderId="2" xfId="0" applyFont="1" applyFill="1" applyBorder="1" applyAlignment="1" applyProtection="1">
      <alignment horizontal="center"/>
    </xf>
  </cellXfs>
  <cellStyles count="6">
    <cellStyle name="F2" xfId="1"/>
    <cellStyle name="F3" xfId="2"/>
    <cellStyle name="Millares" xfId="3" builtinId="3"/>
    <cellStyle name="Normal" xfId="0" builtinId="0"/>
    <cellStyle name="Normal 2" xfId="5"/>
    <cellStyle name="Normal_Hoja3" xfId="4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showGridLines="0" tabSelected="1" workbookViewId="0">
      <selection sqref="A1:U2"/>
    </sheetView>
  </sheetViews>
  <sheetFormatPr baseColWidth="10" defaultRowHeight="15"/>
  <cols>
    <col min="1" max="1" width="13.6640625" customWidth="1"/>
    <col min="2" max="2" width="5.58203125" customWidth="1"/>
    <col min="3" max="3" width="6.6640625" customWidth="1"/>
    <col min="4" max="4" width="0.9140625" customWidth="1"/>
    <col min="5" max="5" width="5.9140625" customWidth="1"/>
    <col min="6" max="6" width="6.9140625" customWidth="1"/>
    <col min="7" max="7" width="0.9140625" customWidth="1"/>
    <col min="8" max="8" width="5.58203125" customWidth="1"/>
    <col min="9" max="9" width="6.6640625" customWidth="1"/>
    <col min="10" max="10" width="0.9140625" customWidth="1"/>
    <col min="11" max="11" width="5.58203125" customWidth="1"/>
    <col min="12" max="12" width="6.6640625" customWidth="1"/>
    <col min="13" max="13" width="1" customWidth="1"/>
    <col min="14" max="14" width="6.33203125" customWidth="1"/>
    <col min="15" max="15" width="6.6640625" customWidth="1"/>
    <col min="16" max="16" width="0.6640625" customWidth="1"/>
    <col min="17" max="17" width="4.33203125" customWidth="1"/>
    <col min="18" max="18" width="6" customWidth="1"/>
    <col min="19" max="19" width="1" customWidth="1"/>
    <col min="20" max="20" width="5" customWidth="1"/>
    <col min="21" max="21" width="7.6640625" customWidth="1"/>
  </cols>
  <sheetData>
    <row r="1" spans="1:21" ht="15" customHeight="1">
      <c r="A1" s="128" t="s">
        <v>134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</row>
    <row r="2" spans="1:21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</row>
    <row r="3" spans="1:2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2.9" customHeight="1">
      <c r="A4" s="29" t="s">
        <v>10</v>
      </c>
      <c r="B4" s="129" t="s">
        <v>5</v>
      </c>
      <c r="C4" s="129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1" ht="27.15" customHeight="1">
      <c r="A5" s="29"/>
      <c r="B5" s="11" t="s">
        <v>19</v>
      </c>
      <c r="C5" s="27" t="s">
        <v>21</v>
      </c>
      <c r="D5" s="12"/>
      <c r="E5" s="131" t="s">
        <v>3</v>
      </c>
      <c r="F5" s="131"/>
      <c r="G5" s="5"/>
      <c r="H5" s="131" t="s">
        <v>0</v>
      </c>
      <c r="I5" s="131"/>
      <c r="J5" s="13"/>
      <c r="K5" s="131" t="s">
        <v>2</v>
      </c>
      <c r="L5" s="131"/>
      <c r="M5" s="14"/>
      <c r="N5" s="131" t="s">
        <v>1</v>
      </c>
      <c r="O5" s="131"/>
      <c r="P5" s="132" t="s">
        <v>34</v>
      </c>
      <c r="Q5" s="132"/>
      <c r="R5" s="132"/>
      <c r="S5" s="132" t="s">
        <v>4</v>
      </c>
      <c r="T5" s="132"/>
      <c r="U5" s="132"/>
    </row>
    <row r="6" spans="1:21" ht="12.9" customHeight="1">
      <c r="A6" s="29"/>
      <c r="B6" s="11" t="s">
        <v>20</v>
      </c>
      <c r="C6" s="28"/>
      <c r="D6" s="12"/>
      <c r="E6" s="11" t="s">
        <v>19</v>
      </c>
      <c r="F6" s="27" t="s">
        <v>21</v>
      </c>
      <c r="G6" s="12"/>
      <c r="H6" s="11" t="s">
        <v>19</v>
      </c>
      <c r="I6" s="27" t="s">
        <v>21</v>
      </c>
      <c r="J6" s="12"/>
      <c r="K6" s="11" t="s">
        <v>19</v>
      </c>
      <c r="L6" s="27" t="s">
        <v>21</v>
      </c>
      <c r="M6" s="12"/>
      <c r="N6" s="11" t="s">
        <v>19</v>
      </c>
      <c r="O6" s="27" t="s">
        <v>21</v>
      </c>
      <c r="P6" s="10"/>
      <c r="Q6" s="11" t="s">
        <v>19</v>
      </c>
      <c r="R6" s="28" t="s">
        <v>21</v>
      </c>
      <c r="S6" s="10"/>
      <c r="T6" s="11" t="s">
        <v>19</v>
      </c>
      <c r="U6" s="28" t="s">
        <v>21</v>
      </c>
    </row>
    <row r="7" spans="1:21" ht="12.9" customHeight="1">
      <c r="A7" s="29"/>
      <c r="B7" s="10"/>
      <c r="C7" s="10"/>
      <c r="D7" s="5"/>
      <c r="E7" s="11" t="s">
        <v>20</v>
      </c>
      <c r="F7" s="28"/>
      <c r="G7" s="5"/>
      <c r="H7" s="11" t="s">
        <v>20</v>
      </c>
      <c r="I7" s="28"/>
      <c r="J7" s="5"/>
      <c r="K7" s="11" t="s">
        <v>20</v>
      </c>
      <c r="L7" s="28"/>
      <c r="M7" s="5"/>
      <c r="N7" s="11" t="s">
        <v>20</v>
      </c>
      <c r="O7" s="28"/>
      <c r="P7" s="10"/>
      <c r="Q7" s="11" t="s">
        <v>20</v>
      </c>
      <c r="R7" s="28"/>
      <c r="S7" s="10"/>
      <c r="T7" s="11" t="s">
        <v>20</v>
      </c>
      <c r="U7" s="28"/>
    </row>
    <row r="8" spans="1:21" ht="8.1" customHeight="1">
      <c r="A8" s="8"/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P8" s="8"/>
      <c r="Q8" s="4"/>
      <c r="R8" s="4"/>
      <c r="S8" s="8"/>
      <c r="T8" s="4"/>
      <c r="U8" s="4"/>
    </row>
    <row r="9" spans="1:21" ht="12.9" customHeight="1">
      <c r="A9" s="8" t="s">
        <v>7</v>
      </c>
      <c r="B9" s="7">
        <f>E9+H9+K9+N9+Q9</f>
        <v>948</v>
      </c>
      <c r="C9" s="7">
        <f>F9+I9+L9+O9+R9</f>
        <v>655797.46</v>
      </c>
      <c r="D9" s="15"/>
      <c r="E9" s="7">
        <f>SUM(E11:E18)</f>
        <v>675</v>
      </c>
      <c r="F9" s="7">
        <f>SUM(F11:F18)</f>
        <v>496457.97</v>
      </c>
      <c r="G9" s="15"/>
      <c r="H9" s="7">
        <f>SUM(H11:H18)</f>
        <v>145</v>
      </c>
      <c r="I9" s="7">
        <f>SUM(I11:I18)</f>
        <v>61641.55</v>
      </c>
      <c r="J9" s="15"/>
      <c r="K9" s="7">
        <f>SUM(K11:K18)</f>
        <v>47</v>
      </c>
      <c r="L9" s="7">
        <f>SUM(L11:L18)</f>
        <v>23441.07</v>
      </c>
      <c r="M9" s="15"/>
      <c r="N9" s="7">
        <f>SUM(N11:N18)</f>
        <v>11</v>
      </c>
      <c r="O9" s="7">
        <f>SUM(O11:O18)</f>
        <v>17076.870000000003</v>
      </c>
      <c r="P9" s="16"/>
      <c r="Q9" s="7">
        <f>SUM(Q11:Q18)</f>
        <v>70</v>
      </c>
      <c r="R9" s="7">
        <f>SUM(R11:R18)</f>
        <v>57180</v>
      </c>
      <c r="S9" s="16"/>
      <c r="T9" s="7" t="s">
        <v>24</v>
      </c>
      <c r="U9" s="7" t="s">
        <v>24</v>
      </c>
    </row>
    <row r="10" spans="1:21" ht="9.15" customHeight="1">
      <c r="A10" s="8"/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1" ht="12.9" customHeight="1">
      <c r="A11" s="8" t="s">
        <v>12</v>
      </c>
      <c r="B11" s="7">
        <f>E11+H11+K11+N11+Q11</f>
        <v>148</v>
      </c>
      <c r="C11" s="7">
        <f>F11+I11+L11+O11+R11</f>
        <v>1466.51</v>
      </c>
      <c r="D11" s="17"/>
      <c r="E11" s="125">
        <v>101</v>
      </c>
      <c r="F11" s="6">
        <v>1092.5999999999999</v>
      </c>
      <c r="G11" s="17"/>
      <c r="H11" s="6">
        <v>26</v>
      </c>
      <c r="I11" s="6">
        <v>194.70999999999998</v>
      </c>
      <c r="J11" s="17"/>
      <c r="K11" s="6">
        <v>5</v>
      </c>
      <c r="L11" s="6">
        <v>77.199999999999989</v>
      </c>
      <c r="M11" s="17"/>
      <c r="N11" s="6">
        <v>2</v>
      </c>
      <c r="O11" s="6">
        <v>9</v>
      </c>
      <c r="P11" s="6"/>
      <c r="Q11" s="6">
        <v>14</v>
      </c>
      <c r="R11" s="6">
        <v>93</v>
      </c>
      <c r="S11" s="6"/>
      <c r="T11" s="6" t="s">
        <v>24</v>
      </c>
      <c r="U11" s="6" t="s">
        <v>24</v>
      </c>
    </row>
    <row r="12" spans="1:21" ht="12.9" customHeight="1">
      <c r="A12" s="8" t="s">
        <v>13</v>
      </c>
      <c r="B12" s="7">
        <f>E12+H12+K12+Q12</f>
        <v>190</v>
      </c>
      <c r="C12" s="7">
        <f>F12+I12+L12+R12</f>
        <v>6626.8900000000012</v>
      </c>
      <c r="D12" s="17"/>
      <c r="E12" s="125">
        <v>145</v>
      </c>
      <c r="F12" s="6">
        <v>5180.8400000000011</v>
      </c>
      <c r="G12" s="17"/>
      <c r="H12" s="6">
        <v>27</v>
      </c>
      <c r="I12" s="6">
        <v>928.59</v>
      </c>
      <c r="J12" s="17"/>
      <c r="K12" s="6">
        <v>6</v>
      </c>
      <c r="L12" s="6">
        <v>110.46000000000001</v>
      </c>
      <c r="M12" s="17"/>
      <c r="N12" s="6" t="s">
        <v>24</v>
      </c>
      <c r="O12" s="6" t="s">
        <v>24</v>
      </c>
      <c r="P12" s="6"/>
      <c r="Q12" s="6">
        <v>12</v>
      </c>
      <c r="R12" s="6">
        <v>407</v>
      </c>
      <c r="S12" s="6"/>
      <c r="T12" s="6" t="s">
        <v>24</v>
      </c>
      <c r="U12" s="6" t="s">
        <v>24</v>
      </c>
    </row>
    <row r="13" spans="1:21" ht="12.9" customHeight="1">
      <c r="A13" s="8" t="s">
        <v>14</v>
      </c>
      <c r="B13" s="7">
        <f>E13+H13+K13+Q13</f>
        <v>69</v>
      </c>
      <c r="C13" s="7">
        <f>F13+I13+L13+R13</f>
        <v>4449.28</v>
      </c>
      <c r="D13" s="17"/>
      <c r="E13" s="125">
        <v>57</v>
      </c>
      <c r="F13" s="6">
        <v>3577.9199999999996</v>
      </c>
      <c r="G13" s="17"/>
      <c r="H13" s="6">
        <v>7</v>
      </c>
      <c r="I13" s="6">
        <v>502.4</v>
      </c>
      <c r="J13" s="17"/>
      <c r="K13" s="6">
        <v>3</v>
      </c>
      <c r="L13" s="6">
        <v>202.95999999999998</v>
      </c>
      <c r="M13" s="17"/>
      <c r="N13" s="6" t="s">
        <v>24</v>
      </c>
      <c r="O13" s="6" t="s">
        <v>24</v>
      </c>
      <c r="P13" s="6"/>
      <c r="Q13" s="6">
        <v>2</v>
      </c>
      <c r="R13" s="6">
        <v>166</v>
      </c>
      <c r="S13" s="6"/>
      <c r="T13" s="6" t="s">
        <v>24</v>
      </c>
      <c r="U13" s="6" t="s">
        <v>24</v>
      </c>
    </row>
    <row r="14" spans="1:21" ht="12.9" customHeight="1">
      <c r="A14" s="8" t="s">
        <v>15</v>
      </c>
      <c r="B14" s="7">
        <f t="shared" ref="B14:B18" si="0">E14+H14+K14+N14+Q14</f>
        <v>110</v>
      </c>
      <c r="C14" s="7">
        <f t="shared" ref="C14:C18" si="1">F14+I14+L14+O14+R14</f>
        <v>10229.98</v>
      </c>
      <c r="D14" s="17"/>
      <c r="E14" s="125">
        <v>85</v>
      </c>
      <c r="F14" s="6">
        <v>7161.11</v>
      </c>
      <c r="G14" s="17"/>
      <c r="H14" s="6">
        <v>18</v>
      </c>
      <c r="I14" s="6">
        <v>2310.1799999999998</v>
      </c>
      <c r="J14" s="17"/>
      <c r="K14" s="6">
        <v>4</v>
      </c>
      <c r="L14" s="6">
        <v>478.69</v>
      </c>
      <c r="M14" s="17"/>
      <c r="N14" s="6">
        <v>1</v>
      </c>
      <c r="O14" s="6">
        <v>124</v>
      </c>
      <c r="P14" s="6"/>
      <c r="Q14" s="6">
        <v>2</v>
      </c>
      <c r="R14" s="6">
        <v>156</v>
      </c>
      <c r="S14" s="6"/>
      <c r="T14" s="6" t="s">
        <v>24</v>
      </c>
      <c r="U14" s="6" t="s">
        <v>24</v>
      </c>
    </row>
    <row r="15" spans="1:21" ht="12.9" customHeight="1">
      <c r="A15" s="8" t="s">
        <v>16</v>
      </c>
      <c r="B15" s="7">
        <f t="shared" si="0"/>
        <v>172</v>
      </c>
      <c r="C15" s="7">
        <f t="shared" si="1"/>
        <v>36788.380000000005</v>
      </c>
      <c r="D15" s="17"/>
      <c r="E15" s="125">
        <v>115</v>
      </c>
      <c r="F15" s="6">
        <v>22217.600000000006</v>
      </c>
      <c r="G15" s="17"/>
      <c r="H15" s="6">
        <v>34</v>
      </c>
      <c r="I15" s="6">
        <v>8086.7400000000007</v>
      </c>
      <c r="J15" s="17"/>
      <c r="K15" s="6">
        <v>12</v>
      </c>
      <c r="L15" s="6">
        <v>3727.04</v>
      </c>
      <c r="M15" s="17"/>
      <c r="N15" s="6">
        <v>2</v>
      </c>
      <c r="O15" s="6">
        <v>528</v>
      </c>
      <c r="P15" s="6"/>
      <c r="Q15" s="6">
        <v>9</v>
      </c>
      <c r="R15" s="6">
        <v>2229</v>
      </c>
      <c r="S15" s="6"/>
      <c r="T15" s="6" t="s">
        <v>24</v>
      </c>
      <c r="U15" s="6" t="s">
        <v>24</v>
      </c>
    </row>
    <row r="16" spans="1:21" ht="12.9" customHeight="1">
      <c r="A16" s="8" t="s">
        <v>17</v>
      </c>
      <c r="B16" s="7">
        <f t="shared" si="0"/>
        <v>67</v>
      </c>
      <c r="C16" s="7">
        <f t="shared" si="1"/>
        <v>37791.39</v>
      </c>
      <c r="D16" s="17"/>
      <c r="E16" s="125">
        <v>35</v>
      </c>
      <c r="F16" s="6">
        <v>19169.390000000003</v>
      </c>
      <c r="G16" s="17"/>
      <c r="H16" s="6">
        <v>16</v>
      </c>
      <c r="I16" s="6">
        <v>7964</v>
      </c>
      <c r="J16" s="17"/>
      <c r="K16" s="6">
        <v>9</v>
      </c>
      <c r="L16" s="6">
        <v>6209</v>
      </c>
      <c r="M16" s="17"/>
      <c r="N16" s="6">
        <v>2</v>
      </c>
      <c r="O16" s="6">
        <v>1544</v>
      </c>
      <c r="P16" s="6"/>
      <c r="Q16" s="6">
        <v>5</v>
      </c>
      <c r="R16" s="6">
        <v>2905</v>
      </c>
      <c r="S16" s="6"/>
      <c r="T16" s="6" t="s">
        <v>24</v>
      </c>
      <c r="U16" s="6" t="s">
        <v>24</v>
      </c>
    </row>
    <row r="17" spans="1:21" ht="12.9" customHeight="1">
      <c r="A17" s="8" t="s">
        <v>18</v>
      </c>
      <c r="B17" s="7">
        <f t="shared" si="0"/>
        <v>77</v>
      </c>
      <c r="C17" s="7">
        <f t="shared" si="1"/>
        <v>99055.51</v>
      </c>
      <c r="D17" s="17"/>
      <c r="E17" s="125">
        <v>49</v>
      </c>
      <c r="F17" s="6">
        <v>64438.27</v>
      </c>
      <c r="G17" s="17"/>
      <c r="H17" s="6">
        <v>9</v>
      </c>
      <c r="I17" s="6">
        <v>10906.119999999999</v>
      </c>
      <c r="J17" s="17"/>
      <c r="K17" s="6">
        <v>6</v>
      </c>
      <c r="L17" s="6">
        <v>8068.72</v>
      </c>
      <c r="M17" s="17"/>
      <c r="N17" s="6">
        <v>2</v>
      </c>
      <c r="O17" s="6">
        <v>2936.4</v>
      </c>
      <c r="P17" s="6"/>
      <c r="Q17" s="6">
        <v>11</v>
      </c>
      <c r="R17" s="6">
        <v>12706</v>
      </c>
      <c r="S17" s="6"/>
      <c r="T17" s="6" t="s">
        <v>24</v>
      </c>
      <c r="U17" s="6" t="s">
        <v>24</v>
      </c>
    </row>
    <row r="18" spans="1:21" ht="12.9" customHeight="1">
      <c r="A18" s="8" t="s">
        <v>11</v>
      </c>
      <c r="B18" s="7">
        <f t="shared" si="0"/>
        <v>115</v>
      </c>
      <c r="C18" s="7">
        <f t="shared" si="1"/>
        <v>459389.52</v>
      </c>
      <c r="D18" s="17"/>
      <c r="E18" s="125">
        <v>88</v>
      </c>
      <c r="F18" s="6">
        <v>373620.24</v>
      </c>
      <c r="G18" s="17"/>
      <c r="H18" s="6">
        <v>8</v>
      </c>
      <c r="I18" s="6">
        <v>30748.81</v>
      </c>
      <c r="J18" s="17"/>
      <c r="K18" s="6">
        <v>2</v>
      </c>
      <c r="L18" s="6">
        <v>4567</v>
      </c>
      <c r="M18" s="17"/>
      <c r="N18" s="6">
        <v>2</v>
      </c>
      <c r="O18" s="6">
        <v>11935.470000000001</v>
      </c>
      <c r="P18" s="6"/>
      <c r="Q18" s="6">
        <v>15</v>
      </c>
      <c r="R18" s="6">
        <v>38518</v>
      </c>
      <c r="S18" s="6"/>
      <c r="T18" s="6" t="s">
        <v>24</v>
      </c>
      <c r="U18" s="6" t="s">
        <v>24</v>
      </c>
    </row>
    <row r="19" spans="1:21" ht="9.15" customHeight="1">
      <c r="A19" s="8"/>
      <c r="B19" s="18"/>
      <c r="C19" s="19"/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8"/>
      <c r="Q19" s="9"/>
      <c r="R19" s="9"/>
      <c r="S19" s="8"/>
      <c r="T19" s="9"/>
      <c r="U19" s="9"/>
    </row>
    <row r="20" spans="1:21" ht="12.9" customHeight="1">
      <c r="A20" s="127" t="s">
        <v>8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</row>
    <row r="21" spans="1:21" ht="12.9" customHeight="1">
      <c r="A21" s="127" t="s">
        <v>32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</row>
    <row r="22" spans="1:21" ht="12.9" customHeight="1">
      <c r="A22" s="127" t="s">
        <v>9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</row>
  </sheetData>
  <mergeCells count="12">
    <mergeCell ref="A21:U21"/>
    <mergeCell ref="A22:U22"/>
    <mergeCell ref="A1:U2"/>
    <mergeCell ref="B4:C4"/>
    <mergeCell ref="E4:U4"/>
    <mergeCell ref="E5:F5"/>
    <mergeCell ref="H5:I5"/>
    <mergeCell ref="K5:L5"/>
    <mergeCell ref="N5:O5"/>
    <mergeCell ref="P5:R5"/>
    <mergeCell ref="S5:U5"/>
    <mergeCell ref="A20:U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showGridLines="0" workbookViewId="0">
      <selection sqref="A1:U2"/>
    </sheetView>
  </sheetViews>
  <sheetFormatPr baseColWidth="10" defaultRowHeight="15"/>
  <cols>
    <col min="1" max="1" width="13.6640625" customWidth="1"/>
    <col min="2" max="2" width="5.58203125" customWidth="1"/>
    <col min="3" max="3" width="6.6640625" customWidth="1"/>
    <col min="4" max="4" width="0.9140625" customWidth="1"/>
    <col min="5" max="5" width="5.9140625" customWidth="1"/>
    <col min="6" max="6" width="6.9140625" customWidth="1"/>
    <col min="7" max="7" width="0.9140625" customWidth="1"/>
    <col min="8" max="8" width="5.58203125" customWidth="1"/>
    <col min="9" max="9" width="6.6640625" customWidth="1"/>
    <col min="10" max="10" width="0.9140625" customWidth="1"/>
    <col min="11" max="11" width="5.58203125" customWidth="1"/>
    <col min="12" max="12" width="6.6640625" customWidth="1"/>
    <col min="13" max="13" width="1" customWidth="1"/>
    <col min="14" max="14" width="6.33203125" customWidth="1"/>
    <col min="15" max="15" width="6.6640625" customWidth="1"/>
    <col min="16" max="16" width="0.6640625" customWidth="1"/>
    <col min="17" max="17" width="4.33203125" customWidth="1"/>
    <col min="18" max="18" width="6" customWidth="1"/>
    <col min="19" max="19" width="1" customWidth="1"/>
    <col min="20" max="20" width="5" customWidth="1"/>
    <col min="21" max="21" width="7.6640625" customWidth="1"/>
  </cols>
  <sheetData>
    <row r="1" spans="1:21" ht="15" customHeight="1">
      <c r="A1" s="128" t="s">
        <v>38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</row>
    <row r="2" spans="1:21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</row>
    <row r="3" spans="1:2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2.9" customHeight="1">
      <c r="A4" s="29" t="s">
        <v>10</v>
      </c>
      <c r="B4" s="129" t="s">
        <v>5</v>
      </c>
      <c r="C4" s="129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1" ht="27.15" customHeight="1">
      <c r="A5" s="29"/>
      <c r="B5" s="11" t="s">
        <v>19</v>
      </c>
      <c r="C5" s="27" t="s">
        <v>21</v>
      </c>
      <c r="D5" s="12"/>
      <c r="E5" s="131" t="s">
        <v>3</v>
      </c>
      <c r="F5" s="131"/>
      <c r="G5" s="5"/>
      <c r="H5" s="131" t="s">
        <v>0</v>
      </c>
      <c r="I5" s="131"/>
      <c r="J5" s="13"/>
      <c r="K5" s="131" t="s">
        <v>2</v>
      </c>
      <c r="L5" s="131"/>
      <c r="M5" s="14"/>
      <c r="N5" s="131" t="s">
        <v>1</v>
      </c>
      <c r="O5" s="131"/>
      <c r="P5" s="132" t="s">
        <v>34</v>
      </c>
      <c r="Q5" s="132"/>
      <c r="R5" s="132"/>
      <c r="S5" s="132" t="s">
        <v>4</v>
      </c>
      <c r="T5" s="132"/>
      <c r="U5" s="132"/>
    </row>
    <row r="6" spans="1:21" ht="12.9" customHeight="1">
      <c r="A6" s="29"/>
      <c r="B6" s="11" t="s">
        <v>20</v>
      </c>
      <c r="C6" s="28"/>
      <c r="D6" s="12"/>
      <c r="E6" s="11" t="s">
        <v>19</v>
      </c>
      <c r="F6" s="27" t="s">
        <v>21</v>
      </c>
      <c r="G6" s="12"/>
      <c r="H6" s="11" t="s">
        <v>19</v>
      </c>
      <c r="I6" s="27" t="s">
        <v>21</v>
      </c>
      <c r="J6" s="12"/>
      <c r="K6" s="11" t="s">
        <v>19</v>
      </c>
      <c r="L6" s="27" t="s">
        <v>21</v>
      </c>
      <c r="M6" s="12"/>
      <c r="N6" s="11" t="s">
        <v>19</v>
      </c>
      <c r="O6" s="27" t="s">
        <v>21</v>
      </c>
      <c r="P6" s="10"/>
      <c r="Q6" s="11" t="s">
        <v>19</v>
      </c>
      <c r="R6" s="28" t="s">
        <v>21</v>
      </c>
      <c r="S6" s="10"/>
      <c r="T6" s="11" t="s">
        <v>19</v>
      </c>
      <c r="U6" s="28" t="s">
        <v>21</v>
      </c>
    </row>
    <row r="7" spans="1:21" ht="12.9" customHeight="1">
      <c r="A7" s="29"/>
      <c r="B7" s="10"/>
      <c r="C7" s="10"/>
      <c r="D7" s="5"/>
      <c r="E7" s="11" t="s">
        <v>20</v>
      </c>
      <c r="F7" s="28"/>
      <c r="G7" s="5"/>
      <c r="H7" s="11" t="s">
        <v>20</v>
      </c>
      <c r="I7" s="28"/>
      <c r="J7" s="5"/>
      <c r="K7" s="11" t="s">
        <v>20</v>
      </c>
      <c r="L7" s="28"/>
      <c r="M7" s="5"/>
      <c r="N7" s="11" t="s">
        <v>20</v>
      </c>
      <c r="O7" s="28"/>
      <c r="P7" s="10"/>
      <c r="Q7" s="11" t="s">
        <v>20</v>
      </c>
      <c r="R7" s="28"/>
      <c r="S7" s="10"/>
      <c r="T7" s="11" t="s">
        <v>20</v>
      </c>
      <c r="U7" s="28"/>
    </row>
    <row r="8" spans="1:21" ht="8.1" customHeight="1">
      <c r="A8" s="8"/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P8" s="8"/>
      <c r="Q8" s="4"/>
      <c r="R8" s="4"/>
      <c r="S8" s="8"/>
      <c r="T8" s="4"/>
      <c r="U8" s="4"/>
    </row>
    <row r="9" spans="1:21" ht="12.9" customHeight="1">
      <c r="A9" s="8" t="s">
        <v>7</v>
      </c>
      <c r="B9" s="7">
        <f>E9+H9+K9+N9+Q9</f>
        <v>956</v>
      </c>
      <c r="C9" s="7">
        <f>F9+I9+L9+O9+R9</f>
        <v>568505.48</v>
      </c>
      <c r="D9" s="15"/>
      <c r="E9" s="7">
        <f>SUM(E11:E18)</f>
        <v>428</v>
      </c>
      <c r="F9" s="7">
        <f>SUM(F11:F18)</f>
        <v>61841.479999999996</v>
      </c>
      <c r="G9" s="15"/>
      <c r="H9" s="7">
        <f>SUM(H11:H18)</f>
        <v>119</v>
      </c>
      <c r="I9" s="7">
        <f>SUM(I11:I18)</f>
        <v>33264</v>
      </c>
      <c r="J9" s="15"/>
      <c r="K9" s="7">
        <f>SUM(K11:K18)</f>
        <v>29</v>
      </c>
      <c r="L9" s="7">
        <f>SUM(L11:L18)</f>
        <v>19679</v>
      </c>
      <c r="M9" s="15"/>
      <c r="N9" s="7">
        <f>SUM(N11:N18)</f>
        <v>13</v>
      </c>
      <c r="O9" s="7">
        <f>SUM(O11:O18)</f>
        <v>7222</v>
      </c>
      <c r="P9" s="16"/>
      <c r="Q9" s="7">
        <f>SUM(Q11:Q18)</f>
        <v>367</v>
      </c>
      <c r="R9" s="7">
        <f>SUM(R11:R18)</f>
        <v>446499</v>
      </c>
      <c r="S9" s="16"/>
      <c r="T9" s="7" t="s">
        <v>24</v>
      </c>
      <c r="U9" s="7" t="s">
        <v>24</v>
      </c>
    </row>
    <row r="10" spans="1:21" ht="9.15" customHeight="1">
      <c r="A10" s="8"/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1" ht="12.9" customHeight="1">
      <c r="A11" s="8" t="s">
        <v>12</v>
      </c>
      <c r="B11" s="7">
        <f>E11+H11+K11+N11+Q11</f>
        <v>185</v>
      </c>
      <c r="C11" s="7">
        <f>F11+I11+L11+O11+R11</f>
        <v>1735.8</v>
      </c>
      <c r="D11" s="17"/>
      <c r="E11" s="126">
        <v>110</v>
      </c>
      <c r="F11" s="6">
        <v>997.8</v>
      </c>
      <c r="G11" s="17"/>
      <c r="H11" s="126">
        <v>15</v>
      </c>
      <c r="I11" s="6">
        <v>162</v>
      </c>
      <c r="J11" s="17"/>
      <c r="K11" s="6">
        <v>2</v>
      </c>
      <c r="L11" s="6">
        <v>15</v>
      </c>
      <c r="M11" s="17"/>
      <c r="N11" s="6">
        <v>5</v>
      </c>
      <c r="O11" s="6">
        <v>73</v>
      </c>
      <c r="P11" s="6"/>
      <c r="Q11" s="6">
        <v>53</v>
      </c>
      <c r="R11" s="6">
        <v>488</v>
      </c>
      <c r="S11" s="6"/>
      <c r="T11" s="6" t="s">
        <v>24</v>
      </c>
      <c r="U11" s="6" t="s">
        <v>24</v>
      </c>
    </row>
    <row r="12" spans="1:21" ht="12.9" customHeight="1">
      <c r="A12" s="8" t="s">
        <v>13</v>
      </c>
      <c r="B12" s="7">
        <f t="shared" ref="B12:B18" si="0">E12+H12+K12+N12+Q12</f>
        <v>207</v>
      </c>
      <c r="C12" s="7">
        <f>F12+I12+L12+R12</f>
        <v>6238.48</v>
      </c>
      <c r="D12" s="17"/>
      <c r="E12" s="126">
        <v>123</v>
      </c>
      <c r="F12" s="6">
        <v>4138.4799999999996</v>
      </c>
      <c r="G12" s="17"/>
      <c r="H12" s="126">
        <v>17</v>
      </c>
      <c r="I12" s="6">
        <v>335</v>
      </c>
      <c r="J12" s="17"/>
      <c r="K12" s="6">
        <v>3</v>
      </c>
      <c r="L12" s="6">
        <v>54</v>
      </c>
      <c r="M12" s="17"/>
      <c r="N12" s="6">
        <v>1</v>
      </c>
      <c r="O12" s="6" t="s">
        <v>24</v>
      </c>
      <c r="P12" s="6"/>
      <c r="Q12" s="6">
        <v>63</v>
      </c>
      <c r="R12" s="6">
        <v>1711</v>
      </c>
      <c r="S12" s="6"/>
      <c r="T12" s="6" t="s">
        <v>24</v>
      </c>
      <c r="U12" s="6" t="s">
        <v>24</v>
      </c>
    </row>
    <row r="13" spans="1:21" ht="12.9" customHeight="1">
      <c r="A13" s="8" t="s">
        <v>14</v>
      </c>
      <c r="B13" s="7">
        <f>E13+H13+K13+Q13</f>
        <v>79</v>
      </c>
      <c r="C13" s="7">
        <f>F13+I13+L13+R13</f>
        <v>4496</v>
      </c>
      <c r="D13" s="17"/>
      <c r="E13" s="126">
        <v>53</v>
      </c>
      <c r="F13" s="6">
        <v>2978</v>
      </c>
      <c r="G13" s="17"/>
      <c r="H13" s="126">
        <v>4</v>
      </c>
      <c r="I13" s="6">
        <v>294</v>
      </c>
      <c r="J13" s="17"/>
      <c r="K13" s="6">
        <v>2</v>
      </c>
      <c r="L13" s="6">
        <v>84</v>
      </c>
      <c r="M13" s="17"/>
      <c r="N13" s="6" t="s">
        <v>24</v>
      </c>
      <c r="O13" s="6" t="s">
        <v>24</v>
      </c>
      <c r="P13" s="6"/>
      <c r="Q13" s="6">
        <v>20</v>
      </c>
      <c r="R13" s="6">
        <v>1140</v>
      </c>
      <c r="S13" s="6"/>
      <c r="T13" s="6" t="s">
        <v>24</v>
      </c>
      <c r="U13" s="6" t="s">
        <v>24</v>
      </c>
    </row>
    <row r="14" spans="1:21" ht="12.9" customHeight="1">
      <c r="A14" s="8" t="s">
        <v>15</v>
      </c>
      <c r="B14" s="7">
        <f t="shared" si="0"/>
        <v>105</v>
      </c>
      <c r="C14" s="7">
        <f t="shared" ref="C14:C18" si="1">F14+I14+L14+O14+R14</f>
        <v>9313</v>
      </c>
      <c r="D14" s="17"/>
      <c r="E14" s="126">
        <v>50</v>
      </c>
      <c r="F14" s="6">
        <v>3875</v>
      </c>
      <c r="G14" s="17"/>
      <c r="H14" s="126">
        <v>22</v>
      </c>
      <c r="I14" s="6">
        <v>1441</v>
      </c>
      <c r="J14" s="17"/>
      <c r="K14" s="6">
        <v>4</v>
      </c>
      <c r="L14" s="6">
        <v>314</v>
      </c>
      <c r="M14" s="17"/>
      <c r="N14" s="6">
        <v>2</v>
      </c>
      <c r="O14" s="6">
        <v>177</v>
      </c>
      <c r="P14" s="6"/>
      <c r="Q14" s="6">
        <v>27</v>
      </c>
      <c r="R14" s="6">
        <v>3506</v>
      </c>
      <c r="S14" s="6"/>
      <c r="T14" s="6" t="s">
        <v>24</v>
      </c>
      <c r="U14" s="6" t="s">
        <v>24</v>
      </c>
    </row>
    <row r="15" spans="1:21" ht="12.9" customHeight="1">
      <c r="A15" s="8" t="s">
        <v>16</v>
      </c>
      <c r="B15" s="7">
        <f t="shared" si="0"/>
        <v>186</v>
      </c>
      <c r="C15" s="7">
        <f t="shared" si="1"/>
        <v>37001</v>
      </c>
      <c r="D15" s="17"/>
      <c r="E15" s="126">
        <v>71</v>
      </c>
      <c r="F15" s="6">
        <v>12402</v>
      </c>
      <c r="G15" s="17"/>
      <c r="H15" s="126">
        <v>37</v>
      </c>
      <c r="I15" s="6">
        <v>5928</v>
      </c>
      <c r="J15" s="17"/>
      <c r="K15" s="6">
        <v>7</v>
      </c>
      <c r="L15" s="6">
        <v>1100</v>
      </c>
      <c r="M15" s="17"/>
      <c r="N15" s="6">
        <v>1</v>
      </c>
      <c r="O15" s="6">
        <v>288</v>
      </c>
      <c r="P15" s="6"/>
      <c r="Q15" s="6">
        <v>70</v>
      </c>
      <c r="R15" s="6">
        <v>17283</v>
      </c>
      <c r="S15" s="6"/>
      <c r="T15" s="6" t="s">
        <v>24</v>
      </c>
      <c r="U15" s="6" t="s">
        <v>24</v>
      </c>
    </row>
    <row r="16" spans="1:21" ht="12.9" customHeight="1">
      <c r="A16" s="8" t="s">
        <v>17</v>
      </c>
      <c r="B16" s="7">
        <f>E16+H16+K16+Q16</f>
        <v>60</v>
      </c>
      <c r="C16" s="7">
        <f>F16+I16+L16+R16</f>
        <v>26252</v>
      </c>
      <c r="D16" s="17"/>
      <c r="E16" s="126">
        <v>12</v>
      </c>
      <c r="F16" s="6">
        <v>5675</v>
      </c>
      <c r="G16" s="17"/>
      <c r="H16" s="126">
        <v>11</v>
      </c>
      <c r="I16" s="6">
        <v>3563</v>
      </c>
      <c r="J16" s="17"/>
      <c r="K16" s="6">
        <v>4</v>
      </c>
      <c r="L16" s="6">
        <v>2497</v>
      </c>
      <c r="M16" s="17"/>
      <c r="N16" s="6" t="s">
        <v>24</v>
      </c>
      <c r="O16" s="6" t="s">
        <v>24</v>
      </c>
      <c r="P16" s="6"/>
      <c r="Q16" s="6">
        <v>33</v>
      </c>
      <c r="R16" s="6">
        <v>14517</v>
      </c>
      <c r="S16" s="6"/>
      <c r="T16" s="6" t="s">
        <v>24</v>
      </c>
      <c r="U16" s="6" t="s">
        <v>24</v>
      </c>
    </row>
    <row r="17" spans="1:21" ht="12.9" customHeight="1">
      <c r="A17" s="8" t="s">
        <v>18</v>
      </c>
      <c r="B17" s="7">
        <f t="shared" si="0"/>
        <v>53</v>
      </c>
      <c r="C17" s="7">
        <f t="shared" si="1"/>
        <v>68370.2</v>
      </c>
      <c r="D17" s="17"/>
      <c r="E17" s="126">
        <v>4</v>
      </c>
      <c r="F17" s="6">
        <v>6682.2</v>
      </c>
      <c r="G17" s="17"/>
      <c r="H17" s="126">
        <v>6</v>
      </c>
      <c r="I17" s="6">
        <v>5509</v>
      </c>
      <c r="J17" s="17"/>
      <c r="K17" s="6">
        <v>3</v>
      </c>
      <c r="L17" s="6">
        <v>4094</v>
      </c>
      <c r="M17" s="17"/>
      <c r="N17" s="6">
        <v>3</v>
      </c>
      <c r="O17" s="6">
        <v>2483</v>
      </c>
      <c r="P17" s="6"/>
      <c r="Q17" s="6">
        <v>37</v>
      </c>
      <c r="R17" s="6">
        <v>49602</v>
      </c>
      <c r="S17" s="6"/>
      <c r="T17" s="6" t="s">
        <v>24</v>
      </c>
      <c r="U17" s="6" t="s">
        <v>24</v>
      </c>
    </row>
    <row r="18" spans="1:21" ht="12.9" customHeight="1">
      <c r="A18" s="8" t="s">
        <v>11</v>
      </c>
      <c r="B18" s="7">
        <f t="shared" si="0"/>
        <v>81</v>
      </c>
      <c r="C18" s="7">
        <f t="shared" si="1"/>
        <v>415099</v>
      </c>
      <c r="D18" s="17"/>
      <c r="E18" s="126">
        <v>5</v>
      </c>
      <c r="F18" s="6">
        <v>25093</v>
      </c>
      <c r="G18" s="17"/>
      <c r="H18" s="126">
        <v>7</v>
      </c>
      <c r="I18" s="6">
        <v>16032</v>
      </c>
      <c r="J18" s="17"/>
      <c r="K18" s="6">
        <v>4</v>
      </c>
      <c r="L18" s="6">
        <v>11521</v>
      </c>
      <c r="M18" s="17"/>
      <c r="N18" s="6">
        <v>1</v>
      </c>
      <c r="O18" s="6">
        <v>4201</v>
      </c>
      <c r="P18" s="6"/>
      <c r="Q18" s="6">
        <v>64</v>
      </c>
      <c r="R18" s="6">
        <v>358252</v>
      </c>
      <c r="S18" s="6"/>
      <c r="T18" s="6" t="s">
        <v>24</v>
      </c>
      <c r="U18" s="6" t="s">
        <v>24</v>
      </c>
    </row>
    <row r="19" spans="1:21" ht="9.15" customHeight="1">
      <c r="A19" s="8"/>
      <c r="B19" s="18"/>
      <c r="C19" s="19"/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8"/>
      <c r="Q19" s="9"/>
      <c r="R19" s="9"/>
      <c r="S19" s="8"/>
      <c r="T19" s="9"/>
      <c r="U19" s="9"/>
    </row>
    <row r="20" spans="1:21" ht="12.9" customHeight="1">
      <c r="A20" s="127" t="s">
        <v>8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</row>
    <row r="21" spans="1:21" ht="12.9" customHeight="1">
      <c r="A21" s="127" t="s">
        <v>32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</row>
    <row r="22" spans="1:21" ht="12.9" customHeight="1">
      <c r="A22" s="127" t="s">
        <v>9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</row>
  </sheetData>
  <mergeCells count="12">
    <mergeCell ref="A22:U22"/>
    <mergeCell ref="A1:U2"/>
    <mergeCell ref="B4:C4"/>
    <mergeCell ref="E4:U4"/>
    <mergeCell ref="E5:F5"/>
    <mergeCell ref="H5:I5"/>
    <mergeCell ref="K5:L5"/>
    <mergeCell ref="N5:O5"/>
    <mergeCell ref="P5:R5"/>
    <mergeCell ref="S5:U5"/>
    <mergeCell ref="A20:U20"/>
    <mergeCell ref="A21:U21"/>
  </mergeCells>
  <pageMargins left="0.7" right="0.7" top="0.75" bottom="0.75" header="0.3" footer="0.3"/>
  <ignoredErrors>
    <ignoredError sqref="B13 B16:C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showGridLines="0" workbookViewId="0">
      <selection sqref="A1:U2"/>
    </sheetView>
  </sheetViews>
  <sheetFormatPr baseColWidth="10" defaultRowHeight="15"/>
  <cols>
    <col min="1" max="1" width="13.6640625" customWidth="1"/>
    <col min="2" max="2" width="5.58203125" customWidth="1"/>
    <col min="3" max="3" width="6.6640625" customWidth="1"/>
    <col min="4" max="4" width="0.9140625" customWidth="1"/>
    <col min="5" max="5" width="5.9140625" customWidth="1"/>
    <col min="6" max="6" width="6.9140625" customWidth="1"/>
    <col min="7" max="7" width="0.9140625" customWidth="1"/>
    <col min="8" max="8" width="5.58203125" customWidth="1"/>
    <col min="9" max="9" width="6.6640625" customWidth="1"/>
    <col min="10" max="10" width="0.9140625" customWidth="1"/>
    <col min="11" max="11" width="5.58203125" customWidth="1"/>
    <col min="12" max="12" width="6.6640625" customWidth="1"/>
    <col min="13" max="13" width="1" customWidth="1"/>
    <col min="14" max="14" width="6.33203125" customWidth="1"/>
    <col min="15" max="15" width="6.6640625" customWidth="1"/>
    <col min="16" max="16" width="0.6640625" customWidth="1"/>
    <col min="17" max="17" width="4.33203125" customWidth="1"/>
    <col min="18" max="18" width="6" customWidth="1"/>
    <col min="19" max="19" width="1" customWidth="1"/>
    <col min="20" max="20" width="5" customWidth="1"/>
    <col min="21" max="21" width="7.6640625" customWidth="1"/>
  </cols>
  <sheetData>
    <row r="1" spans="1:21" ht="15" customHeight="1">
      <c r="A1" s="128" t="s">
        <v>37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</row>
    <row r="2" spans="1:21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</row>
    <row r="3" spans="1:2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2.9" customHeight="1">
      <c r="A4" s="29" t="s">
        <v>10</v>
      </c>
      <c r="B4" s="129" t="s">
        <v>5</v>
      </c>
      <c r="C4" s="129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1" ht="27.15" customHeight="1">
      <c r="A5" s="29"/>
      <c r="B5" s="11" t="s">
        <v>19</v>
      </c>
      <c r="C5" s="27" t="s">
        <v>21</v>
      </c>
      <c r="D5" s="12"/>
      <c r="E5" s="131" t="s">
        <v>3</v>
      </c>
      <c r="F5" s="131"/>
      <c r="G5" s="5"/>
      <c r="H5" s="131" t="s">
        <v>0</v>
      </c>
      <c r="I5" s="131"/>
      <c r="J5" s="13"/>
      <c r="K5" s="131" t="s">
        <v>2</v>
      </c>
      <c r="L5" s="131"/>
      <c r="M5" s="14"/>
      <c r="N5" s="131" t="s">
        <v>1</v>
      </c>
      <c r="O5" s="131"/>
      <c r="P5" s="132" t="s">
        <v>34</v>
      </c>
      <c r="Q5" s="132"/>
      <c r="R5" s="132"/>
      <c r="S5" s="132" t="s">
        <v>4</v>
      </c>
      <c r="T5" s="132"/>
      <c r="U5" s="132"/>
    </row>
    <row r="6" spans="1:21" ht="12.9" customHeight="1">
      <c r="A6" s="29"/>
      <c r="B6" s="11" t="s">
        <v>20</v>
      </c>
      <c r="C6" s="28"/>
      <c r="D6" s="12"/>
      <c r="E6" s="11" t="s">
        <v>19</v>
      </c>
      <c r="F6" s="27" t="s">
        <v>21</v>
      </c>
      <c r="G6" s="12"/>
      <c r="H6" s="11" t="s">
        <v>19</v>
      </c>
      <c r="I6" s="27" t="s">
        <v>21</v>
      </c>
      <c r="J6" s="12"/>
      <c r="K6" s="11" t="s">
        <v>19</v>
      </c>
      <c r="L6" s="27" t="s">
        <v>21</v>
      </c>
      <c r="M6" s="12"/>
      <c r="N6" s="11" t="s">
        <v>19</v>
      </c>
      <c r="O6" s="27" t="s">
        <v>21</v>
      </c>
      <c r="P6" s="10"/>
      <c r="Q6" s="11" t="s">
        <v>19</v>
      </c>
      <c r="R6" s="28" t="s">
        <v>21</v>
      </c>
      <c r="S6" s="10"/>
      <c r="T6" s="11" t="s">
        <v>19</v>
      </c>
      <c r="U6" s="28" t="s">
        <v>21</v>
      </c>
    </row>
    <row r="7" spans="1:21" ht="12.9" customHeight="1">
      <c r="A7" s="29"/>
      <c r="B7" s="10"/>
      <c r="C7" s="10"/>
      <c r="D7" s="5"/>
      <c r="E7" s="11" t="s">
        <v>20</v>
      </c>
      <c r="F7" s="28"/>
      <c r="G7" s="5"/>
      <c r="H7" s="11" t="s">
        <v>20</v>
      </c>
      <c r="I7" s="28"/>
      <c r="J7" s="5"/>
      <c r="K7" s="11" t="s">
        <v>20</v>
      </c>
      <c r="L7" s="28"/>
      <c r="M7" s="5"/>
      <c r="N7" s="11" t="s">
        <v>20</v>
      </c>
      <c r="O7" s="28"/>
      <c r="P7" s="10"/>
      <c r="Q7" s="11" t="s">
        <v>20</v>
      </c>
      <c r="R7" s="28"/>
      <c r="S7" s="10"/>
      <c r="T7" s="11" t="s">
        <v>20</v>
      </c>
      <c r="U7" s="28"/>
    </row>
    <row r="8" spans="1:21" ht="8.1" customHeight="1">
      <c r="A8" s="8"/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P8" s="8"/>
      <c r="Q8" s="4"/>
      <c r="R8" s="4"/>
      <c r="S8" s="8"/>
      <c r="T8" s="4"/>
      <c r="U8" s="4"/>
    </row>
    <row r="9" spans="1:21" ht="12.9" customHeight="1">
      <c r="A9" s="8" t="s">
        <v>7</v>
      </c>
      <c r="B9" s="7">
        <f>E9+H9+K9+N9+Q9</f>
        <v>1167</v>
      </c>
      <c r="C9" s="7">
        <f>F9+I9+L9+O9+R9</f>
        <v>639236</v>
      </c>
      <c r="D9" s="15"/>
      <c r="E9" s="7">
        <f>SUM(E11:E18)</f>
        <v>563</v>
      </c>
      <c r="F9" s="7">
        <f>SUM(F11:F18)</f>
        <v>143009</v>
      </c>
      <c r="G9" s="15"/>
      <c r="H9" s="7">
        <f>SUM(H11:H18)</f>
        <v>179</v>
      </c>
      <c r="I9" s="7">
        <f>SUM(I11:I18)</f>
        <v>99253</v>
      </c>
      <c r="J9" s="15"/>
      <c r="K9" s="7">
        <f>SUM(K11:K18)</f>
        <v>46</v>
      </c>
      <c r="L9" s="7">
        <f>SUM(L11:L18)</f>
        <v>28226</v>
      </c>
      <c r="M9" s="15"/>
      <c r="N9" s="7">
        <f>SUM(N11:N18)</f>
        <v>8</v>
      </c>
      <c r="O9" s="7">
        <f>SUM(O11:O18)</f>
        <v>52354</v>
      </c>
      <c r="P9" s="16"/>
      <c r="Q9" s="7">
        <f>SUM(Q11:Q18)</f>
        <v>371</v>
      </c>
      <c r="R9" s="7">
        <f>SUM(R11:R18)</f>
        <v>316394</v>
      </c>
      <c r="S9" s="16"/>
      <c r="T9" s="7" t="s">
        <v>24</v>
      </c>
      <c r="U9" s="7" t="s">
        <v>24</v>
      </c>
    </row>
    <row r="10" spans="1:21" ht="9.15" customHeight="1">
      <c r="A10" s="8"/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1" ht="12.9" customHeight="1">
      <c r="A11" s="8" t="s">
        <v>12</v>
      </c>
      <c r="B11" s="7">
        <f>E11+H11+K11+N11+Q11</f>
        <v>250</v>
      </c>
      <c r="C11" s="7">
        <f>F11+I11+L11+O11+R11</f>
        <v>3257</v>
      </c>
      <c r="D11" s="17"/>
      <c r="E11" s="6">
        <v>151</v>
      </c>
      <c r="F11" s="6">
        <v>1794</v>
      </c>
      <c r="G11" s="17"/>
      <c r="H11" s="6">
        <v>29</v>
      </c>
      <c r="I11" s="6">
        <v>308</v>
      </c>
      <c r="J11" s="17"/>
      <c r="K11" s="6">
        <v>6</v>
      </c>
      <c r="L11" s="6">
        <v>65</v>
      </c>
      <c r="M11" s="17"/>
      <c r="N11" s="6">
        <v>5</v>
      </c>
      <c r="O11" s="6">
        <v>298</v>
      </c>
      <c r="P11" s="6"/>
      <c r="Q11" s="6">
        <v>59</v>
      </c>
      <c r="R11" s="6">
        <v>792</v>
      </c>
      <c r="S11" s="6"/>
      <c r="T11" s="6" t="s">
        <v>24</v>
      </c>
      <c r="U11" s="6" t="s">
        <v>24</v>
      </c>
    </row>
    <row r="12" spans="1:21" ht="12.9" customHeight="1">
      <c r="A12" s="8" t="s">
        <v>13</v>
      </c>
      <c r="B12" s="7">
        <f t="shared" ref="B12:C14" si="0">E12+H12+K12+Q12</f>
        <v>263</v>
      </c>
      <c r="C12" s="7">
        <f t="shared" si="0"/>
        <v>10372</v>
      </c>
      <c r="D12" s="17"/>
      <c r="E12" s="6">
        <v>146</v>
      </c>
      <c r="F12" s="6">
        <v>6025</v>
      </c>
      <c r="G12" s="17"/>
      <c r="H12" s="6">
        <v>32</v>
      </c>
      <c r="I12" s="6">
        <v>1107</v>
      </c>
      <c r="J12" s="17"/>
      <c r="K12" s="6">
        <v>4</v>
      </c>
      <c r="L12" s="6">
        <v>150</v>
      </c>
      <c r="M12" s="17"/>
      <c r="N12" s="6" t="s">
        <v>24</v>
      </c>
      <c r="O12" s="6" t="s">
        <v>24</v>
      </c>
      <c r="P12" s="6"/>
      <c r="Q12" s="6">
        <v>81</v>
      </c>
      <c r="R12" s="6">
        <v>3090</v>
      </c>
      <c r="S12" s="6"/>
      <c r="T12" s="6" t="s">
        <v>24</v>
      </c>
      <c r="U12" s="6" t="s">
        <v>24</v>
      </c>
    </row>
    <row r="13" spans="1:21" ht="12.9" customHeight="1">
      <c r="A13" s="8" t="s">
        <v>14</v>
      </c>
      <c r="B13" s="7">
        <f t="shared" si="0"/>
        <v>97</v>
      </c>
      <c r="C13" s="7">
        <f t="shared" si="0"/>
        <v>7022</v>
      </c>
      <c r="D13" s="17"/>
      <c r="E13" s="6">
        <v>56</v>
      </c>
      <c r="F13" s="6">
        <v>4109</v>
      </c>
      <c r="G13" s="17"/>
      <c r="H13" s="6">
        <v>14</v>
      </c>
      <c r="I13" s="6">
        <v>1099</v>
      </c>
      <c r="J13" s="17"/>
      <c r="K13" s="6">
        <v>2</v>
      </c>
      <c r="L13" s="6">
        <v>184</v>
      </c>
      <c r="M13" s="17"/>
      <c r="N13" s="6" t="s">
        <v>24</v>
      </c>
      <c r="O13" s="6" t="s">
        <v>24</v>
      </c>
      <c r="P13" s="6"/>
      <c r="Q13" s="6">
        <v>25</v>
      </c>
      <c r="R13" s="6">
        <v>1630</v>
      </c>
      <c r="S13" s="6"/>
      <c r="T13" s="6" t="s">
        <v>24</v>
      </c>
      <c r="U13" s="6" t="s">
        <v>24</v>
      </c>
    </row>
    <row r="14" spans="1:21" ht="12.9" customHeight="1">
      <c r="A14" s="8" t="s">
        <v>15</v>
      </c>
      <c r="B14" s="7">
        <f t="shared" si="0"/>
        <v>128</v>
      </c>
      <c r="C14" s="7">
        <f t="shared" si="0"/>
        <v>13260</v>
      </c>
      <c r="D14" s="17"/>
      <c r="E14" s="6">
        <v>67</v>
      </c>
      <c r="F14" s="6">
        <v>6487</v>
      </c>
      <c r="G14" s="17"/>
      <c r="H14" s="6">
        <v>29</v>
      </c>
      <c r="I14" s="6">
        <v>3194</v>
      </c>
      <c r="J14" s="17"/>
      <c r="K14" s="6">
        <v>2</v>
      </c>
      <c r="L14" s="6">
        <v>190</v>
      </c>
      <c r="M14" s="17"/>
      <c r="N14" s="6" t="s">
        <v>24</v>
      </c>
      <c r="O14" s="6" t="s">
        <v>24</v>
      </c>
      <c r="P14" s="6"/>
      <c r="Q14" s="6">
        <v>30</v>
      </c>
      <c r="R14" s="6">
        <v>3389</v>
      </c>
      <c r="S14" s="6"/>
      <c r="T14" s="6" t="s">
        <v>24</v>
      </c>
      <c r="U14" s="6" t="s">
        <v>24</v>
      </c>
    </row>
    <row r="15" spans="1:21" ht="12.9" customHeight="1">
      <c r="A15" s="8" t="s">
        <v>16</v>
      </c>
      <c r="B15" s="7">
        <f>E15+H15+K15+N15+Q15</f>
        <v>201</v>
      </c>
      <c r="C15" s="7">
        <f>F15+I15+L15+O15+R15</f>
        <v>48735</v>
      </c>
      <c r="D15" s="17"/>
      <c r="E15" s="6">
        <v>83</v>
      </c>
      <c r="F15" s="6">
        <v>16676</v>
      </c>
      <c r="G15" s="17"/>
      <c r="H15" s="6">
        <v>34</v>
      </c>
      <c r="I15" s="6">
        <v>8464</v>
      </c>
      <c r="J15" s="17"/>
      <c r="K15" s="6">
        <v>22</v>
      </c>
      <c r="L15" s="6">
        <v>7641</v>
      </c>
      <c r="M15" s="17"/>
      <c r="N15" s="6">
        <v>2</v>
      </c>
      <c r="O15" s="6">
        <v>786</v>
      </c>
      <c r="P15" s="6"/>
      <c r="Q15" s="6">
        <v>60</v>
      </c>
      <c r="R15" s="6">
        <v>15168</v>
      </c>
      <c r="S15" s="6"/>
      <c r="T15" s="6" t="s">
        <v>24</v>
      </c>
      <c r="U15" s="6" t="s">
        <v>24</v>
      </c>
    </row>
    <row r="16" spans="1:21" ht="12.9" customHeight="1">
      <c r="A16" s="8" t="s">
        <v>17</v>
      </c>
      <c r="B16" s="7">
        <f>E16+H16+K16+Q16</f>
        <v>64</v>
      </c>
      <c r="C16" s="7">
        <f>F16+I16+L16+R16</f>
        <v>37352</v>
      </c>
      <c r="D16" s="17"/>
      <c r="E16" s="6">
        <v>18</v>
      </c>
      <c r="F16" s="6">
        <v>11438</v>
      </c>
      <c r="G16" s="17"/>
      <c r="H16" s="6">
        <v>23</v>
      </c>
      <c r="I16" s="6">
        <v>12609</v>
      </c>
      <c r="J16" s="17"/>
      <c r="K16" s="6">
        <v>4</v>
      </c>
      <c r="L16" s="6">
        <v>3293</v>
      </c>
      <c r="M16" s="17"/>
      <c r="N16" s="6" t="s">
        <v>24</v>
      </c>
      <c r="O16" s="6" t="s">
        <v>24</v>
      </c>
      <c r="P16" s="6"/>
      <c r="Q16" s="6">
        <v>19</v>
      </c>
      <c r="R16" s="6">
        <v>10012</v>
      </c>
      <c r="S16" s="6"/>
      <c r="T16" s="6" t="s">
        <v>24</v>
      </c>
      <c r="U16" s="6" t="s">
        <v>24</v>
      </c>
    </row>
    <row r="17" spans="1:21" ht="12.9" customHeight="1">
      <c r="A17" s="8" t="s">
        <v>18</v>
      </c>
      <c r="B17" s="7">
        <f>E17+H17+K17+Q17</f>
        <v>70</v>
      </c>
      <c r="C17" s="7">
        <f>F17+I17+L17+R17</f>
        <v>89377</v>
      </c>
      <c r="D17" s="17"/>
      <c r="E17" s="6">
        <v>20</v>
      </c>
      <c r="F17" s="6">
        <v>25880</v>
      </c>
      <c r="G17" s="17"/>
      <c r="H17" s="6">
        <v>7</v>
      </c>
      <c r="I17" s="6">
        <v>6314</v>
      </c>
      <c r="J17" s="17"/>
      <c r="K17" s="6">
        <v>2</v>
      </c>
      <c r="L17" s="6">
        <v>3199</v>
      </c>
      <c r="M17" s="17"/>
      <c r="N17" s="6" t="s">
        <v>24</v>
      </c>
      <c r="O17" s="6" t="s">
        <v>24</v>
      </c>
      <c r="P17" s="6"/>
      <c r="Q17" s="6">
        <v>41</v>
      </c>
      <c r="R17" s="6">
        <v>53984</v>
      </c>
      <c r="S17" s="6"/>
      <c r="T17" s="6" t="s">
        <v>24</v>
      </c>
      <c r="U17" s="6" t="s">
        <v>24</v>
      </c>
    </row>
    <row r="18" spans="1:21" ht="12.9" customHeight="1">
      <c r="A18" s="8" t="s">
        <v>11</v>
      </c>
      <c r="B18" s="7">
        <f>E18+H18+K18+N18+Q18</f>
        <v>94</v>
      </c>
      <c r="C18" s="7">
        <f>F18+I18+L18+O18+R18</f>
        <v>429861</v>
      </c>
      <c r="D18" s="17"/>
      <c r="E18" s="6">
        <v>22</v>
      </c>
      <c r="F18" s="6">
        <v>70600</v>
      </c>
      <c r="G18" s="17"/>
      <c r="H18" s="6">
        <v>11</v>
      </c>
      <c r="I18" s="6">
        <v>66158</v>
      </c>
      <c r="J18" s="17"/>
      <c r="K18" s="6">
        <v>4</v>
      </c>
      <c r="L18" s="6">
        <v>13504</v>
      </c>
      <c r="M18" s="17"/>
      <c r="N18" s="6">
        <v>1</v>
      </c>
      <c r="O18" s="6">
        <v>51270</v>
      </c>
      <c r="P18" s="6"/>
      <c r="Q18" s="6">
        <v>56</v>
      </c>
      <c r="R18" s="6">
        <v>228329</v>
      </c>
      <c r="S18" s="6"/>
      <c r="T18" s="6" t="s">
        <v>24</v>
      </c>
      <c r="U18" s="6" t="s">
        <v>24</v>
      </c>
    </row>
    <row r="19" spans="1:21" ht="9.15" customHeight="1">
      <c r="A19" s="8"/>
      <c r="B19" s="18"/>
      <c r="C19" s="19"/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8"/>
      <c r="Q19" s="9"/>
      <c r="R19" s="9"/>
      <c r="S19" s="8"/>
      <c r="T19" s="9"/>
      <c r="U19" s="9"/>
    </row>
    <row r="20" spans="1:21" ht="12.9" customHeight="1">
      <c r="A20" s="127" t="s">
        <v>8</v>
      </c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</row>
    <row r="21" spans="1:21" ht="12.9" customHeight="1">
      <c r="A21" s="127" t="s">
        <v>32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</row>
    <row r="22" spans="1:21" ht="12.9" customHeight="1">
      <c r="A22" s="127" t="s">
        <v>9</v>
      </c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</row>
  </sheetData>
  <mergeCells count="12">
    <mergeCell ref="A1:U2"/>
    <mergeCell ref="A20:U20"/>
    <mergeCell ref="A21:U21"/>
    <mergeCell ref="A22:U22"/>
    <mergeCell ref="B4:C4"/>
    <mergeCell ref="E4:U4"/>
    <mergeCell ref="E5:F5"/>
    <mergeCell ref="H5:I5"/>
    <mergeCell ref="K5:L5"/>
    <mergeCell ref="N5:O5"/>
    <mergeCell ref="P5:R5"/>
    <mergeCell ref="S5:U5"/>
  </mergeCells>
  <pageMargins left="0.7" right="0.7" top="0.75" bottom="0.75" header="0.3" footer="0.3"/>
  <ignoredErrors>
    <ignoredError sqref="B15:C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showGridLines="0" workbookViewId="0"/>
  </sheetViews>
  <sheetFormatPr baseColWidth="10" defaultColWidth="9.6640625" defaultRowHeight="15"/>
  <cols>
    <col min="1" max="1" width="13.6640625" style="22" customWidth="1"/>
    <col min="2" max="2" width="5.58203125" style="20" customWidth="1"/>
    <col min="3" max="3" width="6.6640625" style="20" customWidth="1"/>
    <col min="4" max="4" width="0.9140625" style="20" customWidth="1"/>
    <col min="5" max="5" width="5.9140625" style="20" customWidth="1"/>
    <col min="6" max="6" width="6.9140625" style="20" customWidth="1"/>
    <col min="7" max="7" width="0.9140625" style="20" customWidth="1"/>
    <col min="8" max="8" width="5.58203125" style="20" customWidth="1"/>
    <col min="9" max="9" width="6.6640625" style="20" customWidth="1"/>
    <col min="10" max="10" width="0.9140625" style="20" customWidth="1"/>
    <col min="11" max="11" width="5.58203125" style="20" customWidth="1"/>
    <col min="12" max="12" width="6.6640625" style="20" customWidth="1"/>
    <col min="13" max="13" width="1" style="21" customWidth="1"/>
    <col min="14" max="14" width="6.33203125" style="20" customWidth="1"/>
    <col min="15" max="15" width="6.6640625" style="20" customWidth="1"/>
    <col min="16" max="16" width="0.6640625" style="24" customWidth="1"/>
    <col min="17" max="17" width="4.33203125" style="20" customWidth="1"/>
    <col min="18" max="18" width="6" style="21" customWidth="1"/>
    <col min="19" max="19" width="1" style="22" customWidth="1"/>
    <col min="20" max="20" width="5" style="22" customWidth="1"/>
    <col min="21" max="21" width="7.6640625" style="22" customWidth="1"/>
    <col min="22" max="22" width="8.4140625" style="22" customWidth="1"/>
    <col min="23" max="16384" width="9.6640625" style="22"/>
  </cols>
  <sheetData>
    <row r="1" spans="1:21" ht="15" customHeight="1">
      <c r="A1" s="23" t="s">
        <v>35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5" customHeight="1">
      <c r="A2" s="23" t="s">
        <v>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2.9" customHeight="1">
      <c r="A4" s="29" t="s">
        <v>10</v>
      </c>
      <c r="B4" s="129" t="s">
        <v>5</v>
      </c>
      <c r="C4" s="129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1" s="10" customFormat="1" ht="27.15" customHeight="1">
      <c r="A5" s="29"/>
      <c r="B5" s="11" t="s">
        <v>19</v>
      </c>
      <c r="C5" s="27" t="s">
        <v>21</v>
      </c>
      <c r="D5" s="12"/>
      <c r="E5" s="131" t="s">
        <v>3</v>
      </c>
      <c r="F5" s="131"/>
      <c r="G5" s="5"/>
      <c r="H5" s="131" t="s">
        <v>0</v>
      </c>
      <c r="I5" s="131"/>
      <c r="J5" s="13"/>
      <c r="K5" s="131" t="s">
        <v>2</v>
      </c>
      <c r="L5" s="131"/>
      <c r="M5" s="14"/>
      <c r="N5" s="131" t="s">
        <v>1</v>
      </c>
      <c r="O5" s="131"/>
      <c r="P5" s="132" t="s">
        <v>34</v>
      </c>
      <c r="Q5" s="133"/>
      <c r="R5" s="133"/>
      <c r="S5" s="132" t="s">
        <v>4</v>
      </c>
      <c r="T5" s="133"/>
      <c r="U5" s="133"/>
    </row>
    <row r="6" spans="1:21" ht="12.9" customHeight="1">
      <c r="A6" s="29"/>
      <c r="B6" s="11" t="s">
        <v>20</v>
      </c>
      <c r="C6" s="28"/>
      <c r="D6" s="12"/>
      <c r="E6" s="11" t="s">
        <v>19</v>
      </c>
      <c r="F6" s="27" t="s">
        <v>21</v>
      </c>
      <c r="G6" s="12"/>
      <c r="H6" s="11" t="s">
        <v>19</v>
      </c>
      <c r="I6" s="27" t="s">
        <v>21</v>
      </c>
      <c r="J6" s="12"/>
      <c r="K6" s="11" t="s">
        <v>19</v>
      </c>
      <c r="L6" s="27" t="s">
        <v>21</v>
      </c>
      <c r="M6" s="12"/>
      <c r="N6" s="11" t="s">
        <v>19</v>
      </c>
      <c r="O6" s="27" t="s">
        <v>21</v>
      </c>
      <c r="P6" s="10"/>
      <c r="Q6" s="11" t="s">
        <v>19</v>
      </c>
      <c r="R6" s="28" t="s">
        <v>21</v>
      </c>
      <c r="S6" s="10"/>
      <c r="T6" s="11" t="s">
        <v>19</v>
      </c>
      <c r="U6" s="28" t="s">
        <v>21</v>
      </c>
    </row>
    <row r="7" spans="1:21" ht="12.9" customHeight="1">
      <c r="A7" s="29"/>
      <c r="B7" s="10"/>
      <c r="C7" s="10"/>
      <c r="D7" s="5"/>
      <c r="E7" s="11" t="s">
        <v>20</v>
      </c>
      <c r="F7" s="28"/>
      <c r="G7" s="5"/>
      <c r="H7" s="11" t="s">
        <v>20</v>
      </c>
      <c r="I7" s="28"/>
      <c r="J7" s="5"/>
      <c r="K7" s="11" t="s">
        <v>20</v>
      </c>
      <c r="L7" s="28"/>
      <c r="M7" s="5"/>
      <c r="N7" s="11" t="s">
        <v>20</v>
      </c>
      <c r="O7" s="28"/>
      <c r="P7" s="10"/>
      <c r="Q7" s="11" t="s">
        <v>20</v>
      </c>
      <c r="R7" s="28"/>
      <c r="S7" s="10"/>
      <c r="T7" s="11" t="s">
        <v>20</v>
      </c>
      <c r="U7" s="28"/>
    </row>
    <row r="8" spans="1:21" ht="9.15" customHeight="1">
      <c r="A8" s="8"/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P8" s="8"/>
      <c r="Q8" s="4"/>
      <c r="R8" s="4"/>
      <c r="S8" s="8"/>
      <c r="T8" s="4"/>
      <c r="U8" s="4"/>
    </row>
    <row r="9" spans="1:21" ht="12.9" customHeight="1">
      <c r="A9" s="8" t="s">
        <v>7</v>
      </c>
      <c r="B9" s="7">
        <f>E9+H9+K9+N9+Q9</f>
        <v>1043</v>
      </c>
      <c r="C9" s="7">
        <f>F9+I9+L9+O9+R9</f>
        <v>604347.51</v>
      </c>
      <c r="D9" s="15"/>
      <c r="E9" s="7">
        <f>SUM(E11:E18)</f>
        <v>693</v>
      </c>
      <c r="F9" s="7">
        <f>SUM(F11:F18)</f>
        <v>243906.33000000002</v>
      </c>
      <c r="G9" s="15"/>
      <c r="H9" s="7">
        <f>SUM(H11:H18)</f>
        <v>132</v>
      </c>
      <c r="I9" s="7">
        <f>SUM(I11:I18)</f>
        <v>74423.78</v>
      </c>
      <c r="J9" s="15"/>
      <c r="K9" s="7">
        <f>SUM(K11:K18)</f>
        <v>23</v>
      </c>
      <c r="L9" s="7">
        <f>SUM(L11:L18)</f>
        <v>21913</v>
      </c>
      <c r="M9" s="15"/>
      <c r="N9" s="7">
        <f>SUM(N11:N18)</f>
        <v>5</v>
      </c>
      <c r="O9" s="7">
        <f>SUM(O11:O18)</f>
        <v>838</v>
      </c>
      <c r="P9" s="16"/>
      <c r="Q9" s="7">
        <f>SUM(Q11:Q18)</f>
        <v>190</v>
      </c>
      <c r="R9" s="7">
        <f>SUM(R11:R18)</f>
        <v>263266.40000000002</v>
      </c>
      <c r="S9" s="16"/>
      <c r="T9" s="7" t="s">
        <v>24</v>
      </c>
      <c r="U9" s="7" t="s">
        <v>24</v>
      </c>
    </row>
    <row r="10" spans="1:21" ht="9.15" customHeight="1">
      <c r="A10" s="8"/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1" ht="12.9" customHeight="1">
      <c r="A11" s="8" t="s">
        <v>12</v>
      </c>
      <c r="B11" s="7">
        <f t="shared" ref="B11:C16" si="0">E11+H11+K11+N11+Q11</f>
        <v>206</v>
      </c>
      <c r="C11" s="7">
        <f t="shared" si="0"/>
        <v>2330.8999999999996</v>
      </c>
      <c r="D11" s="17"/>
      <c r="E11" s="6">
        <v>152</v>
      </c>
      <c r="F11" s="6">
        <v>1620.3999999999999</v>
      </c>
      <c r="G11" s="17"/>
      <c r="H11" s="6">
        <v>19</v>
      </c>
      <c r="I11" s="6">
        <v>210</v>
      </c>
      <c r="J11" s="17"/>
      <c r="K11" s="6">
        <v>2</v>
      </c>
      <c r="L11" s="6">
        <v>19</v>
      </c>
      <c r="M11" s="17"/>
      <c r="N11" s="6">
        <v>2</v>
      </c>
      <c r="O11" s="6">
        <v>41</v>
      </c>
      <c r="P11" s="6"/>
      <c r="Q11" s="6">
        <v>31</v>
      </c>
      <c r="R11" s="6">
        <v>440.5</v>
      </c>
      <c r="S11" s="6"/>
      <c r="T11" s="6" t="s">
        <v>24</v>
      </c>
      <c r="U11" s="6" t="s">
        <v>24</v>
      </c>
    </row>
    <row r="12" spans="1:21" ht="12.9" customHeight="1">
      <c r="A12" s="8" t="s">
        <v>13</v>
      </c>
      <c r="B12" s="7">
        <f t="shared" si="0"/>
        <v>230</v>
      </c>
      <c r="C12" s="7">
        <f t="shared" si="0"/>
        <v>9216.73</v>
      </c>
      <c r="D12" s="17"/>
      <c r="E12" s="6">
        <v>180</v>
      </c>
      <c r="F12" s="6">
        <v>7232.93</v>
      </c>
      <c r="G12" s="17"/>
      <c r="H12" s="6">
        <v>19</v>
      </c>
      <c r="I12" s="6">
        <v>770</v>
      </c>
      <c r="J12" s="17"/>
      <c r="K12" s="6">
        <v>5</v>
      </c>
      <c r="L12" s="6">
        <v>62</v>
      </c>
      <c r="M12" s="17"/>
      <c r="N12" s="6">
        <v>1</v>
      </c>
      <c r="O12" s="6">
        <v>36</v>
      </c>
      <c r="P12" s="6"/>
      <c r="Q12" s="6">
        <v>25</v>
      </c>
      <c r="R12" s="6">
        <v>1115.8</v>
      </c>
      <c r="S12" s="6"/>
      <c r="T12" s="6" t="s">
        <v>24</v>
      </c>
      <c r="U12" s="6" t="s">
        <v>24</v>
      </c>
    </row>
    <row r="13" spans="1:21" ht="12.9" customHeight="1">
      <c r="A13" s="8" t="s">
        <v>14</v>
      </c>
      <c r="B13" s="7">
        <f>+E13+H13+K13+Q13</f>
        <v>109</v>
      </c>
      <c r="C13" s="7">
        <f>+F13+I13+L13+R13</f>
        <v>7658.1</v>
      </c>
      <c r="D13" s="17"/>
      <c r="E13" s="6">
        <v>78</v>
      </c>
      <c r="F13" s="6">
        <v>5541</v>
      </c>
      <c r="G13" s="17"/>
      <c r="H13" s="6">
        <v>13</v>
      </c>
      <c r="I13" s="6">
        <v>847.8</v>
      </c>
      <c r="J13" s="17"/>
      <c r="K13" s="6">
        <v>1</v>
      </c>
      <c r="L13" s="6">
        <v>100</v>
      </c>
      <c r="M13" s="17"/>
      <c r="N13" s="6" t="s">
        <v>24</v>
      </c>
      <c r="O13" s="6" t="s">
        <v>24</v>
      </c>
      <c r="P13" s="6"/>
      <c r="Q13" s="6">
        <v>17</v>
      </c>
      <c r="R13" s="6">
        <v>1169.3</v>
      </c>
      <c r="S13" s="6"/>
      <c r="T13" s="6" t="s">
        <v>24</v>
      </c>
      <c r="U13" s="6" t="s">
        <v>24</v>
      </c>
    </row>
    <row r="14" spans="1:21" ht="12.9" customHeight="1">
      <c r="A14" s="8" t="s">
        <v>15</v>
      </c>
      <c r="B14" s="7">
        <f>+E14+H14+K14+Q14</f>
        <v>117</v>
      </c>
      <c r="C14" s="7">
        <f>+F14+I14+L14+R14</f>
        <v>12575.98</v>
      </c>
      <c r="D14" s="17"/>
      <c r="E14" s="6">
        <v>82</v>
      </c>
      <c r="F14" s="6">
        <v>8749</v>
      </c>
      <c r="G14" s="17"/>
      <c r="H14" s="6">
        <v>12</v>
      </c>
      <c r="I14" s="6">
        <v>1433.98</v>
      </c>
      <c r="J14" s="17"/>
      <c r="K14" s="6">
        <v>3</v>
      </c>
      <c r="L14" s="6">
        <v>448</v>
      </c>
      <c r="M14" s="17"/>
      <c r="N14" s="6" t="s">
        <v>24</v>
      </c>
      <c r="O14" s="6" t="s">
        <v>24</v>
      </c>
      <c r="P14" s="6"/>
      <c r="Q14" s="6">
        <v>20</v>
      </c>
      <c r="R14" s="6">
        <v>1945</v>
      </c>
      <c r="S14" s="6"/>
      <c r="T14" s="6" t="s">
        <v>24</v>
      </c>
      <c r="U14" s="6" t="s">
        <v>24</v>
      </c>
    </row>
    <row r="15" spans="1:21" ht="12.9" customHeight="1">
      <c r="A15" s="8" t="s">
        <v>16</v>
      </c>
      <c r="B15" s="7">
        <f t="shared" si="0"/>
        <v>156</v>
      </c>
      <c r="C15" s="7">
        <f t="shared" si="0"/>
        <v>35478</v>
      </c>
      <c r="D15" s="17"/>
      <c r="E15" s="6">
        <v>93</v>
      </c>
      <c r="F15" s="6">
        <v>18911</v>
      </c>
      <c r="G15" s="17"/>
      <c r="H15" s="6">
        <v>28</v>
      </c>
      <c r="I15" s="6">
        <v>7811</v>
      </c>
      <c r="J15" s="17"/>
      <c r="K15" s="6">
        <v>4</v>
      </c>
      <c r="L15" s="6">
        <v>1595</v>
      </c>
      <c r="M15" s="17"/>
      <c r="N15" s="6">
        <v>1</v>
      </c>
      <c r="O15" s="6">
        <v>259</v>
      </c>
      <c r="P15" s="6"/>
      <c r="Q15" s="6">
        <v>30</v>
      </c>
      <c r="R15" s="6">
        <v>6902</v>
      </c>
      <c r="S15" s="6"/>
      <c r="T15" s="6" t="s">
        <v>24</v>
      </c>
      <c r="U15" s="6" t="s">
        <v>24</v>
      </c>
    </row>
    <row r="16" spans="1:21" ht="12.9" customHeight="1">
      <c r="A16" s="8" t="s">
        <v>17</v>
      </c>
      <c r="B16" s="7">
        <f t="shared" si="0"/>
        <v>76</v>
      </c>
      <c r="C16" s="7">
        <f t="shared" si="0"/>
        <v>43039.8</v>
      </c>
      <c r="D16" s="17"/>
      <c r="E16" s="6">
        <v>37</v>
      </c>
      <c r="F16" s="6">
        <v>20655</v>
      </c>
      <c r="G16" s="17"/>
      <c r="H16" s="6">
        <v>19</v>
      </c>
      <c r="I16" s="6">
        <v>11165</v>
      </c>
      <c r="J16" s="17"/>
      <c r="K16" s="6">
        <v>3</v>
      </c>
      <c r="L16" s="6">
        <v>1233</v>
      </c>
      <c r="M16" s="17"/>
      <c r="N16" s="6">
        <v>1</v>
      </c>
      <c r="O16" s="6">
        <v>502</v>
      </c>
      <c r="P16" s="6"/>
      <c r="Q16" s="6">
        <v>16</v>
      </c>
      <c r="R16" s="6">
        <v>9484.7999999999993</v>
      </c>
      <c r="S16" s="6"/>
      <c r="T16" s="6" t="s">
        <v>24</v>
      </c>
      <c r="U16" s="6" t="s">
        <v>24</v>
      </c>
    </row>
    <row r="17" spans="1:21" ht="12.9" customHeight="1">
      <c r="A17" s="8" t="s">
        <v>18</v>
      </c>
      <c r="B17" s="7">
        <f>+E17+H17+K17+Q17</f>
        <v>67</v>
      </c>
      <c r="C17" s="7">
        <f>+F17+I17+L17+R17</f>
        <v>85817</v>
      </c>
      <c r="D17" s="17"/>
      <c r="E17" s="6">
        <v>32</v>
      </c>
      <c r="F17" s="6">
        <v>39084</v>
      </c>
      <c r="G17" s="17"/>
      <c r="H17" s="6">
        <v>12</v>
      </c>
      <c r="I17" s="6">
        <v>13349</v>
      </c>
      <c r="J17" s="17"/>
      <c r="K17" s="6">
        <v>1</v>
      </c>
      <c r="L17" s="6">
        <v>1783</v>
      </c>
      <c r="M17" s="17"/>
      <c r="N17" s="6" t="s">
        <v>24</v>
      </c>
      <c r="O17" s="6" t="s">
        <v>24</v>
      </c>
      <c r="P17" s="6"/>
      <c r="Q17" s="6">
        <v>22</v>
      </c>
      <c r="R17" s="6">
        <v>31601</v>
      </c>
      <c r="S17" s="6"/>
      <c r="T17" s="6" t="s">
        <v>24</v>
      </c>
      <c r="U17" s="6" t="s">
        <v>24</v>
      </c>
    </row>
    <row r="18" spans="1:21" ht="12.9" customHeight="1">
      <c r="A18" s="8" t="s">
        <v>11</v>
      </c>
      <c r="B18" s="7">
        <f>+E18+H18+K18+Q18</f>
        <v>82</v>
      </c>
      <c r="C18" s="7">
        <f>+F18+I18+L18+R18</f>
        <v>408231</v>
      </c>
      <c r="D18" s="17"/>
      <c r="E18" s="6">
        <v>39</v>
      </c>
      <c r="F18" s="6">
        <v>142113</v>
      </c>
      <c r="G18" s="17"/>
      <c r="H18" s="6">
        <v>10</v>
      </c>
      <c r="I18" s="6">
        <v>38837</v>
      </c>
      <c r="J18" s="17"/>
      <c r="K18" s="6">
        <v>4</v>
      </c>
      <c r="L18" s="6">
        <v>16673</v>
      </c>
      <c r="M18" s="17"/>
      <c r="N18" s="6" t="s">
        <v>24</v>
      </c>
      <c r="O18" s="6" t="s">
        <v>24</v>
      </c>
      <c r="P18" s="6"/>
      <c r="Q18" s="6">
        <v>29</v>
      </c>
      <c r="R18" s="6">
        <v>210608</v>
      </c>
      <c r="S18" s="6"/>
      <c r="T18" s="6" t="s">
        <v>24</v>
      </c>
      <c r="U18" s="6" t="s">
        <v>24</v>
      </c>
    </row>
    <row r="19" spans="1:21" ht="9.15" customHeight="1">
      <c r="A19" s="8"/>
      <c r="B19" s="7"/>
      <c r="C19" s="7"/>
      <c r="D19" s="17"/>
      <c r="E19" s="6"/>
      <c r="F19" s="6"/>
      <c r="G19" s="17"/>
      <c r="H19" s="6"/>
      <c r="I19" s="6"/>
      <c r="J19" s="17"/>
      <c r="K19" s="6"/>
      <c r="L19" s="6"/>
      <c r="M19" s="17"/>
      <c r="N19" s="6"/>
      <c r="O19" s="6"/>
      <c r="P19" s="6"/>
      <c r="Q19" s="6"/>
      <c r="R19" s="6"/>
      <c r="S19" s="6"/>
      <c r="T19" s="6"/>
      <c r="U19" s="6"/>
    </row>
    <row r="20" spans="1:21" ht="12.9" customHeight="1">
      <c r="A20" s="9" t="s">
        <v>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8"/>
      <c r="Q20" s="9"/>
      <c r="R20" s="9"/>
      <c r="S20" s="8"/>
      <c r="T20" s="9"/>
      <c r="U20" s="9"/>
    </row>
    <row r="21" spans="1:21" ht="12.9" customHeight="1">
      <c r="A21" s="9" t="s">
        <v>32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8"/>
      <c r="Q21" s="9"/>
      <c r="R21" s="9"/>
      <c r="S21" s="8"/>
      <c r="T21" s="9"/>
      <c r="U21" s="9"/>
    </row>
    <row r="22" spans="1:21" ht="12.9" customHeight="1">
      <c r="A22" s="9" t="s">
        <v>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8"/>
      <c r="Q22" s="9"/>
      <c r="R22" s="9"/>
      <c r="S22" s="8"/>
      <c r="T22" s="9"/>
      <c r="U22" s="9"/>
    </row>
    <row r="23" spans="1:21" ht="9.15" customHeight="1">
      <c r="A23" s="8"/>
      <c r="P23" s="22"/>
      <c r="T23" s="20"/>
      <c r="U23" s="21"/>
    </row>
  </sheetData>
  <mergeCells count="8">
    <mergeCell ref="K5:L5"/>
    <mergeCell ref="N5:O5"/>
    <mergeCell ref="P5:R5"/>
    <mergeCell ref="S5:U5"/>
    <mergeCell ref="B4:C4"/>
    <mergeCell ref="E4:U4"/>
    <mergeCell ref="E5:F5"/>
    <mergeCell ref="H5:I5"/>
  </mergeCells>
  <pageMargins left="0.7" right="0.7" top="0.75" bottom="0.75" header="0.3" footer="0.3"/>
  <pageSetup scale="6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U24"/>
  <sheetViews>
    <sheetView showGridLines="0" zoomScaleNormal="100" workbookViewId="0"/>
  </sheetViews>
  <sheetFormatPr baseColWidth="10" defaultColWidth="9.6640625" defaultRowHeight="15"/>
  <cols>
    <col min="1" max="1" width="13.6640625" style="22" customWidth="1"/>
    <col min="2" max="2" width="5.58203125" style="20" customWidth="1"/>
    <col min="3" max="3" width="6.6640625" style="20" customWidth="1"/>
    <col min="4" max="4" width="0.9140625" style="20" customWidth="1"/>
    <col min="5" max="5" width="5.9140625" style="20" customWidth="1"/>
    <col min="6" max="6" width="6.9140625" style="20" customWidth="1"/>
    <col min="7" max="7" width="0.9140625" style="20" customWidth="1"/>
    <col min="8" max="8" width="5.58203125" style="20" customWidth="1"/>
    <col min="9" max="9" width="6.6640625" style="20" customWidth="1"/>
    <col min="10" max="10" width="0.9140625" style="20" customWidth="1"/>
    <col min="11" max="11" width="5.58203125" style="20" customWidth="1"/>
    <col min="12" max="12" width="6.6640625" style="20" customWidth="1"/>
    <col min="13" max="13" width="1" style="21" customWidth="1"/>
    <col min="14" max="14" width="6.33203125" style="20" customWidth="1"/>
    <col min="15" max="15" width="6.6640625" style="20" customWidth="1"/>
    <col min="16" max="16" width="0.6640625" style="24" customWidth="1"/>
    <col min="17" max="17" width="4.33203125" style="20" customWidth="1"/>
    <col min="18" max="18" width="6" style="21" customWidth="1"/>
    <col min="19" max="19" width="1" style="22" customWidth="1"/>
    <col min="20" max="20" width="5" style="22" customWidth="1"/>
    <col min="21" max="21" width="7.6640625" style="22" customWidth="1"/>
    <col min="22" max="22" width="8.4140625" style="22" customWidth="1"/>
    <col min="23" max="16384" width="9.6640625" style="22"/>
  </cols>
  <sheetData>
    <row r="1" spans="1:21" ht="15" customHeight="1">
      <c r="A1" s="23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15" customHeight="1">
      <c r="A2" s="23" t="s">
        <v>23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1" ht="12.9" customHeight="1">
      <c r="A4" s="8" t="s">
        <v>10</v>
      </c>
      <c r="B4" s="137" t="s">
        <v>5</v>
      </c>
      <c r="C4" s="137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1" ht="12.9" customHeight="1">
      <c r="A5" s="8"/>
      <c r="B5" s="11" t="s">
        <v>19</v>
      </c>
      <c r="C5" s="135" t="s">
        <v>21</v>
      </c>
      <c r="D5" s="12"/>
      <c r="E5" s="137" t="s">
        <v>3</v>
      </c>
      <c r="F5" s="137"/>
      <c r="G5" s="5"/>
      <c r="H5" s="137" t="s">
        <v>0</v>
      </c>
      <c r="I5" s="137"/>
      <c r="J5" s="13"/>
      <c r="K5" s="137" t="s">
        <v>2</v>
      </c>
      <c r="L5" s="137"/>
      <c r="M5" s="14"/>
      <c r="N5" s="137" t="s">
        <v>1</v>
      </c>
      <c r="O5" s="137"/>
      <c r="P5" s="10"/>
      <c r="Q5" s="134" t="s">
        <v>25</v>
      </c>
      <c r="R5" s="134"/>
      <c r="S5" s="10"/>
      <c r="T5" s="134" t="s">
        <v>4</v>
      </c>
      <c r="U5" s="134"/>
    </row>
    <row r="6" spans="1:21" ht="12.9" customHeight="1">
      <c r="A6" s="10"/>
      <c r="B6" s="11" t="s">
        <v>20</v>
      </c>
      <c r="C6" s="136"/>
      <c r="D6" s="12"/>
      <c r="E6" s="11" t="s">
        <v>19</v>
      </c>
      <c r="F6" s="135" t="s">
        <v>21</v>
      </c>
      <c r="G6" s="12"/>
      <c r="H6" s="11" t="s">
        <v>19</v>
      </c>
      <c r="I6" s="135" t="s">
        <v>21</v>
      </c>
      <c r="J6" s="12"/>
      <c r="K6" s="11" t="s">
        <v>19</v>
      </c>
      <c r="L6" s="135" t="s">
        <v>21</v>
      </c>
      <c r="M6" s="12"/>
      <c r="N6" s="11" t="s">
        <v>19</v>
      </c>
      <c r="O6" s="135" t="s">
        <v>21</v>
      </c>
      <c r="P6" s="10"/>
      <c r="Q6" s="11" t="s">
        <v>19</v>
      </c>
      <c r="R6" s="135" t="s">
        <v>21</v>
      </c>
      <c r="S6" s="10"/>
      <c r="T6" s="11" t="s">
        <v>19</v>
      </c>
      <c r="U6" s="135" t="s">
        <v>21</v>
      </c>
    </row>
    <row r="7" spans="1:21" ht="12.9" customHeight="1">
      <c r="A7" s="10"/>
      <c r="B7" s="10"/>
      <c r="C7" s="10"/>
      <c r="D7" s="5"/>
      <c r="E7" s="11" t="s">
        <v>20</v>
      </c>
      <c r="F7" s="136"/>
      <c r="G7" s="5"/>
      <c r="H7" s="11" t="s">
        <v>20</v>
      </c>
      <c r="I7" s="136"/>
      <c r="J7" s="5"/>
      <c r="K7" s="11" t="s">
        <v>20</v>
      </c>
      <c r="L7" s="136"/>
      <c r="M7" s="5"/>
      <c r="N7" s="11" t="s">
        <v>20</v>
      </c>
      <c r="O7" s="136"/>
      <c r="P7" s="10"/>
      <c r="Q7" s="11" t="s">
        <v>20</v>
      </c>
      <c r="R7" s="136"/>
      <c r="S7" s="10"/>
      <c r="T7" s="11" t="s">
        <v>20</v>
      </c>
      <c r="U7" s="136"/>
    </row>
    <row r="8" spans="1:21" ht="9.15" customHeight="1">
      <c r="A8" s="8"/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P8" s="8"/>
      <c r="Q8" s="4"/>
      <c r="R8" s="4"/>
      <c r="S8" s="8"/>
      <c r="T8" s="4"/>
      <c r="U8" s="4"/>
    </row>
    <row r="9" spans="1:21" ht="12.9" customHeight="1">
      <c r="A9" s="8" t="s">
        <v>7</v>
      </c>
      <c r="B9" s="7">
        <f>SUM(B11:B19)</f>
        <v>779</v>
      </c>
      <c r="C9" s="7">
        <f>SUM(C11:C19)</f>
        <v>355831.81</v>
      </c>
      <c r="D9" s="15"/>
      <c r="E9" s="7">
        <f>SUM(E11:E19)</f>
        <v>495</v>
      </c>
      <c r="F9" s="7">
        <f>SUM(F11:F19)</f>
        <v>171818.81</v>
      </c>
      <c r="G9" s="15"/>
      <c r="H9" s="7">
        <f>SUM(H11:H19)</f>
        <v>140</v>
      </c>
      <c r="I9" s="7">
        <f>SUM(I11:I19)</f>
        <v>65395</v>
      </c>
      <c r="J9" s="15"/>
      <c r="K9" s="7">
        <f>SUM(K11:K19)</f>
        <v>15</v>
      </c>
      <c r="L9" s="7">
        <f>SUM(L11:L19)</f>
        <v>8603</v>
      </c>
      <c r="M9" s="15"/>
      <c r="N9" s="7">
        <f>SUM(N11:N19)</f>
        <v>4</v>
      </c>
      <c r="O9" s="7">
        <f>SUM(O11:O19)</f>
        <v>1663</v>
      </c>
      <c r="P9" s="16"/>
      <c r="Q9" s="7">
        <f>SUM(Q11:Q19)</f>
        <v>125</v>
      </c>
      <c r="R9" s="7">
        <f>SUM(R11:R19)</f>
        <v>108352</v>
      </c>
      <c r="S9" s="16"/>
      <c r="T9" s="7" t="s">
        <v>24</v>
      </c>
      <c r="U9" s="7" t="s">
        <v>24</v>
      </c>
    </row>
    <row r="10" spans="1:21" ht="9.15" customHeight="1">
      <c r="A10" s="8"/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1" ht="12.9" customHeight="1">
      <c r="A11" s="8" t="s">
        <v>12</v>
      </c>
      <c r="B11" s="7">
        <f>E11+H11+K11+N11+Q11+T11</f>
        <v>118</v>
      </c>
      <c r="C11" s="7">
        <f>F11+I11+L11+O11+R11+U11</f>
        <v>1719.11</v>
      </c>
      <c r="D11" s="17"/>
      <c r="E11" s="6">
        <v>86</v>
      </c>
      <c r="F11" s="6">
        <v>1269.1099999999999</v>
      </c>
      <c r="G11" s="17"/>
      <c r="H11" s="6">
        <v>15</v>
      </c>
      <c r="I11" s="6">
        <v>172</v>
      </c>
      <c r="J11" s="17"/>
      <c r="K11" s="6" t="s">
        <v>24</v>
      </c>
      <c r="L11" s="6" t="s">
        <v>24</v>
      </c>
      <c r="M11" s="17"/>
      <c r="N11" s="6" t="s">
        <v>24</v>
      </c>
      <c r="O11" s="6" t="s">
        <v>24</v>
      </c>
      <c r="P11" s="6"/>
      <c r="Q11" s="6">
        <v>17</v>
      </c>
      <c r="R11" s="6">
        <v>278</v>
      </c>
      <c r="S11" s="6"/>
      <c r="T11" s="6" t="s">
        <v>24</v>
      </c>
      <c r="U11" s="6" t="s">
        <v>24</v>
      </c>
    </row>
    <row r="12" spans="1:21" ht="12.9" customHeight="1">
      <c r="A12" s="8" t="s">
        <v>13</v>
      </c>
      <c r="B12" s="7">
        <f t="shared" ref="B12:B17" si="0">E12+H12+K12+N12+Q12+T12</f>
        <v>106</v>
      </c>
      <c r="C12" s="7">
        <f t="shared" ref="C12:C17" si="1">F12+I12+L12+O12+R12+U12</f>
        <v>5523.7</v>
      </c>
      <c r="D12" s="17"/>
      <c r="E12" s="6">
        <v>75</v>
      </c>
      <c r="F12" s="6">
        <v>3858.7</v>
      </c>
      <c r="G12" s="17"/>
      <c r="H12" s="6">
        <v>14</v>
      </c>
      <c r="I12" s="6">
        <v>789</v>
      </c>
      <c r="J12" s="17"/>
      <c r="K12" s="6">
        <v>2</v>
      </c>
      <c r="L12" s="6">
        <v>100</v>
      </c>
      <c r="M12" s="17"/>
      <c r="N12" s="6" t="s">
        <v>24</v>
      </c>
      <c r="O12" s="6" t="s">
        <v>24</v>
      </c>
      <c r="P12" s="6"/>
      <c r="Q12" s="6">
        <v>15</v>
      </c>
      <c r="R12" s="6">
        <v>776</v>
      </c>
      <c r="S12" s="6"/>
      <c r="T12" s="6" t="s">
        <v>24</v>
      </c>
      <c r="U12" s="6" t="s">
        <v>24</v>
      </c>
    </row>
    <row r="13" spans="1:21" ht="12.9" customHeight="1">
      <c r="A13" s="8" t="s">
        <v>14</v>
      </c>
      <c r="B13" s="7">
        <f t="shared" si="0"/>
        <v>39</v>
      </c>
      <c r="C13" s="7">
        <f t="shared" si="1"/>
        <v>3723</v>
      </c>
      <c r="D13" s="17"/>
      <c r="E13" s="6">
        <v>29</v>
      </c>
      <c r="F13" s="6">
        <v>2753</v>
      </c>
      <c r="G13" s="17"/>
      <c r="H13" s="6">
        <v>4</v>
      </c>
      <c r="I13" s="6">
        <v>369</v>
      </c>
      <c r="J13" s="17"/>
      <c r="K13" s="6" t="s">
        <v>24</v>
      </c>
      <c r="L13" s="6" t="s">
        <v>24</v>
      </c>
      <c r="M13" s="17"/>
      <c r="N13" s="6" t="s">
        <v>24</v>
      </c>
      <c r="O13" s="6" t="s">
        <v>24</v>
      </c>
      <c r="P13" s="6"/>
      <c r="Q13" s="6">
        <v>6</v>
      </c>
      <c r="R13" s="6">
        <v>601</v>
      </c>
      <c r="S13" s="6"/>
      <c r="T13" s="6" t="s">
        <v>24</v>
      </c>
      <c r="U13" s="6" t="s">
        <v>24</v>
      </c>
    </row>
    <row r="14" spans="1:21" ht="12.9" customHeight="1">
      <c r="A14" s="8" t="s">
        <v>15</v>
      </c>
      <c r="B14" s="7">
        <f t="shared" si="0"/>
        <v>49</v>
      </c>
      <c r="C14" s="7">
        <f t="shared" si="1"/>
        <v>7468</v>
      </c>
      <c r="D14" s="17"/>
      <c r="E14" s="6">
        <v>26</v>
      </c>
      <c r="F14" s="6">
        <v>3998</v>
      </c>
      <c r="G14" s="17"/>
      <c r="H14" s="6">
        <v>11</v>
      </c>
      <c r="I14" s="6">
        <v>1578</v>
      </c>
      <c r="J14" s="17"/>
      <c r="K14" s="6">
        <v>3</v>
      </c>
      <c r="L14" s="6">
        <v>491</v>
      </c>
      <c r="M14" s="17"/>
      <c r="N14" s="6" t="s">
        <v>24</v>
      </c>
      <c r="O14" s="6" t="s">
        <v>24</v>
      </c>
      <c r="P14" s="6"/>
      <c r="Q14" s="6">
        <v>9</v>
      </c>
      <c r="R14" s="6">
        <v>1401</v>
      </c>
      <c r="S14" s="6"/>
      <c r="T14" s="6" t="s">
        <v>24</v>
      </c>
      <c r="U14" s="6" t="s">
        <v>24</v>
      </c>
    </row>
    <row r="15" spans="1:21" ht="12.9" customHeight="1">
      <c r="A15" s="8" t="s">
        <v>16</v>
      </c>
      <c r="B15" s="7">
        <f t="shared" si="0"/>
        <v>75</v>
      </c>
      <c r="C15" s="7">
        <f t="shared" si="1"/>
        <v>23943</v>
      </c>
      <c r="D15" s="17"/>
      <c r="E15" s="6">
        <v>36</v>
      </c>
      <c r="F15" s="6">
        <v>10852</v>
      </c>
      <c r="G15" s="17"/>
      <c r="H15" s="6">
        <v>17</v>
      </c>
      <c r="I15" s="6">
        <v>5759</v>
      </c>
      <c r="J15" s="17"/>
      <c r="K15" s="6">
        <v>4</v>
      </c>
      <c r="L15" s="6">
        <v>1375</v>
      </c>
      <c r="M15" s="17"/>
      <c r="N15" s="25">
        <v>3</v>
      </c>
      <c r="O15" s="6">
        <v>1162</v>
      </c>
      <c r="P15" s="6"/>
      <c r="Q15" s="6">
        <v>15</v>
      </c>
      <c r="R15" s="6">
        <v>4795</v>
      </c>
      <c r="S15" s="6"/>
      <c r="T15" s="6" t="s">
        <v>24</v>
      </c>
      <c r="U15" s="6" t="s">
        <v>24</v>
      </c>
    </row>
    <row r="16" spans="1:21" ht="12.9" customHeight="1">
      <c r="A16" s="8" t="s">
        <v>17</v>
      </c>
      <c r="B16" s="7">
        <f t="shared" si="0"/>
        <v>27</v>
      </c>
      <c r="C16" s="7">
        <f t="shared" si="1"/>
        <v>20854</v>
      </c>
      <c r="D16" s="17"/>
      <c r="E16" s="6">
        <v>15</v>
      </c>
      <c r="F16" s="6">
        <v>11685</v>
      </c>
      <c r="G16" s="17"/>
      <c r="H16" s="6">
        <v>5</v>
      </c>
      <c r="I16" s="6">
        <v>3535</v>
      </c>
      <c r="J16" s="17"/>
      <c r="K16" s="6">
        <v>1</v>
      </c>
      <c r="L16" s="6">
        <v>939</v>
      </c>
      <c r="M16" s="17"/>
      <c r="N16" s="6">
        <v>1</v>
      </c>
      <c r="O16" s="6">
        <v>501</v>
      </c>
      <c r="P16" s="6"/>
      <c r="Q16" s="6">
        <v>5</v>
      </c>
      <c r="R16" s="6">
        <v>4194</v>
      </c>
      <c r="S16" s="6"/>
      <c r="T16" s="6" t="s">
        <v>24</v>
      </c>
      <c r="U16" s="6" t="s">
        <v>24</v>
      </c>
    </row>
    <row r="17" spans="1:21" ht="12.9" customHeight="1">
      <c r="A17" s="8" t="s">
        <v>18</v>
      </c>
      <c r="B17" s="7">
        <f t="shared" si="0"/>
        <v>37</v>
      </c>
      <c r="C17" s="7">
        <f t="shared" si="1"/>
        <v>53534</v>
      </c>
      <c r="D17" s="17"/>
      <c r="E17" s="6">
        <v>22</v>
      </c>
      <c r="F17" s="6">
        <v>32445</v>
      </c>
      <c r="G17" s="17"/>
      <c r="H17" s="6">
        <v>7</v>
      </c>
      <c r="I17" s="6">
        <v>10193</v>
      </c>
      <c r="J17" s="17"/>
      <c r="K17" s="6" t="s">
        <v>24</v>
      </c>
      <c r="L17" s="6" t="s">
        <v>24</v>
      </c>
      <c r="M17" s="17"/>
      <c r="N17" s="6" t="s">
        <v>24</v>
      </c>
      <c r="O17" s="6" t="s">
        <v>24</v>
      </c>
      <c r="P17" s="6"/>
      <c r="Q17" s="6">
        <v>8</v>
      </c>
      <c r="R17" s="6">
        <v>10896</v>
      </c>
      <c r="S17" s="6"/>
      <c r="T17" s="6" t="s">
        <v>24</v>
      </c>
      <c r="U17" s="6" t="s">
        <v>24</v>
      </c>
    </row>
    <row r="18" spans="1:21" ht="12.9" customHeight="1">
      <c r="A18" s="8" t="s">
        <v>11</v>
      </c>
      <c r="B18" s="7">
        <f>E18+H18+K18+N18+Q18+T18</f>
        <v>45</v>
      </c>
      <c r="C18" s="7">
        <f>F18+I18+L18+O18+R18+U18</f>
        <v>239067</v>
      </c>
      <c r="D18" s="17"/>
      <c r="E18" s="6">
        <v>20</v>
      </c>
      <c r="F18" s="6">
        <v>104958</v>
      </c>
      <c r="G18" s="17"/>
      <c r="H18" s="6">
        <v>9</v>
      </c>
      <c r="I18" s="6">
        <v>43000</v>
      </c>
      <c r="J18" s="17"/>
      <c r="K18" s="6">
        <v>1</v>
      </c>
      <c r="L18" s="6">
        <v>5698</v>
      </c>
      <c r="M18" s="17"/>
      <c r="N18" s="6" t="s">
        <v>24</v>
      </c>
      <c r="O18" s="6" t="s">
        <v>24</v>
      </c>
      <c r="P18" s="6"/>
      <c r="Q18" s="6">
        <v>15</v>
      </c>
      <c r="R18" s="6">
        <v>85411</v>
      </c>
      <c r="S18" s="6"/>
      <c r="T18" s="6" t="s">
        <v>24</v>
      </c>
      <c r="U18" s="6" t="s">
        <v>24</v>
      </c>
    </row>
    <row r="19" spans="1:21" ht="12.9" customHeight="1">
      <c r="A19" s="8" t="s">
        <v>4</v>
      </c>
      <c r="B19" s="7">
        <f>E19+H19+K19+N19+Q19+T19</f>
        <v>283</v>
      </c>
      <c r="C19" s="7" t="s">
        <v>24</v>
      </c>
      <c r="D19" s="17"/>
      <c r="E19" s="6">
        <v>186</v>
      </c>
      <c r="F19" s="6" t="s">
        <v>24</v>
      </c>
      <c r="G19" s="17"/>
      <c r="H19" s="6">
        <v>58</v>
      </c>
      <c r="I19" s="6" t="s">
        <v>24</v>
      </c>
      <c r="J19" s="17"/>
      <c r="K19" s="6">
        <v>4</v>
      </c>
      <c r="L19" s="6" t="s">
        <v>24</v>
      </c>
      <c r="M19" s="17"/>
      <c r="N19" s="6" t="s">
        <v>24</v>
      </c>
      <c r="O19" s="6" t="s">
        <v>24</v>
      </c>
      <c r="P19" s="6"/>
      <c r="Q19" s="6">
        <v>35</v>
      </c>
      <c r="R19" s="6" t="s">
        <v>24</v>
      </c>
      <c r="S19" s="6"/>
      <c r="T19" s="6" t="s">
        <v>24</v>
      </c>
      <c r="U19" s="6" t="s">
        <v>24</v>
      </c>
    </row>
    <row r="20" spans="1:21" ht="8.25" customHeight="1">
      <c r="A20" s="8"/>
      <c r="B20" s="18"/>
      <c r="C20" s="19"/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8"/>
      <c r="Q20" s="9"/>
      <c r="R20" s="9"/>
      <c r="S20" s="8"/>
      <c r="T20" s="9"/>
      <c r="U20" s="9"/>
    </row>
    <row r="21" spans="1:21" ht="12.9" customHeight="1">
      <c r="A21" s="9" t="s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8"/>
      <c r="Q21" s="9"/>
      <c r="R21" s="9"/>
      <c r="S21" s="8"/>
      <c r="T21" s="9"/>
      <c r="U21" s="9"/>
    </row>
    <row r="22" spans="1:21" ht="12.9" customHeight="1">
      <c r="A22" s="9" t="s">
        <v>32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8"/>
      <c r="Q22" s="9"/>
      <c r="R22" s="9"/>
      <c r="S22" s="8"/>
      <c r="T22" s="9"/>
      <c r="U22" s="9"/>
    </row>
    <row r="23" spans="1:21" ht="12.9" customHeight="1">
      <c r="A23" s="9" t="s">
        <v>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8"/>
      <c r="Q23" s="9"/>
      <c r="R23" s="9"/>
      <c r="S23" s="8"/>
      <c r="T23" s="9"/>
      <c r="U23" s="9"/>
    </row>
    <row r="24" spans="1:21">
      <c r="A24" s="8"/>
      <c r="P24" s="22"/>
      <c r="T24" s="20"/>
      <c r="U24" s="21"/>
    </row>
  </sheetData>
  <mergeCells count="15">
    <mergeCell ref="E4:U4"/>
    <mergeCell ref="Q5:R5"/>
    <mergeCell ref="C5:C6"/>
    <mergeCell ref="F6:F7"/>
    <mergeCell ref="I6:I7"/>
    <mergeCell ref="L6:L7"/>
    <mergeCell ref="O6:O7"/>
    <mergeCell ref="R6:R7"/>
    <mergeCell ref="U6:U7"/>
    <mergeCell ref="T5:U5"/>
    <mergeCell ref="B4:C4"/>
    <mergeCell ref="E5:F5"/>
    <mergeCell ref="H5:I5"/>
    <mergeCell ref="K5:L5"/>
    <mergeCell ref="N5:O5"/>
  </mergeCells>
  <phoneticPr fontId="0" type="noConversion"/>
  <pageMargins left="0.62992125984251968" right="0" top="0.55118110236220474" bottom="0.55118110236220474" header="0" footer="0"/>
  <pageSetup paperSize="9" scale="80" orientation="portrait" r:id="rId1"/>
  <headerFooter alignWithMargins="0">
    <oddFooter>&amp;C&amp;"Arial,Normal"&amp;10 235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showGridLines="0" workbookViewId="0"/>
  </sheetViews>
  <sheetFormatPr baseColWidth="10" defaultColWidth="9.6640625" defaultRowHeight="15"/>
  <cols>
    <col min="1" max="1" width="13.6640625" style="22" customWidth="1"/>
    <col min="2" max="2" width="5.58203125" style="20" customWidth="1"/>
    <col min="3" max="3" width="6.6640625" style="20" customWidth="1"/>
    <col min="4" max="4" width="0.9140625" style="20" customWidth="1"/>
    <col min="5" max="5" width="7.08203125" style="20" customWidth="1"/>
    <col min="6" max="6" width="6.9140625" style="20" customWidth="1"/>
    <col min="7" max="7" width="1" style="20" customWidth="1"/>
    <col min="8" max="8" width="5.58203125" style="20" customWidth="1"/>
    <col min="9" max="9" width="6.6640625" style="20" customWidth="1"/>
    <col min="10" max="10" width="1" style="20" customWidth="1"/>
    <col min="11" max="11" width="5.58203125" style="20" customWidth="1"/>
    <col min="12" max="12" width="6.6640625" style="20" customWidth="1"/>
    <col min="13" max="13" width="0.6640625" style="21" customWidth="1"/>
    <col min="14" max="14" width="6.33203125" style="20" customWidth="1"/>
    <col min="15" max="15" width="6.6640625" style="20" customWidth="1"/>
    <col min="16" max="16" width="1" style="22" customWidth="1"/>
    <col min="17" max="17" width="4.33203125" style="20" customWidth="1"/>
    <col min="18" max="18" width="6" style="21" customWidth="1"/>
    <col min="19" max="19" width="1" style="22" customWidth="1"/>
    <col min="20" max="20" width="4.33203125" style="20" customWidth="1"/>
    <col min="21" max="21" width="6" style="21" customWidth="1"/>
    <col min="22" max="16384" width="9.6640625" style="22"/>
  </cols>
  <sheetData>
    <row r="1" spans="1:22" s="8" customFormat="1" ht="15" customHeight="1">
      <c r="A1" s="23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9"/>
    </row>
    <row r="2" spans="1:22" s="8" customFormat="1" ht="15" customHeight="1">
      <c r="A2" s="23" t="s">
        <v>27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9"/>
    </row>
    <row r="3" spans="1:22" s="8" customFormat="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2" s="10" customFormat="1" ht="12.9" customHeight="1">
      <c r="A4" s="8" t="s">
        <v>10</v>
      </c>
      <c r="B4" s="137" t="s">
        <v>5</v>
      </c>
      <c r="C4" s="137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2" s="10" customFormat="1" ht="12.9" customHeight="1">
      <c r="A5" s="8"/>
      <c r="B5" s="11" t="s">
        <v>19</v>
      </c>
      <c r="C5" s="135" t="s">
        <v>21</v>
      </c>
      <c r="D5" s="12"/>
      <c r="E5" s="137" t="s">
        <v>3</v>
      </c>
      <c r="F5" s="137"/>
      <c r="G5" s="5"/>
      <c r="H5" s="137" t="s">
        <v>0</v>
      </c>
      <c r="I5" s="137"/>
      <c r="J5" s="13"/>
      <c r="K5" s="137" t="s">
        <v>2</v>
      </c>
      <c r="L5" s="137"/>
      <c r="M5" s="14"/>
      <c r="N5" s="137" t="s">
        <v>1</v>
      </c>
      <c r="O5" s="137"/>
      <c r="Q5" s="134" t="s">
        <v>25</v>
      </c>
      <c r="R5" s="134"/>
      <c r="T5" s="134" t="s">
        <v>4</v>
      </c>
      <c r="U5" s="134"/>
    </row>
    <row r="6" spans="1:22" s="10" customFormat="1" ht="12.9" customHeight="1">
      <c r="B6" s="11" t="s">
        <v>20</v>
      </c>
      <c r="C6" s="136"/>
      <c r="D6" s="12"/>
      <c r="E6" s="11" t="s">
        <v>19</v>
      </c>
      <c r="F6" s="135" t="s">
        <v>21</v>
      </c>
      <c r="G6" s="12"/>
      <c r="H6" s="11" t="s">
        <v>19</v>
      </c>
      <c r="I6" s="135" t="s">
        <v>21</v>
      </c>
      <c r="J6" s="12"/>
      <c r="K6" s="11" t="s">
        <v>19</v>
      </c>
      <c r="L6" s="135" t="s">
        <v>21</v>
      </c>
      <c r="M6" s="12"/>
      <c r="N6" s="11" t="s">
        <v>19</v>
      </c>
      <c r="O6" s="135" t="s">
        <v>21</v>
      </c>
      <c r="Q6" s="11" t="s">
        <v>19</v>
      </c>
      <c r="R6" s="135" t="s">
        <v>21</v>
      </c>
      <c r="T6" s="11" t="s">
        <v>19</v>
      </c>
      <c r="U6" s="135" t="s">
        <v>21</v>
      </c>
    </row>
    <row r="7" spans="1:22" s="10" customFormat="1" ht="12.9" customHeight="1">
      <c r="D7" s="5"/>
      <c r="E7" s="11" t="s">
        <v>20</v>
      </c>
      <c r="F7" s="136"/>
      <c r="G7" s="5"/>
      <c r="H7" s="11" t="s">
        <v>20</v>
      </c>
      <c r="I7" s="136"/>
      <c r="J7" s="5"/>
      <c r="K7" s="11" t="s">
        <v>20</v>
      </c>
      <c r="L7" s="136"/>
      <c r="M7" s="5"/>
      <c r="N7" s="11" t="s">
        <v>20</v>
      </c>
      <c r="O7" s="136"/>
      <c r="Q7" s="11" t="s">
        <v>20</v>
      </c>
      <c r="R7" s="136"/>
      <c r="T7" s="11" t="s">
        <v>20</v>
      </c>
      <c r="U7" s="136"/>
    </row>
    <row r="8" spans="1:22" s="8" customFormat="1" ht="9.15" customHeight="1"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Q8" s="4"/>
      <c r="R8" s="4"/>
      <c r="T8" s="4"/>
      <c r="U8" s="4"/>
    </row>
    <row r="9" spans="1:22" s="8" customFormat="1" ht="12.9" customHeight="1">
      <c r="A9" s="8" t="s">
        <v>7</v>
      </c>
      <c r="B9" s="7">
        <v>1176</v>
      </c>
      <c r="C9" s="7">
        <v>451330.53</v>
      </c>
      <c r="D9" s="15"/>
      <c r="E9" s="7">
        <v>676</v>
      </c>
      <c r="F9" s="7">
        <v>131838.95000000001</v>
      </c>
      <c r="G9" s="15"/>
      <c r="H9" s="7">
        <v>181</v>
      </c>
      <c r="I9" s="7">
        <v>36694.479999999996</v>
      </c>
      <c r="J9" s="15"/>
      <c r="K9" s="7">
        <v>57</v>
      </c>
      <c r="L9" s="7">
        <v>45261.26</v>
      </c>
      <c r="M9" s="15"/>
      <c r="N9" s="7">
        <v>36</v>
      </c>
      <c r="O9" s="7">
        <v>70963.839999999997</v>
      </c>
      <c r="P9" s="16"/>
      <c r="Q9" s="7">
        <v>224</v>
      </c>
      <c r="R9" s="7">
        <v>166568</v>
      </c>
      <c r="S9" s="16"/>
      <c r="T9" s="7">
        <v>2</v>
      </c>
      <c r="U9" s="7">
        <v>4</v>
      </c>
    </row>
    <row r="10" spans="1:22" s="8" customFormat="1" ht="9.15" customHeight="1"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2" s="8" customFormat="1" ht="12.9" customHeight="1">
      <c r="A11" s="8" t="s">
        <v>12</v>
      </c>
      <c r="B11" s="7">
        <v>164</v>
      </c>
      <c r="C11" s="7">
        <v>2260.1099999999997</v>
      </c>
      <c r="D11" s="17"/>
      <c r="E11" s="6">
        <v>115</v>
      </c>
      <c r="F11" s="6">
        <v>1620.35</v>
      </c>
      <c r="G11" s="17"/>
      <c r="H11" s="6">
        <v>16</v>
      </c>
      <c r="I11" s="6">
        <v>226</v>
      </c>
      <c r="J11" s="17"/>
      <c r="K11" s="6">
        <v>6</v>
      </c>
      <c r="L11" s="6">
        <v>113.26</v>
      </c>
      <c r="M11" s="17"/>
      <c r="N11" s="6">
        <v>2</v>
      </c>
      <c r="O11" s="6">
        <v>8.5</v>
      </c>
      <c r="P11" s="6"/>
      <c r="Q11" s="6">
        <v>23</v>
      </c>
      <c r="R11" s="6">
        <v>288</v>
      </c>
      <c r="S11" s="6"/>
      <c r="T11" s="6">
        <v>2</v>
      </c>
      <c r="U11" s="6">
        <v>4</v>
      </c>
      <c r="V11" s="7"/>
    </row>
    <row r="12" spans="1:22" s="8" customFormat="1" ht="12.9" customHeight="1">
      <c r="A12" s="8" t="s">
        <v>13</v>
      </c>
      <c r="B12" s="7">
        <v>188</v>
      </c>
      <c r="C12" s="7">
        <v>9801.7900000000009</v>
      </c>
      <c r="D12" s="17"/>
      <c r="E12" s="6">
        <v>133</v>
      </c>
      <c r="F12" s="6">
        <v>6786.29</v>
      </c>
      <c r="G12" s="17"/>
      <c r="H12" s="6">
        <v>17</v>
      </c>
      <c r="I12" s="6">
        <v>934</v>
      </c>
      <c r="J12" s="17"/>
      <c r="K12" s="6">
        <v>3</v>
      </c>
      <c r="L12" s="6">
        <v>199</v>
      </c>
      <c r="M12" s="17"/>
      <c r="N12" s="6">
        <v>4</v>
      </c>
      <c r="O12" s="6">
        <v>192.5</v>
      </c>
      <c r="P12" s="6"/>
      <c r="Q12" s="6">
        <v>31</v>
      </c>
      <c r="R12" s="6">
        <v>1690</v>
      </c>
      <c r="S12" s="6"/>
      <c r="T12" s="6" t="s">
        <v>24</v>
      </c>
      <c r="U12" s="6" t="s">
        <v>24</v>
      </c>
    </row>
    <row r="13" spans="1:22" s="8" customFormat="1" ht="12.9" customHeight="1">
      <c r="A13" s="8" t="s">
        <v>14</v>
      </c>
      <c r="B13" s="7">
        <v>82</v>
      </c>
      <c r="C13" s="7">
        <v>7906.77</v>
      </c>
      <c r="D13" s="17"/>
      <c r="E13" s="6">
        <v>50</v>
      </c>
      <c r="F13" s="6">
        <v>4801.2900000000009</v>
      </c>
      <c r="G13" s="17"/>
      <c r="H13" s="6">
        <v>8</v>
      </c>
      <c r="I13" s="6">
        <v>785.48</v>
      </c>
      <c r="J13" s="17"/>
      <c r="K13" s="6">
        <v>2</v>
      </c>
      <c r="L13" s="6">
        <v>182</v>
      </c>
      <c r="M13" s="17"/>
      <c r="N13" s="6">
        <v>3</v>
      </c>
      <c r="O13" s="6">
        <v>271</v>
      </c>
      <c r="P13" s="6"/>
      <c r="Q13" s="6">
        <v>19</v>
      </c>
      <c r="R13" s="6">
        <v>1867</v>
      </c>
      <c r="S13" s="6"/>
      <c r="T13" s="6" t="s">
        <v>24</v>
      </c>
      <c r="U13" s="6" t="s">
        <v>24</v>
      </c>
      <c r="V13" s="12"/>
    </row>
    <row r="14" spans="1:22" s="8" customFormat="1" ht="12.9" customHeight="1">
      <c r="A14" s="8" t="s">
        <v>15</v>
      </c>
      <c r="B14" s="7">
        <v>85</v>
      </c>
      <c r="C14" s="7">
        <v>13122.720000000001</v>
      </c>
      <c r="D14" s="17"/>
      <c r="E14" s="6">
        <v>49</v>
      </c>
      <c r="F14" s="6">
        <v>7560.72</v>
      </c>
      <c r="G14" s="17"/>
      <c r="H14" s="6">
        <v>14</v>
      </c>
      <c r="I14" s="6">
        <v>2133</v>
      </c>
      <c r="J14" s="17"/>
      <c r="K14" s="6">
        <v>2</v>
      </c>
      <c r="L14" s="6">
        <v>316</v>
      </c>
      <c r="M14" s="17"/>
      <c r="N14" s="6">
        <v>3</v>
      </c>
      <c r="O14" s="6">
        <v>485</v>
      </c>
      <c r="P14" s="6"/>
      <c r="Q14" s="6">
        <v>17</v>
      </c>
      <c r="R14" s="6">
        <v>2628</v>
      </c>
      <c r="S14" s="6"/>
      <c r="T14" s="6" t="s">
        <v>24</v>
      </c>
      <c r="U14" s="6" t="s">
        <v>24</v>
      </c>
      <c r="V14" s="12"/>
    </row>
    <row r="15" spans="1:22" s="8" customFormat="1" ht="12.9" customHeight="1">
      <c r="A15" s="8" t="s">
        <v>16</v>
      </c>
      <c r="B15" s="7">
        <v>121</v>
      </c>
      <c r="C15" s="7">
        <v>38538.300000000003</v>
      </c>
      <c r="D15" s="17"/>
      <c r="E15" s="6">
        <v>61</v>
      </c>
      <c r="F15" s="6">
        <v>18341.3</v>
      </c>
      <c r="G15" s="17"/>
      <c r="H15" s="6">
        <v>29</v>
      </c>
      <c r="I15" s="6">
        <v>10138</v>
      </c>
      <c r="J15" s="17"/>
      <c r="K15" s="6">
        <v>10</v>
      </c>
      <c r="L15" s="6">
        <v>3359</v>
      </c>
      <c r="M15" s="17"/>
      <c r="N15" s="2">
        <v>4</v>
      </c>
      <c r="O15" s="2">
        <v>1361</v>
      </c>
      <c r="P15" s="6"/>
      <c r="Q15" s="6">
        <v>17</v>
      </c>
      <c r="R15" s="6">
        <v>5339</v>
      </c>
      <c r="S15" s="6"/>
      <c r="T15" s="6" t="s">
        <v>24</v>
      </c>
      <c r="U15" s="6" t="s">
        <v>24</v>
      </c>
      <c r="V15" s="12"/>
    </row>
    <row r="16" spans="1:22" s="8" customFormat="1" ht="12.9" customHeight="1">
      <c r="A16" s="8" t="s">
        <v>17</v>
      </c>
      <c r="B16" s="7">
        <v>45</v>
      </c>
      <c r="C16" s="7">
        <v>33167</v>
      </c>
      <c r="D16" s="17"/>
      <c r="E16" s="6">
        <v>7</v>
      </c>
      <c r="F16" s="6">
        <v>5295</v>
      </c>
      <c r="G16" s="17"/>
      <c r="H16" s="6">
        <v>12</v>
      </c>
      <c r="I16" s="6">
        <v>8933</v>
      </c>
      <c r="J16" s="17"/>
      <c r="K16" s="6">
        <v>7</v>
      </c>
      <c r="L16" s="6">
        <v>5231</v>
      </c>
      <c r="M16" s="17"/>
      <c r="N16" s="6">
        <v>2</v>
      </c>
      <c r="O16" s="6">
        <v>1139</v>
      </c>
      <c r="P16" s="6"/>
      <c r="Q16" s="6">
        <v>17</v>
      </c>
      <c r="R16" s="6">
        <v>12569</v>
      </c>
      <c r="S16" s="6"/>
      <c r="T16" s="6" t="s">
        <v>24</v>
      </c>
      <c r="U16" s="6" t="s">
        <v>24</v>
      </c>
      <c r="V16" s="12"/>
    </row>
    <row r="17" spans="1:22" s="8" customFormat="1" ht="12.9" customHeight="1">
      <c r="A17" s="8" t="s">
        <v>18</v>
      </c>
      <c r="B17" s="7">
        <v>38</v>
      </c>
      <c r="C17" s="7">
        <v>53525.279999999999</v>
      </c>
      <c r="D17" s="17"/>
      <c r="E17" s="6">
        <v>14</v>
      </c>
      <c r="F17" s="6">
        <v>19946</v>
      </c>
      <c r="G17" s="17"/>
      <c r="H17" s="6">
        <v>3</v>
      </c>
      <c r="I17" s="6">
        <v>4057</v>
      </c>
      <c r="J17" s="17"/>
      <c r="K17" s="6">
        <v>4</v>
      </c>
      <c r="L17" s="6">
        <v>5653</v>
      </c>
      <c r="M17" s="17"/>
      <c r="N17" s="6">
        <v>3</v>
      </c>
      <c r="O17" s="6">
        <v>4835.28</v>
      </c>
      <c r="P17" s="6"/>
      <c r="Q17" s="6">
        <v>14</v>
      </c>
      <c r="R17" s="6">
        <v>19034</v>
      </c>
      <c r="S17" s="6"/>
      <c r="T17" s="6" t="s">
        <v>24</v>
      </c>
      <c r="U17" s="6" t="s">
        <v>24</v>
      </c>
      <c r="V17" s="12"/>
    </row>
    <row r="18" spans="1:22" s="8" customFormat="1" ht="12.9" customHeight="1">
      <c r="A18" s="8" t="s">
        <v>11</v>
      </c>
      <c r="B18" s="7">
        <v>59</v>
      </c>
      <c r="C18" s="7">
        <v>293008.56</v>
      </c>
      <c r="D18" s="17"/>
      <c r="E18" s="6">
        <v>17</v>
      </c>
      <c r="F18" s="6">
        <v>67488</v>
      </c>
      <c r="G18" s="17"/>
      <c r="H18" s="6">
        <v>3</v>
      </c>
      <c r="I18" s="6">
        <v>9488</v>
      </c>
      <c r="J18" s="17"/>
      <c r="K18" s="6">
        <v>7</v>
      </c>
      <c r="L18" s="6">
        <v>30208</v>
      </c>
      <c r="M18" s="17"/>
      <c r="N18" s="6">
        <v>6</v>
      </c>
      <c r="O18" s="6">
        <v>62671.56</v>
      </c>
      <c r="P18" s="6"/>
      <c r="Q18" s="6">
        <v>26</v>
      </c>
      <c r="R18" s="6">
        <v>123153</v>
      </c>
      <c r="S18" s="6"/>
      <c r="T18" s="6" t="s">
        <v>24</v>
      </c>
      <c r="U18" s="6" t="s">
        <v>24</v>
      </c>
      <c r="V18" s="12"/>
    </row>
    <row r="19" spans="1:22" s="8" customFormat="1" ht="12.9" customHeight="1">
      <c r="A19" s="8" t="s">
        <v>4</v>
      </c>
      <c r="B19" s="7">
        <v>394</v>
      </c>
      <c r="C19" s="7" t="s">
        <v>24</v>
      </c>
      <c r="D19" s="17"/>
      <c r="E19" s="6">
        <v>230</v>
      </c>
      <c r="F19" s="6" t="s">
        <v>24</v>
      </c>
      <c r="G19" s="17"/>
      <c r="H19" s="6">
        <v>79</v>
      </c>
      <c r="I19" s="6" t="s">
        <v>24</v>
      </c>
      <c r="J19" s="17"/>
      <c r="K19" s="6">
        <v>16</v>
      </c>
      <c r="L19" s="6" t="s">
        <v>24</v>
      </c>
      <c r="M19" s="17"/>
      <c r="N19" s="6">
        <v>9</v>
      </c>
      <c r="O19" s="6" t="s">
        <v>24</v>
      </c>
      <c r="P19" s="6"/>
      <c r="Q19" s="6">
        <v>60</v>
      </c>
      <c r="R19" s="6" t="s">
        <v>24</v>
      </c>
      <c r="S19" s="6"/>
      <c r="T19" s="6" t="s">
        <v>24</v>
      </c>
      <c r="U19" s="6" t="s">
        <v>24</v>
      </c>
      <c r="V19" s="12"/>
    </row>
    <row r="20" spans="1:22" s="8" customFormat="1" ht="9.15" customHeight="1">
      <c r="B20" s="18"/>
      <c r="C20" s="19"/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Q20" s="9"/>
      <c r="R20" s="9"/>
      <c r="T20" s="9"/>
      <c r="U20" s="9"/>
    </row>
    <row r="21" spans="1:22" s="8" customFormat="1" ht="12.9" customHeight="1">
      <c r="A21" s="9" t="s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Q21" s="9"/>
      <c r="R21" s="9"/>
      <c r="T21" s="9"/>
      <c r="U21" s="9"/>
    </row>
    <row r="22" spans="1:22" s="8" customFormat="1" ht="12.9" customHeight="1">
      <c r="A22" s="9" t="s">
        <v>26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Q22" s="9"/>
      <c r="R22" s="9"/>
      <c r="T22" s="9"/>
      <c r="U22" s="9"/>
    </row>
    <row r="23" spans="1:22" s="8" customFormat="1" ht="12.9" customHeight="1">
      <c r="A23" s="26" t="s">
        <v>33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Q23" s="9"/>
      <c r="R23" s="9"/>
      <c r="T23" s="9"/>
      <c r="U23" s="9"/>
    </row>
    <row r="24" spans="1:22" s="8" customFormat="1" ht="12.9" customHeight="1">
      <c r="A24" s="9" t="s">
        <v>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Q24" s="9"/>
      <c r="R24" s="9"/>
      <c r="T24" s="9"/>
      <c r="U24" s="9"/>
    </row>
    <row r="25" spans="1:22" s="8" customFormat="1" ht="9.15" customHeight="1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Q25" s="20"/>
      <c r="R25" s="21"/>
      <c r="T25" s="20"/>
      <c r="U25" s="21"/>
    </row>
    <row r="26" spans="1:22" ht="12.9" customHeight="1">
      <c r="A26" s="8"/>
    </row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showGridLines="0" workbookViewId="0"/>
  </sheetViews>
  <sheetFormatPr baseColWidth="10" defaultColWidth="9.6640625" defaultRowHeight="15"/>
  <cols>
    <col min="1" max="1" width="13.6640625" style="22" customWidth="1"/>
    <col min="2" max="2" width="5.58203125" style="20" customWidth="1"/>
    <col min="3" max="3" width="6.6640625" style="20" customWidth="1"/>
    <col min="4" max="4" width="0.9140625" style="20" customWidth="1"/>
    <col min="5" max="5" width="7.08203125" style="20" customWidth="1"/>
    <col min="6" max="6" width="6.9140625" style="20" customWidth="1"/>
    <col min="7" max="7" width="1" style="20" customWidth="1"/>
    <col min="8" max="8" width="5.58203125" style="20" customWidth="1"/>
    <col min="9" max="9" width="6.6640625" style="20" customWidth="1"/>
    <col min="10" max="10" width="1" style="20" customWidth="1"/>
    <col min="11" max="11" width="5.58203125" style="20" customWidth="1"/>
    <col min="12" max="12" width="6.6640625" style="20" customWidth="1"/>
    <col min="13" max="13" width="0.6640625" style="21" customWidth="1"/>
    <col min="14" max="14" width="6.33203125" style="20" customWidth="1"/>
    <col min="15" max="15" width="6.6640625" style="20" customWidth="1"/>
    <col min="16" max="16" width="1" style="22" customWidth="1"/>
    <col min="17" max="17" width="4.33203125" style="20" customWidth="1"/>
    <col min="18" max="18" width="6" style="21" customWidth="1"/>
    <col min="19" max="19" width="1" style="22" customWidth="1"/>
    <col min="20" max="20" width="4.33203125" style="20" customWidth="1"/>
    <col min="21" max="21" width="6" style="21" customWidth="1"/>
    <col min="22" max="16384" width="9.6640625" style="22"/>
  </cols>
  <sheetData>
    <row r="1" spans="1:22" s="8" customFormat="1" ht="15" customHeight="1">
      <c r="A1" s="23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9"/>
    </row>
    <row r="2" spans="1:22" s="8" customFormat="1" ht="15" customHeight="1">
      <c r="A2" s="23" t="s">
        <v>28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9"/>
    </row>
    <row r="3" spans="1:22" s="8" customFormat="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2" s="10" customFormat="1" ht="12.9" customHeight="1">
      <c r="A4" s="8" t="s">
        <v>10</v>
      </c>
      <c r="B4" s="137" t="s">
        <v>5</v>
      </c>
      <c r="C4" s="137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2" s="10" customFormat="1" ht="12.9" customHeight="1">
      <c r="A5" s="8"/>
      <c r="B5" s="11" t="s">
        <v>19</v>
      </c>
      <c r="C5" s="135" t="s">
        <v>21</v>
      </c>
      <c r="D5" s="12"/>
      <c r="E5" s="137" t="s">
        <v>3</v>
      </c>
      <c r="F5" s="137"/>
      <c r="G5" s="5"/>
      <c r="H5" s="137" t="s">
        <v>0</v>
      </c>
      <c r="I5" s="137"/>
      <c r="J5" s="13"/>
      <c r="K5" s="137" t="s">
        <v>2</v>
      </c>
      <c r="L5" s="137"/>
      <c r="M5" s="14"/>
      <c r="N5" s="137" t="s">
        <v>1</v>
      </c>
      <c r="O5" s="137"/>
      <c r="Q5" s="134" t="s">
        <v>25</v>
      </c>
      <c r="R5" s="134"/>
      <c r="T5" s="134" t="s">
        <v>4</v>
      </c>
      <c r="U5" s="134"/>
    </row>
    <row r="6" spans="1:22" s="10" customFormat="1" ht="12.9" customHeight="1">
      <c r="B6" s="11" t="s">
        <v>20</v>
      </c>
      <c r="C6" s="136"/>
      <c r="D6" s="12"/>
      <c r="E6" s="11" t="s">
        <v>19</v>
      </c>
      <c r="F6" s="135" t="s">
        <v>21</v>
      </c>
      <c r="G6" s="12"/>
      <c r="H6" s="11" t="s">
        <v>19</v>
      </c>
      <c r="I6" s="135" t="s">
        <v>21</v>
      </c>
      <c r="J6" s="12"/>
      <c r="K6" s="11" t="s">
        <v>19</v>
      </c>
      <c r="L6" s="135" t="s">
        <v>21</v>
      </c>
      <c r="M6" s="12"/>
      <c r="N6" s="11" t="s">
        <v>19</v>
      </c>
      <c r="O6" s="135" t="s">
        <v>21</v>
      </c>
      <c r="Q6" s="11" t="s">
        <v>19</v>
      </c>
      <c r="R6" s="135" t="s">
        <v>21</v>
      </c>
      <c r="T6" s="11" t="s">
        <v>19</v>
      </c>
      <c r="U6" s="135" t="s">
        <v>21</v>
      </c>
    </row>
    <row r="7" spans="1:22" s="10" customFormat="1" ht="12.9" customHeight="1">
      <c r="D7" s="5"/>
      <c r="E7" s="11" t="s">
        <v>20</v>
      </c>
      <c r="F7" s="136"/>
      <c r="G7" s="5"/>
      <c r="H7" s="11" t="s">
        <v>20</v>
      </c>
      <c r="I7" s="136"/>
      <c r="J7" s="5"/>
      <c r="K7" s="11" t="s">
        <v>20</v>
      </c>
      <c r="L7" s="136"/>
      <c r="M7" s="5"/>
      <c r="N7" s="11" t="s">
        <v>20</v>
      </c>
      <c r="O7" s="136"/>
      <c r="Q7" s="11" t="s">
        <v>20</v>
      </c>
      <c r="R7" s="136"/>
      <c r="T7" s="11" t="s">
        <v>20</v>
      </c>
      <c r="U7" s="136"/>
    </row>
    <row r="8" spans="1:22" s="8" customFormat="1" ht="9.15" customHeight="1"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Q8" s="4"/>
      <c r="R8" s="4"/>
      <c r="T8" s="4"/>
      <c r="U8" s="4"/>
    </row>
    <row r="9" spans="1:22" s="8" customFormat="1" ht="12.9" customHeight="1">
      <c r="A9" s="8" t="s">
        <v>7</v>
      </c>
      <c r="B9" s="7">
        <v>1151</v>
      </c>
      <c r="C9" s="7">
        <v>468494.16000000003</v>
      </c>
      <c r="D9" s="15"/>
      <c r="E9" s="7">
        <v>629</v>
      </c>
      <c r="F9" s="7">
        <v>147751.60999999999</v>
      </c>
      <c r="G9" s="15"/>
      <c r="H9" s="7">
        <v>174</v>
      </c>
      <c r="I9" s="7">
        <v>113333</v>
      </c>
      <c r="J9" s="15"/>
      <c r="K9" s="7">
        <v>37</v>
      </c>
      <c r="L9" s="7">
        <v>27191</v>
      </c>
      <c r="M9" s="15"/>
      <c r="N9" s="7">
        <v>9</v>
      </c>
      <c r="O9" s="7">
        <v>7195</v>
      </c>
      <c r="P9" s="16"/>
      <c r="Q9" s="7">
        <v>301</v>
      </c>
      <c r="R9" s="7">
        <v>172902.55</v>
      </c>
      <c r="S9" s="16"/>
      <c r="T9" s="7">
        <v>1</v>
      </c>
      <c r="U9" s="7">
        <v>121</v>
      </c>
    </row>
    <row r="10" spans="1:22" s="8" customFormat="1" ht="9.15" customHeight="1"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2" s="8" customFormat="1" ht="12.9" customHeight="1">
      <c r="A11" s="8" t="s">
        <v>12</v>
      </c>
      <c r="B11" s="7">
        <v>187</v>
      </c>
      <c r="C11" s="7">
        <v>2539.5500000000002</v>
      </c>
      <c r="D11" s="17"/>
      <c r="E11" s="6">
        <v>127</v>
      </c>
      <c r="F11" s="6">
        <v>1718</v>
      </c>
      <c r="G11" s="17"/>
      <c r="H11" s="6">
        <v>10</v>
      </c>
      <c r="I11" s="6">
        <v>159</v>
      </c>
      <c r="J11" s="17"/>
      <c r="K11" s="6">
        <v>2</v>
      </c>
      <c r="L11" s="6">
        <v>8</v>
      </c>
      <c r="M11" s="17"/>
      <c r="N11" s="6">
        <v>1</v>
      </c>
      <c r="O11" s="6">
        <v>4</v>
      </c>
      <c r="P11" s="6"/>
      <c r="Q11" s="6">
        <v>47</v>
      </c>
      <c r="R11" s="6">
        <v>650.54999999999995</v>
      </c>
      <c r="S11" s="6"/>
      <c r="T11" s="6" t="s">
        <v>24</v>
      </c>
      <c r="U11" s="6" t="s">
        <v>24</v>
      </c>
      <c r="V11" s="7"/>
    </row>
    <row r="12" spans="1:22" s="8" customFormat="1" ht="12.9" customHeight="1">
      <c r="A12" s="8" t="s">
        <v>13</v>
      </c>
      <c r="B12" s="7">
        <v>211</v>
      </c>
      <c r="C12" s="7">
        <v>10742.61</v>
      </c>
      <c r="D12" s="17"/>
      <c r="E12" s="6">
        <v>136</v>
      </c>
      <c r="F12" s="6">
        <v>7072.6100000000006</v>
      </c>
      <c r="G12" s="17"/>
      <c r="H12" s="6">
        <v>16</v>
      </c>
      <c r="I12" s="6">
        <v>781</v>
      </c>
      <c r="J12" s="17"/>
      <c r="K12" s="6">
        <v>4</v>
      </c>
      <c r="L12" s="6">
        <v>211</v>
      </c>
      <c r="M12" s="17"/>
      <c r="N12" s="6">
        <v>3</v>
      </c>
      <c r="O12" s="6">
        <v>130</v>
      </c>
      <c r="P12" s="6"/>
      <c r="Q12" s="6">
        <v>52</v>
      </c>
      <c r="R12" s="6">
        <v>2548</v>
      </c>
      <c r="S12" s="6"/>
      <c r="T12" s="6" t="s">
        <v>24</v>
      </c>
      <c r="U12" s="6" t="s">
        <v>24</v>
      </c>
    </row>
    <row r="13" spans="1:22" s="8" customFormat="1" ht="12.9" customHeight="1">
      <c r="A13" s="8" t="s">
        <v>14</v>
      </c>
      <c r="B13" s="7">
        <v>87</v>
      </c>
      <c r="C13" s="7">
        <v>8499</v>
      </c>
      <c r="D13" s="17"/>
      <c r="E13" s="6">
        <v>52</v>
      </c>
      <c r="F13" s="6">
        <v>4985</v>
      </c>
      <c r="G13" s="17"/>
      <c r="H13" s="6">
        <v>8</v>
      </c>
      <c r="I13" s="6">
        <v>775</v>
      </c>
      <c r="J13" s="17"/>
      <c r="K13" s="6">
        <v>2</v>
      </c>
      <c r="L13" s="6">
        <v>184</v>
      </c>
      <c r="M13" s="17"/>
      <c r="N13" s="6" t="s">
        <v>24</v>
      </c>
      <c r="O13" s="6" t="s">
        <v>24</v>
      </c>
      <c r="P13" s="6"/>
      <c r="Q13" s="6">
        <v>25</v>
      </c>
      <c r="R13" s="6">
        <v>2555</v>
      </c>
      <c r="S13" s="6"/>
      <c r="T13" s="6" t="s">
        <v>24</v>
      </c>
      <c r="U13" s="6" t="s">
        <v>24</v>
      </c>
      <c r="V13" s="12"/>
    </row>
    <row r="14" spans="1:22" s="8" customFormat="1" ht="12.9" customHeight="1">
      <c r="A14" s="8" t="s">
        <v>15</v>
      </c>
      <c r="B14" s="7">
        <v>105</v>
      </c>
      <c r="C14" s="7">
        <v>16319</v>
      </c>
      <c r="D14" s="17"/>
      <c r="E14" s="6">
        <v>53</v>
      </c>
      <c r="F14" s="6">
        <v>8194</v>
      </c>
      <c r="G14" s="17"/>
      <c r="H14" s="6">
        <v>21</v>
      </c>
      <c r="I14" s="6">
        <v>3385</v>
      </c>
      <c r="J14" s="17"/>
      <c r="K14" s="6">
        <v>3</v>
      </c>
      <c r="L14" s="6">
        <v>501</v>
      </c>
      <c r="M14" s="17"/>
      <c r="N14" s="6">
        <v>2</v>
      </c>
      <c r="O14" s="6">
        <v>340</v>
      </c>
      <c r="P14" s="6"/>
      <c r="Q14" s="6">
        <v>25</v>
      </c>
      <c r="R14" s="6">
        <v>3778</v>
      </c>
      <c r="S14" s="6"/>
      <c r="T14" s="6">
        <v>1</v>
      </c>
      <c r="U14" s="6">
        <v>121</v>
      </c>
      <c r="V14" s="12"/>
    </row>
    <row r="15" spans="1:22" s="8" customFormat="1" ht="12.9" customHeight="1">
      <c r="A15" s="8" t="s">
        <v>16</v>
      </c>
      <c r="B15" s="7">
        <v>125</v>
      </c>
      <c r="C15" s="7">
        <v>39079</v>
      </c>
      <c r="D15" s="17"/>
      <c r="E15" s="6">
        <v>59</v>
      </c>
      <c r="F15" s="6">
        <v>18255</v>
      </c>
      <c r="G15" s="17"/>
      <c r="H15" s="6">
        <v>33</v>
      </c>
      <c r="I15" s="6">
        <v>11062</v>
      </c>
      <c r="J15" s="17"/>
      <c r="K15" s="6">
        <v>5</v>
      </c>
      <c r="L15" s="6">
        <v>1526</v>
      </c>
      <c r="M15" s="17"/>
      <c r="N15" s="8" t="s">
        <v>24</v>
      </c>
      <c r="O15" s="8" t="s">
        <v>24</v>
      </c>
      <c r="P15" s="6"/>
      <c r="Q15" s="6">
        <v>28</v>
      </c>
      <c r="R15" s="6">
        <v>8236</v>
      </c>
      <c r="S15" s="6"/>
      <c r="T15" s="6" t="s">
        <v>24</v>
      </c>
      <c r="U15" s="6" t="s">
        <v>24</v>
      </c>
      <c r="V15" s="12"/>
    </row>
    <row r="16" spans="1:22" s="8" customFormat="1" ht="12.9" customHeight="1">
      <c r="A16" s="8" t="s">
        <v>17</v>
      </c>
      <c r="B16" s="7">
        <v>45</v>
      </c>
      <c r="C16" s="7">
        <v>31602</v>
      </c>
      <c r="D16" s="17"/>
      <c r="E16" s="6">
        <v>9</v>
      </c>
      <c r="F16" s="6">
        <v>7196</v>
      </c>
      <c r="G16" s="17"/>
      <c r="H16" s="6">
        <v>17</v>
      </c>
      <c r="I16" s="6">
        <v>11664</v>
      </c>
      <c r="J16" s="17"/>
      <c r="K16" s="6">
        <v>3</v>
      </c>
      <c r="L16" s="6">
        <v>2284</v>
      </c>
      <c r="M16" s="17"/>
      <c r="N16" s="6" t="s">
        <v>24</v>
      </c>
      <c r="O16" s="6" t="s">
        <v>24</v>
      </c>
      <c r="P16" s="6"/>
      <c r="Q16" s="6">
        <v>16</v>
      </c>
      <c r="R16" s="6">
        <v>10458</v>
      </c>
      <c r="S16" s="6"/>
      <c r="T16" s="6" t="s">
        <v>24</v>
      </c>
      <c r="U16" s="6" t="s">
        <v>24</v>
      </c>
      <c r="V16" s="12"/>
    </row>
    <row r="17" spans="1:22" s="8" customFormat="1" ht="12.9" customHeight="1">
      <c r="A17" s="8" t="s">
        <v>18</v>
      </c>
      <c r="B17" s="7">
        <v>44</v>
      </c>
      <c r="C17" s="7">
        <v>64862</v>
      </c>
      <c r="D17" s="17"/>
      <c r="E17" s="6">
        <v>6</v>
      </c>
      <c r="F17" s="6">
        <v>8919</v>
      </c>
      <c r="G17" s="17"/>
      <c r="H17" s="6">
        <v>12</v>
      </c>
      <c r="I17" s="6">
        <v>16505</v>
      </c>
      <c r="J17" s="17"/>
      <c r="K17" s="6">
        <v>7</v>
      </c>
      <c r="L17" s="6">
        <v>10508</v>
      </c>
      <c r="M17" s="17"/>
      <c r="N17" s="6" t="s">
        <v>24</v>
      </c>
      <c r="O17" s="6" t="s">
        <v>24</v>
      </c>
      <c r="P17" s="6"/>
      <c r="Q17" s="6">
        <v>19</v>
      </c>
      <c r="R17" s="6">
        <v>28930</v>
      </c>
      <c r="S17" s="6"/>
      <c r="T17" s="6" t="s">
        <v>24</v>
      </c>
      <c r="U17" s="6" t="s">
        <v>24</v>
      </c>
      <c r="V17" s="12"/>
    </row>
    <row r="18" spans="1:22" s="8" customFormat="1" ht="12.9" customHeight="1">
      <c r="A18" s="8" t="s">
        <v>29</v>
      </c>
      <c r="B18" s="7">
        <v>65</v>
      </c>
      <c r="C18" s="7">
        <v>294851</v>
      </c>
      <c r="D18" s="17"/>
      <c r="E18" s="6">
        <v>22</v>
      </c>
      <c r="F18" s="6">
        <v>91412</v>
      </c>
      <c r="G18" s="17"/>
      <c r="H18" s="6">
        <v>8</v>
      </c>
      <c r="I18" s="6">
        <v>69002</v>
      </c>
      <c r="J18" s="17"/>
      <c r="K18" s="6">
        <v>4</v>
      </c>
      <c r="L18" s="6">
        <v>11969</v>
      </c>
      <c r="M18" s="17"/>
      <c r="N18" s="6">
        <v>1</v>
      </c>
      <c r="O18" s="6">
        <v>6721</v>
      </c>
      <c r="P18" s="6"/>
      <c r="Q18" s="6">
        <v>30</v>
      </c>
      <c r="R18" s="6">
        <v>115747</v>
      </c>
      <c r="S18" s="6"/>
      <c r="T18" s="6" t="s">
        <v>24</v>
      </c>
      <c r="U18" s="6" t="s">
        <v>24</v>
      </c>
      <c r="V18" s="12"/>
    </row>
    <row r="19" spans="1:22" s="8" customFormat="1" ht="12.9" customHeight="1">
      <c r="A19" s="8" t="s">
        <v>4</v>
      </c>
      <c r="B19" s="7">
        <v>282</v>
      </c>
      <c r="C19" s="7" t="s">
        <v>24</v>
      </c>
      <c r="D19" s="17"/>
      <c r="E19" s="6">
        <v>165</v>
      </c>
      <c r="F19" s="6" t="s">
        <v>24</v>
      </c>
      <c r="G19" s="17"/>
      <c r="H19" s="6">
        <v>49</v>
      </c>
      <c r="I19" s="6" t="s">
        <v>24</v>
      </c>
      <c r="J19" s="17"/>
      <c r="K19" s="6">
        <v>7</v>
      </c>
      <c r="L19" s="6" t="s">
        <v>24</v>
      </c>
      <c r="M19" s="17"/>
      <c r="N19" s="6">
        <v>2</v>
      </c>
      <c r="O19" s="6" t="s">
        <v>24</v>
      </c>
      <c r="P19" s="6"/>
      <c r="Q19" s="6">
        <v>59</v>
      </c>
      <c r="R19" s="6" t="s">
        <v>24</v>
      </c>
      <c r="S19" s="6"/>
      <c r="T19" s="6" t="s">
        <v>24</v>
      </c>
      <c r="U19" s="6" t="s">
        <v>24</v>
      </c>
      <c r="V19" s="12"/>
    </row>
    <row r="20" spans="1:22" s="8" customFormat="1" ht="9.15" customHeight="1">
      <c r="B20" s="18"/>
      <c r="C20" s="19"/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Q20" s="9"/>
      <c r="R20" s="9"/>
      <c r="T20" s="9"/>
      <c r="U20" s="9"/>
    </row>
    <row r="21" spans="1:22" s="8" customFormat="1" ht="12.9" customHeight="1">
      <c r="A21" s="9" t="s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Q21" s="9"/>
      <c r="R21" s="9"/>
      <c r="T21" s="9"/>
      <c r="U21" s="9"/>
    </row>
    <row r="22" spans="1:22" s="8" customFormat="1" ht="12.9" customHeight="1">
      <c r="A22" s="9" t="s">
        <v>26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Q22" s="9"/>
      <c r="R22" s="9"/>
      <c r="T22" s="9"/>
      <c r="U22" s="9"/>
    </row>
    <row r="23" spans="1:22" s="8" customFormat="1" ht="12.9" customHeight="1">
      <c r="A23" s="26" t="s">
        <v>33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Q23" s="9"/>
      <c r="R23" s="9"/>
      <c r="T23" s="9"/>
      <c r="U23" s="9"/>
    </row>
    <row r="24" spans="1:22" s="8" customFormat="1" ht="12.9" customHeight="1">
      <c r="A24" s="9" t="s">
        <v>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Q24" s="9"/>
      <c r="R24" s="9"/>
      <c r="T24" s="9"/>
      <c r="U24" s="9"/>
    </row>
    <row r="25" spans="1:22" s="8" customFormat="1" ht="9.15" customHeight="1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Q25" s="20"/>
      <c r="R25" s="21"/>
      <c r="T25" s="20"/>
      <c r="U25" s="21"/>
    </row>
    <row r="26" spans="1:22" ht="12.9" customHeight="1">
      <c r="A26" s="8"/>
    </row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showGridLines="0" workbookViewId="0"/>
  </sheetViews>
  <sheetFormatPr baseColWidth="10" defaultColWidth="9.6640625" defaultRowHeight="15"/>
  <cols>
    <col min="1" max="1" width="13.6640625" style="22" customWidth="1"/>
    <col min="2" max="2" width="5.58203125" style="20" customWidth="1"/>
    <col min="3" max="3" width="6.6640625" style="20" customWidth="1"/>
    <col min="4" max="4" width="0.9140625" style="20" customWidth="1"/>
    <col min="5" max="5" width="7.08203125" style="20" customWidth="1"/>
    <col min="6" max="6" width="6.9140625" style="20" customWidth="1"/>
    <col min="7" max="7" width="1" style="20" customWidth="1"/>
    <col min="8" max="8" width="5.58203125" style="20" customWidth="1"/>
    <col min="9" max="9" width="6.6640625" style="20" customWidth="1"/>
    <col min="10" max="10" width="1" style="20" customWidth="1"/>
    <col min="11" max="11" width="5.58203125" style="20" customWidth="1"/>
    <col min="12" max="12" width="6.6640625" style="20" customWidth="1"/>
    <col min="13" max="13" width="0.6640625" style="21" customWidth="1"/>
    <col min="14" max="14" width="6.33203125" style="20" customWidth="1"/>
    <col min="15" max="15" width="6.6640625" style="20" customWidth="1"/>
    <col min="16" max="16" width="1" style="22" customWidth="1"/>
    <col min="17" max="17" width="4.33203125" style="20" customWidth="1"/>
    <col min="18" max="18" width="6" style="21" customWidth="1"/>
    <col min="19" max="19" width="1" style="22" customWidth="1"/>
    <col min="20" max="20" width="4.33203125" style="20" customWidth="1"/>
    <col min="21" max="21" width="6" style="21" customWidth="1"/>
    <col min="22" max="16384" width="9.6640625" style="22"/>
  </cols>
  <sheetData>
    <row r="1" spans="1:22" s="8" customFormat="1" ht="15" customHeight="1">
      <c r="A1" s="23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9"/>
    </row>
    <row r="2" spans="1:22" s="8" customFormat="1" ht="15" customHeight="1">
      <c r="A2" s="23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9"/>
    </row>
    <row r="3" spans="1:22" s="8" customFormat="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2" s="10" customFormat="1" ht="12.9" customHeight="1">
      <c r="A4" s="8" t="s">
        <v>10</v>
      </c>
      <c r="B4" s="137" t="s">
        <v>5</v>
      </c>
      <c r="C4" s="137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2" s="10" customFormat="1" ht="12.9" customHeight="1">
      <c r="A5" s="8"/>
      <c r="B5" s="11" t="s">
        <v>19</v>
      </c>
      <c r="C5" s="135" t="s">
        <v>21</v>
      </c>
      <c r="D5" s="12"/>
      <c r="E5" s="137" t="s">
        <v>3</v>
      </c>
      <c r="F5" s="137"/>
      <c r="G5" s="5"/>
      <c r="H5" s="137" t="s">
        <v>0</v>
      </c>
      <c r="I5" s="137"/>
      <c r="J5" s="13"/>
      <c r="K5" s="137" t="s">
        <v>2</v>
      </c>
      <c r="L5" s="137"/>
      <c r="M5" s="14"/>
      <c r="N5" s="137" t="s">
        <v>1</v>
      </c>
      <c r="O5" s="137"/>
      <c r="Q5" s="134" t="s">
        <v>25</v>
      </c>
      <c r="R5" s="134"/>
      <c r="T5" s="134" t="s">
        <v>4</v>
      </c>
      <c r="U5" s="134"/>
    </row>
    <row r="6" spans="1:22" s="10" customFormat="1" ht="12.9" customHeight="1">
      <c r="B6" s="11" t="s">
        <v>20</v>
      </c>
      <c r="C6" s="136"/>
      <c r="D6" s="12"/>
      <c r="E6" s="11" t="s">
        <v>19</v>
      </c>
      <c r="F6" s="135" t="s">
        <v>21</v>
      </c>
      <c r="G6" s="12"/>
      <c r="H6" s="11" t="s">
        <v>19</v>
      </c>
      <c r="I6" s="135" t="s">
        <v>21</v>
      </c>
      <c r="J6" s="12"/>
      <c r="K6" s="11" t="s">
        <v>19</v>
      </c>
      <c r="L6" s="135" t="s">
        <v>21</v>
      </c>
      <c r="M6" s="12"/>
      <c r="N6" s="11" t="s">
        <v>19</v>
      </c>
      <c r="O6" s="135" t="s">
        <v>21</v>
      </c>
      <c r="Q6" s="11" t="s">
        <v>19</v>
      </c>
      <c r="R6" s="135" t="s">
        <v>21</v>
      </c>
      <c r="T6" s="11" t="s">
        <v>19</v>
      </c>
      <c r="U6" s="135" t="s">
        <v>21</v>
      </c>
    </row>
    <row r="7" spans="1:22" s="10" customFormat="1" ht="12.9" customHeight="1">
      <c r="D7" s="5"/>
      <c r="E7" s="11" t="s">
        <v>20</v>
      </c>
      <c r="F7" s="136"/>
      <c r="G7" s="5"/>
      <c r="H7" s="11" t="s">
        <v>20</v>
      </c>
      <c r="I7" s="136"/>
      <c r="J7" s="5"/>
      <c r="K7" s="11" t="s">
        <v>20</v>
      </c>
      <c r="L7" s="136"/>
      <c r="M7" s="5"/>
      <c r="N7" s="11" t="s">
        <v>20</v>
      </c>
      <c r="O7" s="136"/>
      <c r="Q7" s="11" t="s">
        <v>20</v>
      </c>
      <c r="R7" s="136"/>
      <c r="T7" s="11" t="s">
        <v>20</v>
      </c>
      <c r="U7" s="136"/>
    </row>
    <row r="8" spans="1:22" s="8" customFormat="1" ht="9.15" customHeight="1"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Q8" s="4"/>
      <c r="R8" s="4"/>
      <c r="T8" s="4"/>
      <c r="U8" s="4"/>
    </row>
    <row r="9" spans="1:22" s="8" customFormat="1" ht="12.9" customHeight="1">
      <c r="A9" s="8" t="s">
        <v>7</v>
      </c>
      <c r="B9" s="7">
        <v>1401</v>
      </c>
      <c r="C9" s="7">
        <v>616095.1</v>
      </c>
      <c r="D9" s="15"/>
      <c r="E9" s="7">
        <v>715</v>
      </c>
      <c r="F9" s="7">
        <v>198994.32</v>
      </c>
      <c r="G9" s="15"/>
      <c r="H9" s="7">
        <v>243</v>
      </c>
      <c r="I9" s="7">
        <v>97689.18</v>
      </c>
      <c r="J9" s="15"/>
      <c r="K9" s="7">
        <v>32</v>
      </c>
      <c r="L9" s="7">
        <v>22140</v>
      </c>
      <c r="M9" s="15"/>
      <c r="N9" s="7">
        <v>25</v>
      </c>
      <c r="O9" s="7">
        <v>32875.5</v>
      </c>
      <c r="P9" s="16"/>
      <c r="Q9" s="7">
        <v>373</v>
      </c>
      <c r="R9" s="7">
        <v>260644.6</v>
      </c>
      <c r="S9" s="16"/>
      <c r="T9" s="7">
        <v>13</v>
      </c>
      <c r="U9" s="7">
        <v>3751.5</v>
      </c>
    </row>
    <row r="10" spans="1:22" s="8" customFormat="1" ht="9.15" customHeight="1"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2" s="8" customFormat="1" ht="12.9" customHeight="1">
      <c r="A11" s="8" t="s">
        <v>12</v>
      </c>
      <c r="B11" s="7">
        <v>229</v>
      </c>
      <c r="C11" s="7">
        <v>3256.95</v>
      </c>
      <c r="D11" s="17"/>
      <c r="E11" s="6">
        <v>139</v>
      </c>
      <c r="F11" s="6">
        <v>1965.85</v>
      </c>
      <c r="G11" s="17"/>
      <c r="H11" s="6">
        <v>17</v>
      </c>
      <c r="I11" s="6">
        <v>286</v>
      </c>
      <c r="J11" s="17"/>
      <c r="K11" s="6">
        <v>1</v>
      </c>
      <c r="L11" s="6">
        <v>23</v>
      </c>
      <c r="M11" s="17"/>
      <c r="N11" s="6">
        <v>4</v>
      </c>
      <c r="O11" s="6">
        <v>24</v>
      </c>
      <c r="P11" s="6"/>
      <c r="Q11" s="6">
        <v>65</v>
      </c>
      <c r="R11" s="6">
        <v>901.6</v>
      </c>
      <c r="S11" s="6"/>
      <c r="T11" s="6">
        <v>3</v>
      </c>
      <c r="U11" s="6">
        <v>56.5</v>
      </c>
      <c r="V11" s="7"/>
    </row>
    <row r="12" spans="1:22" s="8" customFormat="1" ht="12.9" customHeight="1">
      <c r="A12" s="8" t="s">
        <v>13</v>
      </c>
      <c r="B12" s="7">
        <v>241</v>
      </c>
      <c r="C12" s="7">
        <v>12406.57</v>
      </c>
      <c r="D12" s="17"/>
      <c r="E12" s="6">
        <v>149</v>
      </c>
      <c r="F12" s="6">
        <v>7783.07</v>
      </c>
      <c r="G12" s="17"/>
      <c r="H12" s="6">
        <v>24</v>
      </c>
      <c r="I12" s="6">
        <v>1175</v>
      </c>
      <c r="J12" s="17"/>
      <c r="K12" s="6">
        <v>2</v>
      </c>
      <c r="L12" s="6">
        <v>86</v>
      </c>
      <c r="M12" s="17"/>
      <c r="N12" s="6">
        <v>5</v>
      </c>
      <c r="O12" s="6">
        <v>280.5</v>
      </c>
      <c r="P12" s="6"/>
      <c r="Q12" s="6">
        <v>58</v>
      </c>
      <c r="R12" s="6">
        <v>2959</v>
      </c>
      <c r="S12" s="6"/>
      <c r="T12" s="6">
        <v>3</v>
      </c>
      <c r="U12" s="6">
        <v>123</v>
      </c>
    </row>
    <row r="13" spans="1:22" s="8" customFormat="1" ht="12.9" customHeight="1">
      <c r="A13" s="8" t="s">
        <v>14</v>
      </c>
      <c r="B13" s="7">
        <v>105</v>
      </c>
      <c r="C13" s="7">
        <v>10184.49</v>
      </c>
      <c r="D13" s="17"/>
      <c r="E13" s="6">
        <v>66</v>
      </c>
      <c r="F13" s="6">
        <v>6383.49</v>
      </c>
      <c r="G13" s="17"/>
      <c r="H13" s="6">
        <v>16</v>
      </c>
      <c r="I13" s="6">
        <v>1587</v>
      </c>
      <c r="J13" s="17"/>
      <c r="K13" s="6" t="s">
        <v>24</v>
      </c>
      <c r="L13" s="6" t="s">
        <v>24</v>
      </c>
      <c r="M13" s="17"/>
      <c r="N13" s="6" t="s">
        <v>24</v>
      </c>
      <c r="O13" s="6" t="s">
        <v>24</v>
      </c>
      <c r="P13" s="6"/>
      <c r="Q13" s="6">
        <v>21</v>
      </c>
      <c r="R13" s="6">
        <v>2008</v>
      </c>
      <c r="S13" s="6"/>
      <c r="T13" s="6">
        <v>2</v>
      </c>
      <c r="U13" s="6">
        <v>206</v>
      </c>
      <c r="V13" s="12"/>
    </row>
    <row r="14" spans="1:22" s="8" customFormat="1" ht="12.9" customHeight="1">
      <c r="A14" s="8" t="s">
        <v>15</v>
      </c>
      <c r="B14" s="7">
        <v>112</v>
      </c>
      <c r="C14" s="7">
        <v>17372.18</v>
      </c>
      <c r="D14" s="17"/>
      <c r="E14" s="6">
        <v>55</v>
      </c>
      <c r="F14" s="6">
        <v>8627</v>
      </c>
      <c r="G14" s="17"/>
      <c r="H14" s="6">
        <v>22</v>
      </c>
      <c r="I14" s="6">
        <v>3537.1800000000003</v>
      </c>
      <c r="J14" s="17"/>
      <c r="K14" s="6">
        <v>4</v>
      </c>
      <c r="L14" s="6">
        <v>608</v>
      </c>
      <c r="M14" s="17"/>
      <c r="N14" s="6">
        <v>2</v>
      </c>
      <c r="O14" s="6">
        <v>320</v>
      </c>
      <c r="P14" s="6"/>
      <c r="Q14" s="6">
        <v>28</v>
      </c>
      <c r="R14" s="6">
        <v>4160</v>
      </c>
      <c r="S14" s="6"/>
      <c r="T14" s="6">
        <v>1</v>
      </c>
      <c r="U14" s="6">
        <v>120</v>
      </c>
      <c r="V14" s="12"/>
    </row>
    <row r="15" spans="1:22" s="8" customFormat="1" ht="12.9" customHeight="1">
      <c r="A15" s="8" t="s">
        <v>16</v>
      </c>
      <c r="B15" s="7">
        <v>168</v>
      </c>
      <c r="C15" s="7">
        <v>54337.8</v>
      </c>
      <c r="D15" s="17"/>
      <c r="E15" s="6">
        <v>67</v>
      </c>
      <c r="F15" s="6">
        <v>21061.8</v>
      </c>
      <c r="G15" s="17"/>
      <c r="H15" s="6">
        <v>48</v>
      </c>
      <c r="I15" s="6">
        <v>16243</v>
      </c>
      <c r="J15" s="17"/>
      <c r="K15" s="6">
        <v>6</v>
      </c>
      <c r="L15" s="6">
        <v>1912</v>
      </c>
      <c r="M15" s="17"/>
      <c r="N15" s="6">
        <v>5</v>
      </c>
      <c r="O15" s="6">
        <v>1446</v>
      </c>
      <c r="P15" s="6"/>
      <c r="Q15" s="6">
        <v>41</v>
      </c>
      <c r="R15" s="6">
        <v>13320</v>
      </c>
      <c r="S15" s="6"/>
      <c r="T15" s="6">
        <v>1</v>
      </c>
      <c r="U15" s="6">
        <v>355</v>
      </c>
      <c r="V15" s="12"/>
    </row>
    <row r="16" spans="1:22" s="8" customFormat="1" ht="12.9" customHeight="1">
      <c r="A16" s="8" t="s">
        <v>17</v>
      </c>
      <c r="B16" s="7">
        <v>54</v>
      </c>
      <c r="C16" s="7">
        <v>37582.11</v>
      </c>
      <c r="D16" s="17"/>
      <c r="E16" s="6">
        <v>14</v>
      </c>
      <c r="F16" s="6">
        <v>9919.11</v>
      </c>
      <c r="G16" s="17"/>
      <c r="H16" s="6">
        <v>16</v>
      </c>
      <c r="I16" s="6">
        <v>10029</v>
      </c>
      <c r="J16" s="17"/>
      <c r="K16" s="6">
        <v>2</v>
      </c>
      <c r="L16" s="6">
        <v>1589</v>
      </c>
      <c r="M16" s="17"/>
      <c r="N16" s="6">
        <v>2</v>
      </c>
      <c r="O16" s="6">
        <v>1555</v>
      </c>
      <c r="P16" s="6"/>
      <c r="Q16" s="6">
        <v>20</v>
      </c>
      <c r="R16" s="6">
        <v>14490</v>
      </c>
      <c r="S16" s="6"/>
      <c r="T16" s="6" t="s">
        <v>24</v>
      </c>
      <c r="U16" s="6" t="s">
        <v>24</v>
      </c>
      <c r="V16" s="12"/>
    </row>
    <row r="17" spans="1:22" s="8" customFormat="1" ht="12.9" customHeight="1">
      <c r="A17" s="8" t="s">
        <v>18</v>
      </c>
      <c r="B17" s="7">
        <v>57</v>
      </c>
      <c r="C17" s="7">
        <v>85955.93</v>
      </c>
      <c r="D17" s="17"/>
      <c r="E17" s="6">
        <v>15</v>
      </c>
      <c r="F17" s="6">
        <v>23945</v>
      </c>
      <c r="G17" s="17"/>
      <c r="H17" s="6">
        <v>11</v>
      </c>
      <c r="I17" s="6">
        <v>15015</v>
      </c>
      <c r="J17" s="17"/>
      <c r="K17" s="6">
        <v>6</v>
      </c>
      <c r="L17" s="6">
        <v>8805</v>
      </c>
      <c r="M17" s="17"/>
      <c r="N17" s="6">
        <v>2</v>
      </c>
      <c r="O17" s="6">
        <v>3006</v>
      </c>
      <c r="P17" s="6"/>
      <c r="Q17" s="6">
        <v>23</v>
      </c>
      <c r="R17" s="6">
        <v>35184.93</v>
      </c>
      <c r="S17" s="6"/>
      <c r="T17" s="6" t="s">
        <v>24</v>
      </c>
      <c r="U17" s="6" t="s">
        <v>24</v>
      </c>
      <c r="V17" s="12"/>
    </row>
    <row r="18" spans="1:22" s="8" customFormat="1" ht="12.9" customHeight="1">
      <c r="A18" s="8" t="s">
        <v>11</v>
      </c>
      <c r="B18" s="7">
        <v>95</v>
      </c>
      <c r="C18" s="7">
        <v>394999.07</v>
      </c>
      <c r="D18" s="17"/>
      <c r="E18" s="6">
        <v>29</v>
      </c>
      <c r="F18" s="6">
        <v>119309</v>
      </c>
      <c r="G18" s="17"/>
      <c r="H18" s="6">
        <v>12</v>
      </c>
      <c r="I18" s="6">
        <v>49817</v>
      </c>
      <c r="J18" s="17"/>
      <c r="K18" s="6">
        <v>3</v>
      </c>
      <c r="L18" s="6">
        <v>9117</v>
      </c>
      <c r="M18" s="17"/>
      <c r="N18" s="6">
        <v>1</v>
      </c>
      <c r="O18" s="6">
        <v>26244</v>
      </c>
      <c r="P18" s="6"/>
      <c r="Q18" s="6">
        <v>49</v>
      </c>
      <c r="R18" s="6">
        <v>187621.07</v>
      </c>
      <c r="S18" s="6"/>
      <c r="T18" s="6">
        <v>1</v>
      </c>
      <c r="U18" s="6">
        <v>2891</v>
      </c>
      <c r="V18" s="12"/>
    </row>
    <row r="19" spans="1:22" s="8" customFormat="1" ht="12.9" customHeight="1">
      <c r="A19" s="8" t="s">
        <v>4</v>
      </c>
      <c r="B19" s="7">
        <v>340</v>
      </c>
      <c r="C19" s="7" t="s">
        <v>24</v>
      </c>
      <c r="D19" s="17"/>
      <c r="E19" s="6">
        <v>181</v>
      </c>
      <c r="F19" s="6" t="s">
        <v>24</v>
      </c>
      <c r="G19" s="17"/>
      <c r="H19" s="6">
        <v>77</v>
      </c>
      <c r="I19" s="6" t="s">
        <v>24</v>
      </c>
      <c r="J19" s="17"/>
      <c r="K19" s="6">
        <v>8</v>
      </c>
      <c r="L19" s="6" t="s">
        <v>24</v>
      </c>
      <c r="M19" s="17"/>
      <c r="N19" s="6">
        <v>4</v>
      </c>
      <c r="O19" s="6" t="s">
        <v>24</v>
      </c>
      <c r="P19" s="6"/>
      <c r="Q19" s="6">
        <v>68</v>
      </c>
      <c r="R19" s="6" t="s">
        <v>24</v>
      </c>
      <c r="S19" s="6"/>
      <c r="T19" s="6">
        <v>2</v>
      </c>
      <c r="U19" s="6" t="s">
        <v>24</v>
      </c>
      <c r="V19" s="12"/>
    </row>
    <row r="20" spans="1:22" s="8" customFormat="1" ht="9.15" customHeight="1">
      <c r="B20" s="18"/>
      <c r="C20" s="19"/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Q20" s="9"/>
      <c r="R20" s="9"/>
      <c r="T20" s="9"/>
      <c r="U20" s="9"/>
    </row>
    <row r="21" spans="1:22" s="8" customFormat="1" ht="12.9" customHeight="1">
      <c r="A21" s="9" t="s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Q21" s="9"/>
      <c r="R21" s="9"/>
      <c r="T21" s="9"/>
      <c r="U21" s="9"/>
    </row>
    <row r="22" spans="1:22" s="8" customFormat="1" ht="12.9" customHeight="1">
      <c r="A22" s="9" t="s">
        <v>26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Q22" s="9"/>
      <c r="R22" s="9"/>
      <c r="T22" s="9"/>
      <c r="U22" s="9"/>
    </row>
    <row r="23" spans="1:22" s="8" customFormat="1" ht="12.9" customHeight="1">
      <c r="A23" s="26" t="s">
        <v>33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Q23" s="9"/>
      <c r="R23" s="9"/>
      <c r="T23" s="9"/>
      <c r="U23" s="9"/>
    </row>
    <row r="24" spans="1:22" s="8" customFormat="1" ht="12.9" customHeight="1">
      <c r="A24" s="9" t="s">
        <v>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Q24" s="9"/>
      <c r="R24" s="9"/>
      <c r="T24" s="9"/>
      <c r="U24" s="9"/>
    </row>
    <row r="25" spans="1:22" s="8" customFormat="1" ht="9.15" customHeight="1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Q25" s="20"/>
      <c r="R25" s="21"/>
      <c r="T25" s="20"/>
      <c r="U25" s="21"/>
    </row>
    <row r="26" spans="1:22" ht="12.9" customHeight="1">
      <c r="A26" s="8"/>
    </row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showGridLines="0" workbookViewId="0"/>
  </sheetViews>
  <sheetFormatPr baseColWidth="10" defaultColWidth="9.6640625" defaultRowHeight="15"/>
  <cols>
    <col min="1" max="1" width="13.6640625" style="22" customWidth="1"/>
    <col min="2" max="2" width="5.58203125" style="20" customWidth="1"/>
    <col min="3" max="3" width="6.6640625" style="20" customWidth="1"/>
    <col min="4" max="4" width="0.9140625" style="20" customWidth="1"/>
    <col min="5" max="5" width="7.08203125" style="20" customWidth="1"/>
    <col min="6" max="6" width="6.9140625" style="20" customWidth="1"/>
    <col min="7" max="7" width="1" style="20" customWidth="1"/>
    <col min="8" max="8" width="5.58203125" style="20" customWidth="1"/>
    <col min="9" max="9" width="6.6640625" style="20" customWidth="1"/>
    <col min="10" max="10" width="1" style="20" customWidth="1"/>
    <col min="11" max="11" width="5.58203125" style="20" customWidth="1"/>
    <col min="12" max="12" width="6.6640625" style="20" customWidth="1"/>
    <col min="13" max="13" width="0.6640625" style="21" customWidth="1"/>
    <col min="14" max="14" width="6.33203125" style="20" customWidth="1"/>
    <col min="15" max="15" width="6.6640625" style="20" customWidth="1"/>
    <col min="16" max="16" width="1" style="22" customWidth="1"/>
    <col min="17" max="17" width="4.33203125" style="20" customWidth="1"/>
    <col min="18" max="18" width="6" style="21" customWidth="1"/>
    <col min="19" max="19" width="1" style="22" customWidth="1"/>
    <col min="20" max="20" width="4.33203125" style="20" customWidth="1"/>
    <col min="21" max="21" width="6" style="21" customWidth="1"/>
    <col min="22" max="16384" width="9.6640625" style="22"/>
  </cols>
  <sheetData>
    <row r="1" spans="1:22" s="8" customFormat="1" ht="15" customHeight="1">
      <c r="A1" s="23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9"/>
    </row>
    <row r="2" spans="1:22" s="8" customFormat="1" ht="15" customHeight="1">
      <c r="A2" s="23" t="s">
        <v>31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9"/>
    </row>
    <row r="3" spans="1:22" s="8" customFormat="1" ht="9.1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2" s="10" customFormat="1" ht="12.9" customHeight="1">
      <c r="A4" s="8" t="s">
        <v>10</v>
      </c>
      <c r="B4" s="137" t="s">
        <v>5</v>
      </c>
      <c r="C4" s="137"/>
      <c r="D4" s="5"/>
      <c r="E4" s="130" t="s">
        <v>6</v>
      </c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</row>
    <row r="5" spans="1:22" s="10" customFormat="1" ht="12.9" customHeight="1">
      <c r="A5" s="8"/>
      <c r="B5" s="11" t="s">
        <v>19</v>
      </c>
      <c r="C5" s="135" t="s">
        <v>21</v>
      </c>
      <c r="D5" s="12"/>
      <c r="E5" s="137" t="s">
        <v>3</v>
      </c>
      <c r="F5" s="137"/>
      <c r="G5" s="5"/>
      <c r="H5" s="137" t="s">
        <v>0</v>
      </c>
      <c r="I5" s="137"/>
      <c r="J5" s="13"/>
      <c r="K5" s="137" t="s">
        <v>2</v>
      </c>
      <c r="L5" s="137"/>
      <c r="M5" s="14"/>
      <c r="N5" s="137" t="s">
        <v>1</v>
      </c>
      <c r="O5" s="137"/>
      <c r="Q5" s="134" t="s">
        <v>25</v>
      </c>
      <c r="R5" s="134"/>
      <c r="T5" s="134" t="s">
        <v>4</v>
      </c>
      <c r="U5" s="134"/>
    </row>
    <row r="6" spans="1:22" s="10" customFormat="1" ht="12.9" customHeight="1">
      <c r="B6" s="11" t="s">
        <v>20</v>
      </c>
      <c r="C6" s="136"/>
      <c r="D6" s="12"/>
      <c r="E6" s="11" t="s">
        <v>19</v>
      </c>
      <c r="F6" s="135" t="s">
        <v>21</v>
      </c>
      <c r="G6" s="12"/>
      <c r="H6" s="11" t="s">
        <v>19</v>
      </c>
      <c r="I6" s="135" t="s">
        <v>21</v>
      </c>
      <c r="J6" s="12"/>
      <c r="K6" s="11" t="s">
        <v>19</v>
      </c>
      <c r="L6" s="135" t="s">
        <v>21</v>
      </c>
      <c r="M6" s="12"/>
      <c r="N6" s="11" t="s">
        <v>19</v>
      </c>
      <c r="O6" s="135" t="s">
        <v>21</v>
      </c>
      <c r="Q6" s="11" t="s">
        <v>19</v>
      </c>
      <c r="R6" s="135" t="s">
        <v>21</v>
      </c>
      <c r="T6" s="11" t="s">
        <v>19</v>
      </c>
      <c r="U6" s="135" t="s">
        <v>21</v>
      </c>
    </row>
    <row r="7" spans="1:22" s="10" customFormat="1" ht="12.9" customHeight="1">
      <c r="D7" s="5"/>
      <c r="E7" s="11" t="s">
        <v>20</v>
      </c>
      <c r="F7" s="136"/>
      <c r="G7" s="5"/>
      <c r="H7" s="11" t="s">
        <v>20</v>
      </c>
      <c r="I7" s="136"/>
      <c r="J7" s="5"/>
      <c r="K7" s="11" t="s">
        <v>20</v>
      </c>
      <c r="L7" s="136"/>
      <c r="M7" s="5"/>
      <c r="N7" s="11" t="s">
        <v>20</v>
      </c>
      <c r="O7" s="136"/>
      <c r="Q7" s="11" t="s">
        <v>20</v>
      </c>
      <c r="R7" s="136"/>
      <c r="T7" s="11" t="s">
        <v>20</v>
      </c>
      <c r="U7" s="136"/>
    </row>
    <row r="8" spans="1:22" s="8" customFormat="1" ht="9.15" customHeight="1">
      <c r="B8" s="1"/>
      <c r="C8" s="2"/>
      <c r="D8" s="1"/>
      <c r="E8" s="1"/>
      <c r="F8" s="1"/>
      <c r="G8" s="1"/>
      <c r="H8" s="3"/>
      <c r="I8" s="3"/>
      <c r="J8" s="1"/>
      <c r="K8" s="1"/>
      <c r="L8" s="1"/>
      <c r="M8" s="1"/>
      <c r="N8" s="1"/>
      <c r="O8" s="1"/>
      <c r="Q8" s="4"/>
      <c r="R8" s="4"/>
      <c r="T8" s="4"/>
      <c r="U8" s="4"/>
    </row>
    <row r="9" spans="1:22" s="8" customFormat="1" ht="12.9" customHeight="1">
      <c r="A9" s="8" t="s">
        <v>7</v>
      </c>
      <c r="B9" s="7">
        <v>955</v>
      </c>
      <c r="C9" s="7">
        <v>426758.14</v>
      </c>
      <c r="D9" s="15"/>
      <c r="E9" s="7">
        <v>508</v>
      </c>
      <c r="F9" s="7">
        <v>85825.88</v>
      </c>
      <c r="G9" s="15"/>
      <c r="H9" s="7">
        <v>176</v>
      </c>
      <c r="I9" s="7">
        <v>75776.06</v>
      </c>
      <c r="J9" s="15"/>
      <c r="K9" s="7">
        <v>30</v>
      </c>
      <c r="L9" s="7">
        <v>27853</v>
      </c>
      <c r="M9" s="15"/>
      <c r="N9" s="7">
        <v>23</v>
      </c>
      <c r="O9" s="7">
        <v>2364.71</v>
      </c>
      <c r="P9" s="16"/>
      <c r="Q9" s="7">
        <v>216</v>
      </c>
      <c r="R9" s="7">
        <v>234714.49</v>
      </c>
      <c r="S9" s="16"/>
      <c r="T9" s="7">
        <v>2</v>
      </c>
      <c r="U9" s="7">
        <v>224</v>
      </c>
    </row>
    <row r="10" spans="1:22" s="8" customFormat="1" ht="9.15" customHeight="1">
      <c r="B10" s="6"/>
      <c r="C10" s="6"/>
      <c r="D10" s="17"/>
      <c r="E10" s="6"/>
      <c r="F10" s="6"/>
      <c r="G10" s="17"/>
      <c r="H10" s="6"/>
      <c r="I10" s="6"/>
      <c r="J10" s="17"/>
      <c r="K10" s="6"/>
      <c r="L10" s="6"/>
      <c r="M10" s="17"/>
      <c r="N10" s="6"/>
      <c r="O10" s="6"/>
      <c r="P10" s="16"/>
      <c r="Q10" s="6"/>
      <c r="R10" s="6"/>
      <c r="S10" s="16"/>
      <c r="T10" s="6"/>
      <c r="U10" s="6"/>
    </row>
    <row r="11" spans="1:22" s="8" customFormat="1" ht="12.9" customHeight="1">
      <c r="A11" s="8" t="s">
        <v>12</v>
      </c>
      <c r="B11" s="7">
        <v>155</v>
      </c>
      <c r="C11" s="7">
        <v>2432.9799999999996</v>
      </c>
      <c r="D11" s="17"/>
      <c r="E11" s="6">
        <v>102</v>
      </c>
      <c r="F11" s="6">
        <v>1580.0399999999997</v>
      </c>
      <c r="G11" s="17"/>
      <c r="H11" s="6">
        <v>19</v>
      </c>
      <c r="I11" s="6">
        <v>256.5</v>
      </c>
      <c r="J11" s="17"/>
      <c r="K11" s="6">
        <v>1</v>
      </c>
      <c r="L11" s="6">
        <v>27</v>
      </c>
      <c r="M11" s="17"/>
      <c r="N11" s="6">
        <v>6</v>
      </c>
      <c r="O11" s="6">
        <v>104.6</v>
      </c>
      <c r="P11" s="6"/>
      <c r="Q11" s="6">
        <v>26</v>
      </c>
      <c r="R11" s="6">
        <v>442.84</v>
      </c>
      <c r="S11" s="6"/>
      <c r="T11" s="6">
        <v>1</v>
      </c>
      <c r="U11" s="6">
        <v>22</v>
      </c>
      <c r="V11" s="7"/>
    </row>
    <row r="12" spans="1:22" s="8" customFormat="1" ht="12.9" customHeight="1">
      <c r="A12" s="8" t="s">
        <v>13</v>
      </c>
      <c r="B12" s="7">
        <v>190</v>
      </c>
      <c r="C12" s="7">
        <v>9901.4500000000025</v>
      </c>
      <c r="D12" s="17"/>
      <c r="E12" s="6">
        <v>129</v>
      </c>
      <c r="F12" s="6">
        <v>6806.2100000000019</v>
      </c>
      <c r="G12" s="17"/>
      <c r="H12" s="6">
        <v>14</v>
      </c>
      <c r="I12" s="6">
        <v>734.88</v>
      </c>
      <c r="J12" s="17"/>
      <c r="K12" s="6" t="s">
        <v>24</v>
      </c>
      <c r="L12" s="6" t="s">
        <v>24</v>
      </c>
      <c r="M12" s="17"/>
      <c r="N12" s="6">
        <v>5</v>
      </c>
      <c r="O12" s="6">
        <v>207.34</v>
      </c>
      <c r="P12" s="6"/>
      <c r="Q12" s="6">
        <v>42</v>
      </c>
      <c r="R12" s="6">
        <v>2153.02</v>
      </c>
      <c r="S12" s="6"/>
      <c r="T12" s="6" t="s">
        <v>24</v>
      </c>
      <c r="U12" s="6" t="s">
        <v>24</v>
      </c>
    </row>
    <row r="13" spans="1:22" s="8" customFormat="1" ht="12.9" customHeight="1">
      <c r="A13" s="8" t="s">
        <v>14</v>
      </c>
      <c r="B13" s="7">
        <v>67</v>
      </c>
      <c r="C13" s="7">
        <v>6607.45</v>
      </c>
      <c r="D13" s="17"/>
      <c r="E13" s="6">
        <v>39</v>
      </c>
      <c r="F13" s="6">
        <v>3806.46</v>
      </c>
      <c r="G13" s="17"/>
      <c r="H13" s="6">
        <v>10</v>
      </c>
      <c r="I13" s="6">
        <v>1018</v>
      </c>
      <c r="J13" s="17"/>
      <c r="K13" s="6">
        <v>1</v>
      </c>
      <c r="L13" s="6">
        <v>97</v>
      </c>
      <c r="M13" s="17"/>
      <c r="N13" s="6">
        <v>1</v>
      </c>
      <c r="O13" s="6">
        <v>112.7</v>
      </c>
      <c r="P13" s="6"/>
      <c r="Q13" s="6">
        <v>16</v>
      </c>
      <c r="R13" s="6">
        <v>1573.29</v>
      </c>
      <c r="S13" s="6"/>
      <c r="T13" s="6" t="s">
        <v>24</v>
      </c>
      <c r="U13" s="6" t="s">
        <v>24</v>
      </c>
      <c r="V13" s="12"/>
    </row>
    <row r="14" spans="1:22" s="8" customFormat="1" ht="12.9" customHeight="1">
      <c r="A14" s="8" t="s">
        <v>15</v>
      </c>
      <c r="B14" s="7">
        <v>73</v>
      </c>
      <c r="C14" s="7">
        <v>11115.939999999999</v>
      </c>
      <c r="D14" s="17"/>
      <c r="E14" s="6">
        <v>34</v>
      </c>
      <c r="F14" s="6">
        <v>5065.7</v>
      </c>
      <c r="G14" s="17"/>
      <c r="H14" s="6">
        <v>23</v>
      </c>
      <c r="I14" s="6">
        <v>3583.2</v>
      </c>
      <c r="J14" s="17"/>
      <c r="K14" s="6">
        <v>5</v>
      </c>
      <c r="L14" s="6">
        <v>784</v>
      </c>
      <c r="M14" s="17"/>
      <c r="N14" s="6">
        <v>1</v>
      </c>
      <c r="O14" s="6">
        <v>126</v>
      </c>
      <c r="P14" s="6"/>
      <c r="Q14" s="6">
        <v>10</v>
      </c>
      <c r="R14" s="6">
        <v>1557.04</v>
      </c>
      <c r="S14" s="6"/>
      <c r="T14" s="6" t="s">
        <v>24</v>
      </c>
      <c r="U14" s="6" t="s">
        <v>24</v>
      </c>
      <c r="V14" s="12"/>
    </row>
    <row r="15" spans="1:22" s="8" customFormat="1" ht="12.9" customHeight="1">
      <c r="A15" s="8" t="s">
        <v>16</v>
      </c>
      <c r="B15" s="7">
        <v>117</v>
      </c>
      <c r="C15" s="7">
        <v>36705.93</v>
      </c>
      <c r="D15" s="17"/>
      <c r="E15" s="6">
        <v>51</v>
      </c>
      <c r="F15" s="6">
        <v>15717.449999999999</v>
      </c>
      <c r="G15" s="17"/>
      <c r="H15" s="6">
        <v>28</v>
      </c>
      <c r="I15" s="6">
        <v>8504.02</v>
      </c>
      <c r="J15" s="17"/>
      <c r="K15" s="6">
        <v>8</v>
      </c>
      <c r="L15" s="6">
        <v>3084</v>
      </c>
      <c r="M15" s="17"/>
      <c r="N15" s="6">
        <v>5</v>
      </c>
      <c r="O15" s="6">
        <v>1814.0700000000002</v>
      </c>
      <c r="P15" s="6"/>
      <c r="Q15" s="6">
        <v>24</v>
      </c>
      <c r="R15" s="6">
        <v>7384.39</v>
      </c>
      <c r="S15" s="6"/>
      <c r="T15" s="6">
        <v>1</v>
      </c>
      <c r="U15" s="6">
        <v>202</v>
      </c>
      <c r="V15" s="12"/>
    </row>
    <row r="16" spans="1:22" s="8" customFormat="1" ht="12.9" customHeight="1">
      <c r="A16" s="8" t="s">
        <v>17</v>
      </c>
      <c r="B16" s="7">
        <v>36</v>
      </c>
      <c r="C16" s="7">
        <v>25491.320000000003</v>
      </c>
      <c r="D16" s="17"/>
      <c r="E16" s="6">
        <v>7</v>
      </c>
      <c r="F16" s="6">
        <v>5525.6900000000005</v>
      </c>
      <c r="G16" s="17"/>
      <c r="H16" s="6">
        <v>15</v>
      </c>
      <c r="I16" s="6">
        <v>10143</v>
      </c>
      <c r="J16" s="17"/>
      <c r="K16" s="6">
        <v>2</v>
      </c>
      <c r="L16" s="6">
        <v>1362</v>
      </c>
      <c r="M16" s="17"/>
      <c r="N16" s="6" t="s">
        <v>24</v>
      </c>
      <c r="O16" s="6" t="s">
        <v>24</v>
      </c>
      <c r="P16" s="6"/>
      <c r="Q16" s="6">
        <v>12</v>
      </c>
      <c r="R16" s="6">
        <v>8460.630000000001</v>
      </c>
      <c r="S16" s="6"/>
      <c r="T16" s="6" t="s">
        <v>24</v>
      </c>
      <c r="U16" s="6" t="s">
        <v>24</v>
      </c>
      <c r="V16" s="12"/>
    </row>
    <row r="17" spans="1:22" s="8" customFormat="1" ht="12.9" customHeight="1">
      <c r="A17" s="8" t="s">
        <v>18</v>
      </c>
      <c r="B17" s="7">
        <v>43</v>
      </c>
      <c r="C17" s="7">
        <v>65340.659999999996</v>
      </c>
      <c r="D17" s="17"/>
      <c r="E17" s="6">
        <v>13</v>
      </c>
      <c r="F17" s="6">
        <v>20514.349999999999</v>
      </c>
      <c r="G17" s="17"/>
      <c r="H17" s="6">
        <v>7</v>
      </c>
      <c r="I17" s="6">
        <v>11085.46</v>
      </c>
      <c r="J17" s="17"/>
      <c r="K17" s="6">
        <v>5</v>
      </c>
      <c r="L17" s="6">
        <v>6498</v>
      </c>
      <c r="M17" s="17"/>
      <c r="N17" s="6" t="s">
        <v>24</v>
      </c>
      <c r="O17" s="6" t="s">
        <v>24</v>
      </c>
      <c r="P17" s="6"/>
      <c r="Q17" s="6">
        <v>18</v>
      </c>
      <c r="R17" s="6">
        <v>27242.85</v>
      </c>
      <c r="S17" s="6"/>
      <c r="T17" s="6" t="s">
        <v>24</v>
      </c>
      <c r="U17" s="6" t="s">
        <v>24</v>
      </c>
      <c r="V17" s="12"/>
    </row>
    <row r="18" spans="1:22" s="8" customFormat="1" ht="12.9" customHeight="1">
      <c r="A18" s="8" t="s">
        <v>29</v>
      </c>
      <c r="B18" s="7">
        <v>52</v>
      </c>
      <c r="C18" s="7">
        <v>269162.40999999997</v>
      </c>
      <c r="D18" s="17"/>
      <c r="E18" s="6">
        <v>8</v>
      </c>
      <c r="F18" s="6">
        <v>26809.98</v>
      </c>
      <c r="G18" s="17"/>
      <c r="H18" s="6">
        <v>8</v>
      </c>
      <c r="I18" s="6">
        <v>40451</v>
      </c>
      <c r="J18" s="17"/>
      <c r="K18" s="6">
        <v>3</v>
      </c>
      <c r="L18" s="6">
        <v>16001</v>
      </c>
      <c r="M18" s="17"/>
      <c r="N18" s="6" t="s">
        <v>24</v>
      </c>
      <c r="O18" s="6" t="s">
        <v>24</v>
      </c>
      <c r="P18" s="6"/>
      <c r="Q18" s="6">
        <v>33</v>
      </c>
      <c r="R18" s="6">
        <v>185900.43</v>
      </c>
      <c r="S18" s="6"/>
      <c r="T18" s="6" t="s">
        <v>24</v>
      </c>
      <c r="U18" s="6" t="s">
        <v>24</v>
      </c>
      <c r="V18" s="12"/>
    </row>
    <row r="19" spans="1:22" s="8" customFormat="1" ht="12.9" customHeight="1">
      <c r="A19" s="8" t="s">
        <v>4</v>
      </c>
      <c r="B19" s="7">
        <v>222</v>
      </c>
      <c r="C19" s="7" t="s">
        <v>24</v>
      </c>
      <c r="D19" s="17"/>
      <c r="E19" s="6">
        <v>125</v>
      </c>
      <c r="F19" s="6" t="s">
        <v>24</v>
      </c>
      <c r="G19" s="17"/>
      <c r="H19" s="6">
        <v>52</v>
      </c>
      <c r="I19" s="6" t="s">
        <v>24</v>
      </c>
      <c r="J19" s="17"/>
      <c r="K19" s="6">
        <v>5</v>
      </c>
      <c r="L19" s="6" t="s">
        <v>24</v>
      </c>
      <c r="M19" s="17"/>
      <c r="N19" s="6">
        <v>5</v>
      </c>
      <c r="O19" s="6" t="s">
        <v>24</v>
      </c>
      <c r="P19" s="6"/>
      <c r="Q19" s="6">
        <v>35</v>
      </c>
      <c r="R19" s="6" t="s">
        <v>24</v>
      </c>
      <c r="S19" s="6"/>
      <c r="T19" s="6" t="s">
        <v>24</v>
      </c>
      <c r="U19" s="6" t="s">
        <v>24</v>
      </c>
      <c r="V19" s="12"/>
    </row>
    <row r="20" spans="1:22" s="8" customFormat="1" ht="9.15" customHeight="1">
      <c r="B20" s="18"/>
      <c r="C20" s="19"/>
      <c r="D20" s="1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Q20" s="9"/>
      <c r="R20" s="9"/>
      <c r="T20" s="9"/>
      <c r="U20" s="9"/>
    </row>
    <row r="21" spans="1:22" s="8" customFormat="1" ht="12.9" customHeight="1">
      <c r="A21" s="9" t="s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Q21" s="9"/>
      <c r="R21" s="9"/>
      <c r="T21" s="9"/>
      <c r="U21" s="9"/>
    </row>
    <row r="22" spans="1:22" s="8" customFormat="1" ht="12.9" customHeight="1">
      <c r="A22" s="9" t="s">
        <v>26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Q22" s="9"/>
      <c r="R22" s="9"/>
      <c r="T22" s="9"/>
      <c r="U22" s="9"/>
    </row>
    <row r="23" spans="1:22" s="8" customFormat="1" ht="12.9" customHeight="1">
      <c r="A23" s="26" t="s">
        <v>33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Q23" s="9"/>
      <c r="R23" s="9"/>
      <c r="T23" s="9"/>
      <c r="U23" s="9"/>
    </row>
    <row r="24" spans="1:22" s="8" customFormat="1" ht="12.9" customHeight="1">
      <c r="A24" s="9" t="s">
        <v>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Q24" s="9"/>
      <c r="R24" s="9"/>
      <c r="T24" s="9"/>
      <c r="U24" s="9"/>
    </row>
    <row r="25" spans="1:22" s="8" customFormat="1" ht="9.15" customHeight="1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Q25" s="20"/>
      <c r="R25" s="21"/>
      <c r="T25" s="20"/>
      <c r="U25" s="21"/>
    </row>
    <row r="26" spans="1:22" ht="12.9" customHeight="1">
      <c r="A26" s="8"/>
    </row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showGridLines="0" workbookViewId="0"/>
  </sheetViews>
  <sheetFormatPr baseColWidth="10" defaultColWidth="9.75" defaultRowHeight="15"/>
  <cols>
    <col min="1" max="1" width="14.33203125" customWidth="1"/>
    <col min="2" max="2" width="5.58203125" style="57" customWidth="1"/>
    <col min="3" max="3" width="6.75" style="57" customWidth="1"/>
    <col min="4" max="4" width="0.9140625" style="57" customWidth="1"/>
    <col min="5" max="5" width="6.58203125" style="57" customWidth="1"/>
    <col min="6" max="6" width="6.9140625" style="57" customWidth="1"/>
    <col min="7" max="7" width="1" style="57" customWidth="1"/>
    <col min="8" max="8" width="5.58203125" style="57" customWidth="1"/>
    <col min="9" max="9" width="6.75" style="57" customWidth="1"/>
    <col min="10" max="10" width="1" style="57" customWidth="1"/>
    <col min="11" max="11" width="5.58203125" style="57" customWidth="1"/>
    <col min="12" max="12" width="6.75" style="57" customWidth="1"/>
    <col min="13" max="13" width="0.6640625" style="58" customWidth="1"/>
    <col min="14" max="14" width="6.33203125" style="57" customWidth="1"/>
    <col min="15" max="15" width="6.75" style="57" customWidth="1"/>
    <col min="16" max="16" width="1" customWidth="1"/>
    <col min="17" max="17" width="5.6640625" style="57" customWidth="1"/>
    <col min="18" max="18" width="6.75" style="58" customWidth="1"/>
  </cols>
  <sheetData>
    <row r="1" spans="1:19" s="31" customFormat="1" ht="15" customHeight="1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  <c r="S1" s="32"/>
    </row>
    <row r="2" spans="1:19" s="31" customFormat="1" ht="15" customHeight="1">
      <c r="A2" s="30" t="s">
        <v>40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  <c r="S2" s="32"/>
    </row>
    <row r="3" spans="1:19" s="31" customFormat="1" ht="9.15" customHeight="1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Q3" s="33"/>
      <c r="R3" s="33"/>
    </row>
    <row r="4" spans="1:19" s="34" customFormat="1" ht="12.9" customHeight="1">
      <c r="A4" s="31" t="s">
        <v>10</v>
      </c>
      <c r="B4" s="138" t="s">
        <v>5</v>
      </c>
      <c r="C4" s="138"/>
      <c r="D4" s="33"/>
      <c r="E4" s="139" t="s">
        <v>6</v>
      </c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</row>
    <row r="5" spans="1:19" s="34" customFormat="1" ht="12.9" customHeight="1">
      <c r="A5" s="31"/>
      <c r="B5" s="35" t="s">
        <v>19</v>
      </c>
      <c r="C5" s="140" t="s">
        <v>21</v>
      </c>
      <c r="D5" s="37"/>
      <c r="E5" s="138" t="s">
        <v>3</v>
      </c>
      <c r="F5" s="138"/>
      <c r="G5" s="33"/>
      <c r="H5" s="138" t="s">
        <v>0</v>
      </c>
      <c r="I5" s="138"/>
      <c r="J5" s="38"/>
      <c r="K5" s="138" t="s">
        <v>2</v>
      </c>
      <c r="L5" s="138"/>
      <c r="M5" s="39"/>
      <c r="N5" s="138" t="s">
        <v>1</v>
      </c>
      <c r="O5" s="138"/>
      <c r="Q5" s="142" t="s">
        <v>4</v>
      </c>
      <c r="R5" s="142"/>
    </row>
    <row r="6" spans="1:19" s="34" customFormat="1" ht="12.9" customHeight="1">
      <c r="B6" s="35" t="s">
        <v>20</v>
      </c>
      <c r="C6" s="141"/>
      <c r="D6" s="37"/>
      <c r="E6" s="35" t="s">
        <v>19</v>
      </c>
      <c r="F6" s="140" t="s">
        <v>21</v>
      </c>
      <c r="G6" s="37"/>
      <c r="H6" s="35" t="s">
        <v>19</v>
      </c>
      <c r="I6" s="140" t="s">
        <v>21</v>
      </c>
      <c r="J6" s="37"/>
      <c r="K6" s="35" t="s">
        <v>19</v>
      </c>
      <c r="L6" s="140" t="s">
        <v>21</v>
      </c>
      <c r="M6" s="37"/>
      <c r="N6" s="35" t="s">
        <v>19</v>
      </c>
      <c r="O6" s="140" t="s">
        <v>21</v>
      </c>
      <c r="Q6" s="35" t="s">
        <v>19</v>
      </c>
      <c r="R6" s="140" t="s">
        <v>21</v>
      </c>
    </row>
    <row r="7" spans="1:19" s="34" customFormat="1" ht="12.9" customHeight="1">
      <c r="D7" s="33"/>
      <c r="E7" s="35" t="s">
        <v>20</v>
      </c>
      <c r="F7" s="141"/>
      <c r="G7" s="33"/>
      <c r="H7" s="35" t="s">
        <v>20</v>
      </c>
      <c r="I7" s="141"/>
      <c r="J7" s="33"/>
      <c r="K7" s="35" t="s">
        <v>20</v>
      </c>
      <c r="L7" s="141"/>
      <c r="M7" s="33"/>
      <c r="N7" s="35" t="s">
        <v>20</v>
      </c>
      <c r="O7" s="141"/>
      <c r="Q7" s="35" t="s">
        <v>20</v>
      </c>
      <c r="R7" s="141"/>
    </row>
    <row r="8" spans="1:19" s="31" customFormat="1" ht="9.15" customHeight="1">
      <c r="B8" s="33"/>
      <c r="C8" s="37"/>
      <c r="D8" s="33"/>
      <c r="E8" s="33"/>
      <c r="F8" s="33"/>
      <c r="G8" s="33"/>
      <c r="H8" s="32"/>
      <c r="I8" s="32"/>
      <c r="J8" s="33"/>
      <c r="K8" s="33"/>
      <c r="L8" s="33"/>
      <c r="M8" s="33"/>
      <c r="N8" s="33"/>
      <c r="O8" s="33"/>
      <c r="Q8" s="35"/>
      <c r="R8" s="41"/>
    </row>
    <row r="9" spans="1:19" s="42" customFormat="1" ht="9.15" customHeight="1">
      <c r="A9" s="31"/>
      <c r="B9" s="1"/>
      <c r="C9" s="2"/>
      <c r="D9" s="1"/>
      <c r="E9" s="1"/>
      <c r="F9" s="1"/>
      <c r="G9" s="1"/>
      <c r="H9" s="3"/>
      <c r="I9" s="3"/>
      <c r="J9" s="1"/>
      <c r="K9" s="1"/>
      <c r="L9" s="1"/>
      <c r="M9" s="1"/>
      <c r="N9" s="1"/>
      <c r="O9" s="1"/>
      <c r="Q9" s="4"/>
      <c r="R9" s="4"/>
    </row>
    <row r="10" spans="1:19" s="42" customFormat="1" ht="12.9" customHeight="1">
      <c r="A10" s="31" t="s">
        <v>7</v>
      </c>
      <c r="B10" s="7">
        <v>1470</v>
      </c>
      <c r="C10" s="7">
        <v>622843.43999999994</v>
      </c>
      <c r="D10" s="43"/>
      <c r="E10" s="7">
        <v>822</v>
      </c>
      <c r="F10" s="7">
        <v>226056.61</v>
      </c>
      <c r="G10" s="43"/>
      <c r="H10" s="7">
        <v>302</v>
      </c>
      <c r="I10" s="7">
        <v>152559.54999999999</v>
      </c>
      <c r="J10" s="43"/>
      <c r="K10" s="7">
        <v>38</v>
      </c>
      <c r="L10" s="7">
        <v>44842.94</v>
      </c>
      <c r="M10" s="43"/>
      <c r="N10" s="7">
        <v>307</v>
      </c>
      <c r="O10" s="7">
        <v>199352.34</v>
      </c>
      <c r="P10" s="44"/>
      <c r="Q10" s="7">
        <v>1</v>
      </c>
      <c r="R10" s="7">
        <v>32</v>
      </c>
    </row>
    <row r="11" spans="1:19" s="42" customFormat="1" ht="9.15" customHeight="1">
      <c r="A11" s="31"/>
      <c r="B11" s="6"/>
      <c r="C11" s="45"/>
      <c r="D11" s="46"/>
      <c r="E11" s="45"/>
      <c r="F11" s="45"/>
      <c r="G11" s="46"/>
      <c r="H11" s="45"/>
      <c r="I11" s="45"/>
      <c r="J11" s="46"/>
      <c r="K11" s="45"/>
      <c r="L11" s="45"/>
      <c r="M11" s="46"/>
      <c r="N11" s="45"/>
      <c r="O11" s="45"/>
      <c r="P11" s="44"/>
      <c r="Q11" s="45"/>
      <c r="R11" s="45"/>
    </row>
    <row r="12" spans="1:19" s="42" customFormat="1" ht="12.9" customHeight="1">
      <c r="A12" s="31" t="s">
        <v>12</v>
      </c>
      <c r="B12" s="7">
        <v>316</v>
      </c>
      <c r="C12" s="7">
        <v>4538.1100000000006</v>
      </c>
      <c r="D12" s="46"/>
      <c r="E12" s="45">
        <v>200</v>
      </c>
      <c r="F12" s="45">
        <v>2769.7600000000007</v>
      </c>
      <c r="G12" s="46"/>
      <c r="H12" s="45">
        <v>50</v>
      </c>
      <c r="I12" s="45">
        <v>682.7399999999999</v>
      </c>
      <c r="J12" s="46"/>
      <c r="K12" s="45">
        <v>6</v>
      </c>
      <c r="L12" s="45">
        <v>122</v>
      </c>
      <c r="M12" s="46"/>
      <c r="N12" s="45">
        <v>60</v>
      </c>
      <c r="O12" s="45">
        <v>963.61000000000013</v>
      </c>
      <c r="P12" s="47"/>
      <c r="Q12" s="6" t="s">
        <v>24</v>
      </c>
      <c r="R12" s="6" t="s">
        <v>24</v>
      </c>
      <c r="S12" s="7"/>
    </row>
    <row r="13" spans="1:19" s="42" customFormat="1" ht="12.9" customHeight="1">
      <c r="A13" s="31" t="s">
        <v>13</v>
      </c>
      <c r="B13" s="7">
        <v>407</v>
      </c>
      <c r="C13" s="7">
        <v>21612.730000000003</v>
      </c>
      <c r="D13" s="46"/>
      <c r="E13" s="45">
        <v>275</v>
      </c>
      <c r="F13" s="45">
        <v>14777.960000000001</v>
      </c>
      <c r="G13" s="46"/>
      <c r="H13" s="45">
        <v>53</v>
      </c>
      <c r="I13" s="45">
        <v>2686.71</v>
      </c>
      <c r="J13" s="46"/>
      <c r="K13" s="45">
        <v>4</v>
      </c>
      <c r="L13" s="45">
        <v>231.4</v>
      </c>
      <c r="M13" s="46"/>
      <c r="N13" s="45">
        <v>74</v>
      </c>
      <c r="O13" s="45">
        <v>3884.66</v>
      </c>
      <c r="P13" s="47"/>
      <c r="Q13" s="48">
        <v>1</v>
      </c>
      <c r="R13" s="48">
        <v>32</v>
      </c>
    </row>
    <row r="14" spans="1:19" s="42" customFormat="1" ht="12.9" customHeight="1">
      <c r="A14" s="31" t="s">
        <v>14</v>
      </c>
      <c r="B14" s="7">
        <v>154</v>
      </c>
      <c r="C14" s="7">
        <v>15039.74</v>
      </c>
      <c r="D14" s="46"/>
      <c r="E14" s="45">
        <v>102</v>
      </c>
      <c r="F14" s="45">
        <v>9997.9</v>
      </c>
      <c r="G14" s="46"/>
      <c r="H14" s="45">
        <v>26</v>
      </c>
      <c r="I14" s="45">
        <v>2500.5200000000004</v>
      </c>
      <c r="J14" s="46"/>
      <c r="K14" s="45">
        <v>1</v>
      </c>
      <c r="L14" s="45">
        <v>102</v>
      </c>
      <c r="M14" s="46"/>
      <c r="N14" s="48">
        <v>25</v>
      </c>
      <c r="O14" s="48">
        <v>2439.3200000000002</v>
      </c>
      <c r="P14" s="47"/>
      <c r="Q14" s="48" t="s">
        <v>24</v>
      </c>
      <c r="R14" s="48" t="s">
        <v>24</v>
      </c>
      <c r="S14" s="49"/>
    </row>
    <row r="15" spans="1:19" s="42" customFormat="1" ht="12.9" customHeight="1">
      <c r="A15" s="31" t="s">
        <v>15</v>
      </c>
      <c r="B15" s="7">
        <v>165</v>
      </c>
      <c r="C15" s="7">
        <v>25592.910000000003</v>
      </c>
      <c r="D15" s="46"/>
      <c r="E15" s="45">
        <v>91</v>
      </c>
      <c r="F15" s="45">
        <v>13916.19</v>
      </c>
      <c r="G15" s="46"/>
      <c r="H15" s="45">
        <v>37</v>
      </c>
      <c r="I15" s="45">
        <v>5750.7300000000005</v>
      </c>
      <c r="J15" s="46"/>
      <c r="K15" s="45">
        <v>6</v>
      </c>
      <c r="L15" s="45">
        <v>1025.5</v>
      </c>
      <c r="M15" s="46"/>
      <c r="N15" s="45">
        <v>31</v>
      </c>
      <c r="O15" s="45">
        <v>4900.49</v>
      </c>
      <c r="P15" s="47"/>
      <c r="Q15" s="48" t="s">
        <v>24</v>
      </c>
      <c r="R15" s="48" t="s">
        <v>24</v>
      </c>
      <c r="S15" s="49"/>
    </row>
    <row r="16" spans="1:19" s="42" customFormat="1" ht="12.9" customHeight="1">
      <c r="A16" s="31" t="s">
        <v>16</v>
      </c>
      <c r="B16" s="7">
        <v>223</v>
      </c>
      <c r="C16" s="7">
        <v>69783.89</v>
      </c>
      <c r="D16" s="46"/>
      <c r="E16" s="45">
        <v>94</v>
      </c>
      <c r="F16" s="45">
        <v>28673.24</v>
      </c>
      <c r="G16" s="46"/>
      <c r="H16" s="45">
        <v>80</v>
      </c>
      <c r="I16" s="45">
        <v>25879.849999999995</v>
      </c>
      <c r="J16" s="46"/>
      <c r="K16" s="45">
        <v>5</v>
      </c>
      <c r="L16" s="45">
        <v>2077.36</v>
      </c>
      <c r="M16" s="46"/>
      <c r="N16" s="45">
        <v>44</v>
      </c>
      <c r="O16" s="45">
        <v>13153.44</v>
      </c>
      <c r="P16" s="47"/>
      <c r="Q16" s="48" t="s">
        <v>24</v>
      </c>
      <c r="R16" s="48" t="s">
        <v>24</v>
      </c>
      <c r="S16" s="49"/>
    </row>
    <row r="17" spans="1:31" s="42" customFormat="1" ht="12.9" customHeight="1">
      <c r="A17" s="31" t="s">
        <v>17</v>
      </c>
      <c r="B17" s="7">
        <v>78</v>
      </c>
      <c r="C17" s="7">
        <v>56099.57</v>
      </c>
      <c r="D17" s="46"/>
      <c r="E17" s="45">
        <v>23</v>
      </c>
      <c r="F17" s="45">
        <v>18025.080000000002</v>
      </c>
      <c r="G17" s="46"/>
      <c r="H17" s="45">
        <v>29</v>
      </c>
      <c r="I17" s="45">
        <v>19278.62</v>
      </c>
      <c r="J17" s="46"/>
      <c r="K17" s="45">
        <v>5</v>
      </c>
      <c r="L17" s="45">
        <v>3790.8</v>
      </c>
      <c r="M17" s="46"/>
      <c r="N17" s="45">
        <v>21</v>
      </c>
      <c r="O17" s="45">
        <v>15005.070000000002</v>
      </c>
      <c r="P17" s="47"/>
      <c r="Q17" s="48" t="s">
        <v>24</v>
      </c>
      <c r="R17" s="48" t="s">
        <v>24</v>
      </c>
      <c r="S17" s="49"/>
    </row>
    <row r="18" spans="1:31" s="42" customFormat="1" ht="12.9" customHeight="1">
      <c r="A18" s="31" t="s">
        <v>18</v>
      </c>
      <c r="B18" s="7">
        <v>58</v>
      </c>
      <c r="C18" s="7">
        <v>84810.41</v>
      </c>
      <c r="D18" s="46"/>
      <c r="E18" s="45">
        <v>16</v>
      </c>
      <c r="F18" s="45">
        <v>24063.58</v>
      </c>
      <c r="G18" s="46"/>
      <c r="H18" s="45">
        <v>12</v>
      </c>
      <c r="I18" s="45">
        <v>17054.73</v>
      </c>
      <c r="J18" s="46"/>
      <c r="K18" s="45">
        <v>4</v>
      </c>
      <c r="L18" s="45">
        <v>6998</v>
      </c>
      <c r="M18" s="46"/>
      <c r="N18" s="45">
        <v>26</v>
      </c>
      <c r="O18" s="45">
        <v>36694.1</v>
      </c>
      <c r="P18" s="47"/>
      <c r="Q18" s="48" t="s">
        <v>24</v>
      </c>
      <c r="R18" s="48" t="s">
        <v>24</v>
      </c>
      <c r="S18" s="49"/>
    </row>
    <row r="19" spans="1:31" s="42" customFormat="1" ht="12.9" customHeight="1">
      <c r="A19" s="31" t="s">
        <v>11</v>
      </c>
      <c r="B19" s="7">
        <v>69</v>
      </c>
      <c r="C19" s="7">
        <v>345366.07999999996</v>
      </c>
      <c r="D19" s="46"/>
      <c r="E19" s="45">
        <v>21</v>
      </c>
      <c r="F19" s="45">
        <v>113832.9</v>
      </c>
      <c r="G19" s="46"/>
      <c r="H19" s="45">
        <v>15</v>
      </c>
      <c r="I19" s="45">
        <v>78725.649999999994</v>
      </c>
      <c r="J19" s="46"/>
      <c r="K19" s="45">
        <v>7</v>
      </c>
      <c r="L19" s="45">
        <v>30495.88</v>
      </c>
      <c r="M19" s="46"/>
      <c r="N19" s="45">
        <v>26</v>
      </c>
      <c r="O19" s="45">
        <v>122311.65</v>
      </c>
      <c r="P19" s="47"/>
      <c r="Q19" s="48" t="s">
        <v>24</v>
      </c>
      <c r="R19" s="48" t="s">
        <v>24</v>
      </c>
      <c r="S19" s="49"/>
    </row>
    <row r="20" spans="1:31" s="42" customFormat="1" ht="9.15" customHeight="1">
      <c r="A20" s="31"/>
      <c r="B20" s="5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</row>
    <row r="21" spans="1:31" s="31" customFormat="1" ht="9.15" customHeight="1">
      <c r="B21" s="53"/>
      <c r="C21" s="54"/>
      <c r="D21" s="53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Q21" s="32"/>
      <c r="R21" s="32"/>
    </row>
    <row r="22" spans="1:31" s="31" customFormat="1" ht="12.9" customHeight="1">
      <c r="A22" s="32" t="s">
        <v>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Q22" s="32"/>
      <c r="R22" s="32"/>
    </row>
    <row r="23" spans="1:31" s="31" customFormat="1" ht="12.9" customHeight="1">
      <c r="A23" s="32" t="s">
        <v>32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Q23" s="32"/>
      <c r="R23" s="32"/>
    </row>
    <row r="24" spans="1:31" s="31" customFormat="1" ht="12.9" customHeight="1">
      <c r="A24" s="32" t="s">
        <v>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Q24" s="32"/>
      <c r="R24" s="32"/>
    </row>
    <row r="25" spans="1:31" s="31" customFormat="1" ht="9.1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Q25" s="55"/>
      <c r="R25" s="56"/>
    </row>
  </sheetData>
  <mergeCells count="13">
    <mergeCell ref="B4:C4"/>
    <mergeCell ref="E4:R4"/>
    <mergeCell ref="C5:C6"/>
    <mergeCell ref="E5:F5"/>
    <mergeCell ref="H5:I5"/>
    <mergeCell ref="K5:L5"/>
    <mergeCell ref="N5:O5"/>
    <mergeCell ref="Q5:R5"/>
    <mergeCell ref="F6:F7"/>
    <mergeCell ref="I6:I7"/>
    <mergeCell ref="L6:L7"/>
    <mergeCell ref="O6:O7"/>
    <mergeCell ref="R6:R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showGridLines="0" workbookViewId="0"/>
  </sheetViews>
  <sheetFormatPr baseColWidth="10" defaultColWidth="9.75" defaultRowHeight="15"/>
  <cols>
    <col min="1" max="1" width="14.33203125" customWidth="1"/>
    <col min="2" max="2" width="6.08203125" style="57" customWidth="1"/>
    <col min="3" max="3" width="8.08203125" style="57" customWidth="1"/>
    <col min="4" max="4" width="0.9140625" style="57" customWidth="1"/>
    <col min="5" max="5" width="6.58203125" style="57" customWidth="1"/>
    <col min="6" max="6" width="8.25" style="57" customWidth="1"/>
    <col min="7" max="7" width="1" style="57" customWidth="1"/>
    <col min="8" max="8" width="5.6640625" style="57" customWidth="1"/>
    <col min="9" max="9" width="7.9140625" style="57" customWidth="1"/>
    <col min="10" max="10" width="1" style="57" customWidth="1"/>
    <col min="11" max="11" width="5.58203125" style="57" customWidth="1"/>
    <col min="12" max="12" width="7.4140625" style="57" customWidth="1"/>
    <col min="13" max="13" width="0.6640625" style="58" customWidth="1"/>
    <col min="14" max="14" width="6.33203125" style="57" customWidth="1"/>
    <col min="15" max="15" width="6.4140625" style="57" customWidth="1"/>
    <col min="16" max="16" width="1" customWidth="1"/>
    <col min="17" max="17" width="5.6640625" style="57" customWidth="1"/>
    <col min="18" max="18" width="5.9140625" style="58" customWidth="1"/>
  </cols>
  <sheetData>
    <row r="1" spans="1:19" s="31" customFormat="1" ht="15" customHeight="1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  <c r="S1" s="32"/>
    </row>
    <row r="2" spans="1:19" s="31" customFormat="1" ht="15" customHeight="1">
      <c r="A2" s="30" t="s">
        <v>41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  <c r="S2" s="32"/>
    </row>
    <row r="3" spans="1:19" s="31" customFormat="1" ht="9.15" customHeight="1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Q3" s="33"/>
      <c r="R3" s="33"/>
    </row>
    <row r="4" spans="1:19" s="34" customFormat="1" ht="12.9" customHeight="1">
      <c r="A4" s="31" t="s">
        <v>10</v>
      </c>
      <c r="B4" s="138" t="s">
        <v>5</v>
      </c>
      <c r="C4" s="138"/>
      <c r="D4" s="33"/>
      <c r="E4" s="139" t="s">
        <v>6</v>
      </c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</row>
    <row r="5" spans="1:19" s="34" customFormat="1" ht="12.9" customHeight="1">
      <c r="A5" s="31"/>
      <c r="B5" s="35" t="s">
        <v>19</v>
      </c>
      <c r="C5" s="36" t="s">
        <v>42</v>
      </c>
      <c r="D5" s="37"/>
      <c r="E5" s="138" t="s">
        <v>3</v>
      </c>
      <c r="F5" s="138"/>
      <c r="G5" s="33"/>
      <c r="H5" s="138" t="s">
        <v>0</v>
      </c>
      <c r="I5" s="138"/>
      <c r="J5" s="38"/>
      <c r="K5" s="138" t="s">
        <v>2</v>
      </c>
      <c r="L5" s="138"/>
      <c r="M5" s="39"/>
      <c r="N5" s="138" t="s">
        <v>1</v>
      </c>
      <c r="O5" s="138"/>
      <c r="Q5" s="142" t="s">
        <v>4</v>
      </c>
      <c r="R5" s="142"/>
    </row>
    <row r="6" spans="1:19" s="34" customFormat="1" ht="12.9" customHeight="1">
      <c r="B6" s="35" t="s">
        <v>20</v>
      </c>
      <c r="C6" s="40" t="s">
        <v>43</v>
      </c>
      <c r="D6" s="37"/>
      <c r="E6" s="35" t="s">
        <v>19</v>
      </c>
      <c r="F6" s="36" t="s">
        <v>42</v>
      </c>
      <c r="G6" s="37"/>
      <c r="H6" s="35" t="s">
        <v>19</v>
      </c>
      <c r="I6" s="36" t="s">
        <v>42</v>
      </c>
      <c r="J6" s="37"/>
      <c r="K6" s="35" t="s">
        <v>19</v>
      </c>
      <c r="L6" s="36" t="s">
        <v>42</v>
      </c>
      <c r="M6" s="37"/>
      <c r="N6" s="35" t="s">
        <v>19</v>
      </c>
      <c r="O6" s="36" t="s">
        <v>42</v>
      </c>
      <c r="Q6" s="35" t="s">
        <v>19</v>
      </c>
      <c r="R6" s="36" t="s">
        <v>42</v>
      </c>
    </row>
    <row r="7" spans="1:19" s="34" customFormat="1" ht="12.9" customHeight="1">
      <c r="D7" s="33"/>
      <c r="E7" s="35" t="s">
        <v>20</v>
      </c>
      <c r="F7" s="40" t="s">
        <v>43</v>
      </c>
      <c r="G7" s="33"/>
      <c r="H7" s="35" t="s">
        <v>20</v>
      </c>
      <c r="I7" s="40" t="s">
        <v>43</v>
      </c>
      <c r="J7" s="33"/>
      <c r="K7" s="35" t="s">
        <v>20</v>
      </c>
      <c r="L7" s="40" t="s">
        <v>43</v>
      </c>
      <c r="M7" s="33"/>
      <c r="N7" s="35" t="s">
        <v>20</v>
      </c>
      <c r="O7" s="40" t="s">
        <v>43</v>
      </c>
      <c r="Q7" s="35" t="s">
        <v>20</v>
      </c>
      <c r="R7" s="40" t="s">
        <v>43</v>
      </c>
    </row>
    <row r="8" spans="1:19" s="31" customFormat="1" ht="9.15" customHeight="1">
      <c r="B8" s="33"/>
      <c r="C8" s="37"/>
      <c r="D8" s="33"/>
      <c r="E8" s="33"/>
      <c r="F8" s="33"/>
      <c r="G8" s="33"/>
      <c r="H8" s="32"/>
      <c r="I8" s="32"/>
      <c r="J8" s="33"/>
      <c r="K8" s="33"/>
      <c r="L8" s="33"/>
      <c r="M8" s="33"/>
      <c r="N8" s="33"/>
      <c r="O8" s="33"/>
      <c r="Q8" s="35"/>
      <c r="R8" s="41"/>
    </row>
    <row r="9" spans="1:19" s="42" customFormat="1" ht="9.15" customHeight="1">
      <c r="A9" s="31"/>
      <c r="B9" s="1"/>
      <c r="C9" s="2"/>
      <c r="D9" s="1"/>
      <c r="E9" s="1"/>
      <c r="F9" s="1"/>
      <c r="G9" s="1"/>
      <c r="H9" s="3"/>
      <c r="I9" s="3"/>
      <c r="J9" s="1"/>
      <c r="K9" s="1"/>
      <c r="L9" s="1"/>
      <c r="M9" s="1"/>
      <c r="N9" s="1"/>
      <c r="O9" s="1"/>
      <c r="Q9" s="4"/>
      <c r="R9" s="4"/>
    </row>
    <row r="10" spans="1:19" s="42" customFormat="1" ht="12.9" customHeight="1">
      <c r="A10" s="31" t="s">
        <v>7</v>
      </c>
      <c r="B10" s="7">
        <v>1762</v>
      </c>
      <c r="C10" s="7">
        <v>794792.4</v>
      </c>
      <c r="D10" s="43"/>
      <c r="E10" s="7">
        <v>902</v>
      </c>
      <c r="F10" s="7">
        <v>238404.82</v>
      </c>
      <c r="G10" s="43"/>
      <c r="H10" s="7">
        <v>394</v>
      </c>
      <c r="I10" s="7">
        <v>166601.26999999999</v>
      </c>
      <c r="J10" s="43"/>
      <c r="K10" s="7">
        <v>85</v>
      </c>
      <c r="L10" s="7">
        <v>75923.91</v>
      </c>
      <c r="M10" s="43"/>
      <c r="N10" s="7">
        <v>378</v>
      </c>
      <c r="O10" s="7">
        <v>313792.02</v>
      </c>
      <c r="P10" s="44"/>
      <c r="Q10" s="7">
        <v>3</v>
      </c>
      <c r="R10" s="7">
        <v>70.38</v>
      </c>
    </row>
    <row r="11" spans="1:19" s="42" customFormat="1" ht="9.15" customHeight="1">
      <c r="A11" s="31"/>
      <c r="B11" s="6"/>
      <c r="C11" s="45"/>
      <c r="D11" s="46"/>
      <c r="E11" s="45"/>
      <c r="F11" s="45"/>
      <c r="G11" s="46"/>
      <c r="H11" s="45"/>
      <c r="I11" s="45"/>
      <c r="J11" s="46"/>
      <c r="K11" s="45"/>
      <c r="L11" s="45"/>
      <c r="M11" s="46"/>
      <c r="N11" s="45"/>
      <c r="O11" s="45"/>
      <c r="P11" s="44"/>
      <c r="Q11" s="45"/>
      <c r="R11" s="45"/>
    </row>
    <row r="12" spans="1:19" s="42" customFormat="1" ht="12.9" customHeight="1">
      <c r="A12" s="31" t="s">
        <v>12</v>
      </c>
      <c r="B12" s="7">
        <v>371</v>
      </c>
      <c r="C12" s="7">
        <v>5546.6100000000006</v>
      </c>
      <c r="D12" s="46"/>
      <c r="E12" s="45">
        <v>227</v>
      </c>
      <c r="F12" s="45">
        <v>3352.9600000000009</v>
      </c>
      <c r="G12" s="46"/>
      <c r="H12" s="45">
        <v>60</v>
      </c>
      <c r="I12" s="45">
        <v>828.25</v>
      </c>
      <c r="J12" s="46"/>
      <c r="K12" s="45">
        <v>12</v>
      </c>
      <c r="L12" s="45">
        <v>189.25</v>
      </c>
      <c r="M12" s="46"/>
      <c r="N12" s="45">
        <v>70</v>
      </c>
      <c r="O12" s="45">
        <v>1148.6099999999999</v>
      </c>
      <c r="P12" s="47"/>
      <c r="Q12" s="6">
        <v>2</v>
      </c>
      <c r="R12" s="6">
        <v>27.54</v>
      </c>
      <c r="S12" s="7"/>
    </row>
    <row r="13" spans="1:19" s="42" customFormat="1" ht="12.9" customHeight="1">
      <c r="A13" s="31" t="s">
        <v>13</v>
      </c>
      <c r="B13" s="7">
        <v>396</v>
      </c>
      <c r="C13" s="7">
        <v>20686.410000000003</v>
      </c>
      <c r="D13" s="46"/>
      <c r="E13" s="45">
        <v>241</v>
      </c>
      <c r="F13" s="45">
        <v>12634.040000000005</v>
      </c>
      <c r="G13" s="46"/>
      <c r="H13" s="45">
        <v>67</v>
      </c>
      <c r="I13" s="45">
        <v>3287.63</v>
      </c>
      <c r="J13" s="46"/>
      <c r="K13" s="45">
        <v>12</v>
      </c>
      <c r="L13" s="45">
        <v>697.62</v>
      </c>
      <c r="M13" s="46"/>
      <c r="N13" s="45">
        <v>75</v>
      </c>
      <c r="O13" s="45">
        <v>4024.2799999999997</v>
      </c>
      <c r="P13" s="47"/>
      <c r="Q13" s="48">
        <v>1</v>
      </c>
      <c r="R13" s="48">
        <v>42.84</v>
      </c>
    </row>
    <row r="14" spans="1:19" s="42" customFormat="1" ht="12.9" customHeight="1">
      <c r="A14" s="31" t="s">
        <v>14</v>
      </c>
      <c r="B14" s="7">
        <v>183</v>
      </c>
      <c r="C14" s="7">
        <v>18098.5</v>
      </c>
      <c r="D14" s="46"/>
      <c r="E14" s="45">
        <v>105</v>
      </c>
      <c r="F14" s="45">
        <v>10365.900000000001</v>
      </c>
      <c r="G14" s="46"/>
      <c r="H14" s="45">
        <v>38</v>
      </c>
      <c r="I14" s="45">
        <v>3890.66</v>
      </c>
      <c r="J14" s="46"/>
      <c r="K14" s="45">
        <v>7</v>
      </c>
      <c r="L14" s="45">
        <v>659</v>
      </c>
      <c r="M14" s="46"/>
      <c r="N14" s="48">
        <v>33</v>
      </c>
      <c r="O14" s="48">
        <v>3182.94</v>
      </c>
      <c r="P14" s="47"/>
      <c r="Q14" s="48" t="s">
        <v>24</v>
      </c>
      <c r="R14" s="48" t="s">
        <v>24</v>
      </c>
      <c r="S14" s="49"/>
    </row>
    <row r="15" spans="1:19" s="42" customFormat="1" ht="12.9" customHeight="1">
      <c r="A15" s="31" t="s">
        <v>15</v>
      </c>
      <c r="B15" s="7">
        <v>236</v>
      </c>
      <c r="C15" s="7">
        <v>37339.880000000005</v>
      </c>
      <c r="D15" s="46"/>
      <c r="E15" s="45">
        <v>129</v>
      </c>
      <c r="F15" s="45">
        <v>20419.940000000006</v>
      </c>
      <c r="G15" s="46"/>
      <c r="H15" s="45">
        <v>57</v>
      </c>
      <c r="I15" s="45">
        <v>9090.65</v>
      </c>
      <c r="J15" s="46"/>
      <c r="K15" s="45">
        <v>9</v>
      </c>
      <c r="L15" s="45">
        <v>1511.6</v>
      </c>
      <c r="M15" s="46"/>
      <c r="N15" s="45">
        <v>41</v>
      </c>
      <c r="O15" s="45">
        <v>6317.6900000000005</v>
      </c>
      <c r="P15" s="47"/>
      <c r="Q15" s="48" t="s">
        <v>24</v>
      </c>
      <c r="R15" s="48" t="s">
        <v>24</v>
      </c>
      <c r="S15" s="49"/>
    </row>
    <row r="16" spans="1:19" s="42" customFormat="1" ht="12.9" customHeight="1">
      <c r="A16" s="31" t="s">
        <v>16</v>
      </c>
      <c r="B16" s="7">
        <v>300</v>
      </c>
      <c r="C16" s="7">
        <v>94227.73000000001</v>
      </c>
      <c r="D16" s="46"/>
      <c r="E16" s="45">
        <v>121</v>
      </c>
      <c r="F16" s="45">
        <v>37302.520000000004</v>
      </c>
      <c r="G16" s="46"/>
      <c r="H16" s="45">
        <v>101</v>
      </c>
      <c r="I16" s="45">
        <v>31105.46</v>
      </c>
      <c r="J16" s="46"/>
      <c r="K16" s="45">
        <v>23</v>
      </c>
      <c r="L16" s="45">
        <v>8146.6600000000008</v>
      </c>
      <c r="M16" s="46"/>
      <c r="N16" s="45">
        <v>55</v>
      </c>
      <c r="O16" s="45">
        <v>17673.09</v>
      </c>
      <c r="P16" s="47"/>
      <c r="Q16" s="48" t="s">
        <v>24</v>
      </c>
      <c r="R16" s="48" t="s">
        <v>24</v>
      </c>
      <c r="S16" s="49"/>
    </row>
    <row r="17" spans="1:31" s="42" customFormat="1" ht="12.9" customHeight="1">
      <c r="A17" s="31" t="s">
        <v>17</v>
      </c>
      <c r="B17" s="7">
        <v>87</v>
      </c>
      <c r="C17" s="7">
        <v>60540.22</v>
      </c>
      <c r="D17" s="46"/>
      <c r="E17" s="45">
        <v>23</v>
      </c>
      <c r="F17" s="45">
        <v>16168.71</v>
      </c>
      <c r="G17" s="46"/>
      <c r="H17" s="45">
        <v>42</v>
      </c>
      <c r="I17" s="45">
        <v>28720.78</v>
      </c>
      <c r="J17" s="46"/>
      <c r="K17" s="45">
        <v>5</v>
      </c>
      <c r="L17" s="45">
        <v>3353.42</v>
      </c>
      <c r="M17" s="46"/>
      <c r="N17" s="45">
        <v>17</v>
      </c>
      <c r="O17" s="45">
        <v>12297.310000000001</v>
      </c>
      <c r="P17" s="47"/>
      <c r="Q17" s="48" t="s">
        <v>24</v>
      </c>
      <c r="R17" s="48" t="s">
        <v>24</v>
      </c>
      <c r="S17" s="49"/>
    </row>
    <row r="18" spans="1:31" s="42" customFormat="1" ht="12.9" customHeight="1">
      <c r="A18" s="31" t="s">
        <v>18</v>
      </c>
      <c r="B18" s="7">
        <v>85</v>
      </c>
      <c r="C18" s="7">
        <v>121512.03</v>
      </c>
      <c r="D18" s="46"/>
      <c r="E18" s="45">
        <v>29</v>
      </c>
      <c r="F18" s="45">
        <v>42118.130000000005</v>
      </c>
      <c r="G18" s="46"/>
      <c r="H18" s="45">
        <v>17</v>
      </c>
      <c r="I18" s="45">
        <v>23898.7</v>
      </c>
      <c r="J18" s="46"/>
      <c r="K18" s="45">
        <v>8</v>
      </c>
      <c r="L18" s="45">
        <v>10596.5</v>
      </c>
      <c r="M18" s="46"/>
      <c r="N18" s="45">
        <v>31</v>
      </c>
      <c r="O18" s="45">
        <v>44898.7</v>
      </c>
      <c r="P18" s="47"/>
      <c r="Q18" s="48" t="s">
        <v>24</v>
      </c>
      <c r="R18" s="48" t="s">
        <v>24</v>
      </c>
      <c r="S18" s="49"/>
    </row>
    <row r="19" spans="1:31" s="42" customFormat="1" ht="12.9" customHeight="1">
      <c r="A19" s="31" t="s">
        <v>11</v>
      </c>
      <c r="B19" s="7">
        <v>102</v>
      </c>
      <c r="C19" s="7">
        <v>436841.02</v>
      </c>
      <c r="D19" s="46"/>
      <c r="E19" s="45">
        <v>25</v>
      </c>
      <c r="F19" s="45">
        <v>96042.62</v>
      </c>
      <c r="G19" s="46"/>
      <c r="H19" s="45">
        <v>12</v>
      </c>
      <c r="I19" s="45">
        <v>65779.14</v>
      </c>
      <c r="J19" s="46"/>
      <c r="K19" s="45">
        <v>9</v>
      </c>
      <c r="L19" s="45">
        <v>50769.86</v>
      </c>
      <c r="M19" s="46"/>
      <c r="N19" s="45">
        <v>56</v>
      </c>
      <c r="O19" s="45">
        <v>224249.40000000002</v>
      </c>
      <c r="P19" s="47"/>
      <c r="Q19" s="48" t="s">
        <v>24</v>
      </c>
      <c r="R19" s="48" t="s">
        <v>24</v>
      </c>
      <c r="S19" s="49"/>
    </row>
    <row r="20" spans="1:31" s="42" customFormat="1" ht="12.9" customHeight="1">
      <c r="A20" s="31" t="s">
        <v>4</v>
      </c>
      <c r="B20" s="7">
        <v>2</v>
      </c>
      <c r="C20" s="7" t="s">
        <v>24</v>
      </c>
      <c r="D20" s="48"/>
      <c r="E20" s="48">
        <v>2</v>
      </c>
      <c r="F20" s="48" t="s">
        <v>24</v>
      </c>
      <c r="G20" s="46"/>
      <c r="H20" s="45" t="s">
        <v>24</v>
      </c>
      <c r="I20" s="48" t="s">
        <v>24</v>
      </c>
      <c r="J20" s="46"/>
      <c r="K20" s="48" t="s">
        <v>24</v>
      </c>
      <c r="L20" s="48" t="s">
        <v>24</v>
      </c>
      <c r="M20" s="46"/>
      <c r="N20" s="48" t="s">
        <v>24</v>
      </c>
      <c r="O20" s="48" t="s">
        <v>24</v>
      </c>
      <c r="P20" s="47"/>
      <c r="Q20" s="48" t="s">
        <v>24</v>
      </c>
      <c r="R20" s="48" t="s">
        <v>24</v>
      </c>
      <c r="S20" s="49"/>
    </row>
    <row r="21" spans="1:31" s="42" customFormat="1" ht="9.15" customHeight="1">
      <c r="A21" s="31"/>
      <c r="B21" s="5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 spans="1:31" s="31" customFormat="1" ht="9.15" customHeight="1">
      <c r="B22" s="53"/>
      <c r="C22" s="54"/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Q22" s="32"/>
      <c r="R22" s="32"/>
    </row>
    <row r="23" spans="1:31" s="31" customFormat="1" ht="12.9" customHeight="1">
      <c r="A23" s="32" t="s">
        <v>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Q23" s="32"/>
      <c r="R23" s="32"/>
    </row>
    <row r="24" spans="1:31" s="31" customFormat="1" ht="12.9" customHeight="1">
      <c r="A24" s="32" t="s">
        <v>32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Q24" s="32"/>
      <c r="R24" s="32"/>
    </row>
    <row r="25" spans="1:31" s="31" customFormat="1" ht="12.9" customHeight="1">
      <c r="A25" s="32" t="s">
        <v>9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Q25" s="32"/>
      <c r="R25" s="32"/>
    </row>
    <row r="26" spans="1:31" s="31" customFormat="1" ht="9.1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Q26" s="55"/>
      <c r="R26" s="56"/>
    </row>
  </sheetData>
  <mergeCells count="7">
    <mergeCell ref="B4:C4"/>
    <mergeCell ref="E4:R4"/>
    <mergeCell ref="E5:F5"/>
    <mergeCell ref="H5:I5"/>
    <mergeCell ref="K5:L5"/>
    <mergeCell ref="N5:O5"/>
    <mergeCell ref="Q5:R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showGridLines="0" workbookViewId="0"/>
  </sheetViews>
  <sheetFormatPr baseColWidth="10" defaultColWidth="9.75" defaultRowHeight="15"/>
  <cols>
    <col min="1" max="1" width="14.33203125" customWidth="1"/>
    <col min="2" max="2" width="6.08203125" style="57" customWidth="1"/>
    <col min="3" max="3" width="8.08203125" style="57" customWidth="1"/>
    <col min="4" max="4" width="0.9140625" style="57" customWidth="1"/>
    <col min="5" max="5" width="6.58203125" style="57" customWidth="1"/>
    <col min="6" max="6" width="8.25" style="57" customWidth="1"/>
    <col min="7" max="7" width="1" style="57" customWidth="1"/>
    <col min="8" max="8" width="5.6640625" style="57" customWidth="1"/>
    <col min="9" max="9" width="7.9140625" style="57" customWidth="1"/>
    <col min="10" max="10" width="1" style="57" customWidth="1"/>
    <col min="11" max="11" width="5.58203125" style="57" customWidth="1"/>
    <col min="12" max="12" width="7.4140625" style="57" customWidth="1"/>
    <col min="13" max="13" width="0.6640625" style="58" customWidth="1"/>
    <col min="14" max="14" width="6.33203125" style="57" customWidth="1"/>
    <col min="15" max="15" width="6.4140625" style="57" customWidth="1"/>
    <col min="16" max="16" width="1" customWidth="1"/>
    <col min="17" max="17" width="5.6640625" style="57" customWidth="1"/>
    <col min="18" max="18" width="5.9140625" style="58" customWidth="1"/>
  </cols>
  <sheetData>
    <row r="1" spans="1:19" s="31" customFormat="1" ht="15" customHeight="1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  <c r="S1" s="32"/>
    </row>
    <row r="2" spans="1:19" s="31" customFormat="1" ht="15" customHeight="1">
      <c r="A2" s="30" t="s">
        <v>44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  <c r="S2" s="32"/>
    </row>
    <row r="3" spans="1:19" s="31" customFormat="1" ht="9.15" customHeight="1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Q3" s="33"/>
      <c r="R3" s="33"/>
    </row>
    <row r="4" spans="1:19" s="34" customFormat="1" ht="12.9" customHeight="1">
      <c r="A4" s="31" t="s">
        <v>10</v>
      </c>
      <c r="B4" s="138" t="s">
        <v>5</v>
      </c>
      <c r="C4" s="138"/>
      <c r="D4" s="33"/>
      <c r="E4" s="139" t="s">
        <v>6</v>
      </c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</row>
    <row r="5" spans="1:19" s="34" customFormat="1" ht="12.9" customHeight="1">
      <c r="A5" s="31"/>
      <c r="B5" s="35" t="s">
        <v>19</v>
      </c>
      <c r="C5" s="59" t="s">
        <v>45</v>
      </c>
      <c r="D5" s="37"/>
      <c r="E5" s="138" t="s">
        <v>3</v>
      </c>
      <c r="F5" s="138"/>
      <c r="G5" s="33"/>
      <c r="H5" s="138" t="s">
        <v>0</v>
      </c>
      <c r="I5" s="138"/>
      <c r="J5" s="38"/>
      <c r="K5" s="138" t="s">
        <v>2</v>
      </c>
      <c r="L5" s="138"/>
      <c r="M5" s="39"/>
      <c r="N5" s="138" t="s">
        <v>1</v>
      </c>
      <c r="O5" s="138"/>
      <c r="Q5" s="142" t="s">
        <v>4</v>
      </c>
      <c r="R5" s="142"/>
    </row>
    <row r="6" spans="1:19" s="34" customFormat="1" ht="12.9" customHeight="1">
      <c r="B6" s="35" t="s">
        <v>46</v>
      </c>
      <c r="C6" s="60"/>
      <c r="D6" s="37"/>
      <c r="E6" s="35" t="s">
        <v>19</v>
      </c>
      <c r="F6" s="143" t="s">
        <v>45</v>
      </c>
      <c r="G6" s="37"/>
      <c r="H6" s="35" t="s">
        <v>19</v>
      </c>
      <c r="I6" s="143" t="s">
        <v>45</v>
      </c>
      <c r="J6" s="37"/>
      <c r="K6" s="35" t="s">
        <v>19</v>
      </c>
      <c r="L6" s="143" t="s">
        <v>45</v>
      </c>
      <c r="M6" s="37"/>
      <c r="N6" s="35" t="s">
        <v>19</v>
      </c>
      <c r="O6" s="143" t="s">
        <v>45</v>
      </c>
      <c r="Q6" s="35" t="s">
        <v>19</v>
      </c>
      <c r="R6" s="143" t="s">
        <v>45</v>
      </c>
    </row>
    <row r="7" spans="1:19" s="34" customFormat="1" ht="12.9" customHeight="1">
      <c r="D7" s="33"/>
      <c r="E7" s="35" t="s">
        <v>46</v>
      </c>
      <c r="F7" s="144"/>
      <c r="G7" s="33"/>
      <c r="H7" s="35" t="s">
        <v>46</v>
      </c>
      <c r="I7" s="144"/>
      <c r="J7" s="33"/>
      <c r="K7" s="35" t="s">
        <v>46</v>
      </c>
      <c r="L7" s="144"/>
      <c r="M7" s="33"/>
      <c r="N7" s="35" t="s">
        <v>46</v>
      </c>
      <c r="O7" s="144"/>
      <c r="Q7" s="35" t="s">
        <v>46</v>
      </c>
      <c r="R7" s="144"/>
    </row>
    <row r="8" spans="1:19" s="31" customFormat="1" ht="9.15" customHeight="1">
      <c r="B8" s="33"/>
      <c r="C8" s="37"/>
      <c r="D8" s="33"/>
      <c r="E8" s="33"/>
      <c r="F8" s="33"/>
      <c r="G8" s="33"/>
      <c r="H8" s="32"/>
      <c r="I8" s="32"/>
      <c r="J8" s="33"/>
      <c r="K8" s="33"/>
      <c r="L8" s="33"/>
      <c r="M8" s="33"/>
      <c r="N8" s="33"/>
      <c r="O8" s="33"/>
      <c r="Q8" s="35"/>
      <c r="R8" s="41"/>
    </row>
    <row r="9" spans="1:19" s="42" customFormat="1" ht="9.15" customHeight="1">
      <c r="A9" s="31"/>
      <c r="B9" s="1"/>
      <c r="C9" s="2"/>
      <c r="D9" s="1"/>
      <c r="E9" s="1"/>
      <c r="F9" s="1"/>
      <c r="G9" s="1"/>
      <c r="H9" s="3"/>
      <c r="I9" s="3"/>
      <c r="J9" s="1"/>
      <c r="K9" s="1"/>
      <c r="L9" s="1"/>
      <c r="M9" s="1"/>
      <c r="N9" s="1"/>
      <c r="O9" s="1"/>
      <c r="Q9" s="4"/>
      <c r="R9" s="4"/>
    </row>
    <row r="10" spans="1:19" s="42" customFormat="1" ht="12.9" customHeight="1">
      <c r="A10" s="31" t="s">
        <v>7</v>
      </c>
      <c r="B10" s="7">
        <v>1405</v>
      </c>
      <c r="C10" s="7">
        <v>742990.97199999995</v>
      </c>
      <c r="D10" s="43"/>
      <c r="E10" s="7">
        <v>1010</v>
      </c>
      <c r="F10" s="7">
        <v>516608.304</v>
      </c>
      <c r="G10" s="43"/>
      <c r="H10" s="7">
        <v>282</v>
      </c>
      <c r="I10" s="7">
        <v>146903.39799999999</v>
      </c>
      <c r="J10" s="43"/>
      <c r="K10" s="7">
        <v>61</v>
      </c>
      <c r="L10" s="7">
        <v>65685.73000000001</v>
      </c>
      <c r="M10" s="43"/>
      <c r="N10" s="7">
        <v>47</v>
      </c>
      <c r="O10" s="7">
        <v>13532.419999999998</v>
      </c>
      <c r="P10" s="44"/>
      <c r="Q10" s="7">
        <v>5</v>
      </c>
      <c r="R10" s="7">
        <v>261.12</v>
      </c>
    </row>
    <row r="11" spans="1:19" s="42" customFormat="1" ht="9.15" customHeight="1">
      <c r="A11" s="31"/>
      <c r="B11" s="6"/>
      <c r="C11" s="45"/>
      <c r="D11" s="46"/>
      <c r="E11" s="45"/>
      <c r="F11" s="45"/>
      <c r="G11" s="46"/>
      <c r="H11" s="45"/>
      <c r="I11" s="45"/>
      <c r="J11" s="46"/>
      <c r="K11" s="45"/>
      <c r="L11" s="45"/>
      <c r="M11" s="46"/>
      <c r="N11" s="45"/>
      <c r="O11" s="45"/>
      <c r="P11" s="44"/>
      <c r="Q11" s="45"/>
      <c r="R11" s="45"/>
    </row>
    <row r="12" spans="1:19" s="42" customFormat="1" ht="12.9" customHeight="1">
      <c r="A12" s="31" t="s">
        <v>12</v>
      </c>
      <c r="B12" s="6">
        <v>450</v>
      </c>
      <c r="C12" s="6">
        <v>3164.0359999999991</v>
      </c>
      <c r="D12" s="46"/>
      <c r="E12" s="45">
        <v>376</v>
      </c>
      <c r="F12" s="45">
        <v>2657.2189999999991</v>
      </c>
      <c r="G12" s="46"/>
      <c r="H12" s="45">
        <v>54</v>
      </c>
      <c r="I12" s="45">
        <v>315.58700000000005</v>
      </c>
      <c r="J12" s="46"/>
      <c r="K12" s="45">
        <v>8</v>
      </c>
      <c r="L12" s="45">
        <v>63.73</v>
      </c>
      <c r="M12" s="46"/>
      <c r="N12" s="45">
        <v>12</v>
      </c>
      <c r="O12" s="45">
        <v>127.5</v>
      </c>
      <c r="P12" s="47"/>
      <c r="Q12" s="6" t="s">
        <v>24</v>
      </c>
      <c r="R12" s="6" t="s">
        <v>24</v>
      </c>
      <c r="S12" s="7"/>
    </row>
    <row r="13" spans="1:19" s="42" customFormat="1" ht="12.9" customHeight="1">
      <c r="A13" s="31" t="s">
        <v>13</v>
      </c>
      <c r="B13" s="6">
        <v>255</v>
      </c>
      <c r="C13" s="6">
        <v>13264.306</v>
      </c>
      <c r="D13" s="46"/>
      <c r="E13" s="45">
        <v>208</v>
      </c>
      <c r="F13" s="45">
        <v>10872.934999999999</v>
      </c>
      <c r="G13" s="46"/>
      <c r="H13" s="45">
        <v>30</v>
      </c>
      <c r="I13" s="45">
        <v>1525.241</v>
      </c>
      <c r="J13" s="46"/>
      <c r="K13" s="45">
        <v>3</v>
      </c>
      <c r="L13" s="45">
        <v>177</v>
      </c>
      <c r="M13" s="46"/>
      <c r="N13" s="45">
        <v>13</v>
      </c>
      <c r="O13" s="45">
        <v>645.01</v>
      </c>
      <c r="P13" s="47"/>
      <c r="Q13" s="48">
        <v>1</v>
      </c>
      <c r="R13" s="48">
        <v>44.12</v>
      </c>
    </row>
    <row r="14" spans="1:19" s="42" customFormat="1" ht="12.9" customHeight="1">
      <c r="A14" s="31" t="s">
        <v>14</v>
      </c>
      <c r="B14" s="6">
        <v>121</v>
      </c>
      <c r="C14" s="6">
        <v>11827.57</v>
      </c>
      <c r="D14" s="46"/>
      <c r="E14" s="45">
        <v>81</v>
      </c>
      <c r="F14" s="45">
        <v>7847.42</v>
      </c>
      <c r="G14" s="46"/>
      <c r="H14" s="45">
        <v>29</v>
      </c>
      <c r="I14" s="45">
        <v>2887.25</v>
      </c>
      <c r="J14" s="46"/>
      <c r="K14" s="45">
        <v>5</v>
      </c>
      <c r="L14" s="45">
        <v>535.9</v>
      </c>
      <c r="M14" s="46"/>
      <c r="N14" s="48">
        <v>4</v>
      </c>
      <c r="O14" s="48">
        <v>340</v>
      </c>
      <c r="P14" s="47"/>
      <c r="Q14" s="48">
        <v>2</v>
      </c>
      <c r="R14" s="48">
        <v>217</v>
      </c>
      <c r="S14" s="49"/>
    </row>
    <row r="15" spans="1:19" s="42" customFormat="1" ht="12.9" customHeight="1">
      <c r="A15" s="31" t="s">
        <v>15</v>
      </c>
      <c r="B15" s="6">
        <v>137</v>
      </c>
      <c r="C15" s="6">
        <v>21398.58</v>
      </c>
      <c r="D15" s="46"/>
      <c r="E15" s="45">
        <v>91</v>
      </c>
      <c r="F15" s="45">
        <v>14230.45</v>
      </c>
      <c r="G15" s="46"/>
      <c r="H15" s="45">
        <v>39</v>
      </c>
      <c r="I15" s="45">
        <v>6101.88</v>
      </c>
      <c r="J15" s="46"/>
      <c r="K15" s="45">
        <v>4</v>
      </c>
      <c r="L15" s="45">
        <v>628.35</v>
      </c>
      <c r="M15" s="46"/>
      <c r="N15" s="45">
        <v>3</v>
      </c>
      <c r="O15" s="45">
        <v>437.9</v>
      </c>
      <c r="P15" s="47"/>
      <c r="Q15" s="48" t="s">
        <v>24</v>
      </c>
      <c r="R15" s="48" t="s">
        <v>24</v>
      </c>
      <c r="S15" s="49"/>
    </row>
    <row r="16" spans="1:19" s="42" customFormat="1" ht="12.9" customHeight="1">
      <c r="A16" s="31" t="s">
        <v>16</v>
      </c>
      <c r="B16" s="6">
        <v>185</v>
      </c>
      <c r="C16" s="6">
        <v>59594.09</v>
      </c>
      <c r="D16" s="46"/>
      <c r="E16" s="45">
        <v>103</v>
      </c>
      <c r="F16" s="45">
        <v>32463.96</v>
      </c>
      <c r="G16" s="46"/>
      <c r="H16" s="45">
        <v>64</v>
      </c>
      <c r="I16" s="45">
        <v>21269.64</v>
      </c>
      <c r="J16" s="46"/>
      <c r="K16" s="45">
        <v>13</v>
      </c>
      <c r="L16" s="45">
        <v>4357.6099999999997</v>
      </c>
      <c r="M16" s="46"/>
      <c r="N16" s="45">
        <v>5</v>
      </c>
      <c r="O16" s="45">
        <v>1502.88</v>
      </c>
      <c r="P16" s="47"/>
      <c r="Q16" s="48" t="s">
        <v>24</v>
      </c>
      <c r="R16" s="48" t="s">
        <v>24</v>
      </c>
      <c r="S16" s="49"/>
    </row>
    <row r="17" spans="1:31" s="42" customFormat="1" ht="12.9" customHeight="1">
      <c r="A17" s="31" t="s">
        <v>17</v>
      </c>
      <c r="B17" s="6">
        <v>73</v>
      </c>
      <c r="C17" s="6">
        <v>52449.240000000005</v>
      </c>
      <c r="D17" s="46"/>
      <c r="E17" s="45">
        <v>27</v>
      </c>
      <c r="F17" s="45">
        <v>20107.2</v>
      </c>
      <c r="G17" s="46"/>
      <c r="H17" s="45">
        <v>29</v>
      </c>
      <c r="I17" s="45">
        <v>19610.04</v>
      </c>
      <c r="J17" s="46"/>
      <c r="K17" s="45">
        <v>11</v>
      </c>
      <c r="L17" s="45">
        <v>8429.58</v>
      </c>
      <c r="M17" s="46"/>
      <c r="N17" s="45">
        <v>6</v>
      </c>
      <c r="O17" s="45">
        <v>4302.42</v>
      </c>
      <c r="P17" s="47"/>
      <c r="Q17" s="48" t="s">
        <v>24</v>
      </c>
      <c r="R17" s="48" t="s">
        <v>24</v>
      </c>
      <c r="S17" s="49"/>
    </row>
    <row r="18" spans="1:31" s="42" customFormat="1" ht="12.9" customHeight="1">
      <c r="A18" s="31" t="s">
        <v>18</v>
      </c>
      <c r="B18" s="6">
        <v>75</v>
      </c>
      <c r="C18" s="6">
        <v>111526.74</v>
      </c>
      <c r="D18" s="46"/>
      <c r="E18" s="45">
        <v>48</v>
      </c>
      <c r="F18" s="45">
        <v>73257.710000000006</v>
      </c>
      <c r="G18" s="46"/>
      <c r="H18" s="45">
        <v>20</v>
      </c>
      <c r="I18" s="45">
        <v>27368.13</v>
      </c>
      <c r="J18" s="46"/>
      <c r="K18" s="45">
        <v>5</v>
      </c>
      <c r="L18" s="45">
        <v>7839.9</v>
      </c>
      <c r="M18" s="46"/>
      <c r="N18" s="45">
        <v>2</v>
      </c>
      <c r="O18" s="45">
        <v>3061</v>
      </c>
      <c r="P18" s="47"/>
      <c r="Q18" s="48" t="s">
        <v>24</v>
      </c>
      <c r="R18" s="48" t="s">
        <v>24</v>
      </c>
      <c r="S18" s="49"/>
    </row>
    <row r="19" spans="1:31" s="42" customFormat="1" ht="12.9" customHeight="1">
      <c r="A19" s="31" t="s">
        <v>11</v>
      </c>
      <c r="B19" s="6">
        <v>97</v>
      </c>
      <c r="C19" s="6">
        <v>469766.41</v>
      </c>
      <c r="D19" s="46"/>
      <c r="E19" s="45">
        <v>69</v>
      </c>
      <c r="F19" s="45">
        <v>355171.41</v>
      </c>
      <c r="G19" s="46"/>
      <c r="H19" s="45">
        <v>15</v>
      </c>
      <c r="I19" s="45">
        <v>67825.63</v>
      </c>
      <c r="J19" s="46"/>
      <c r="K19" s="45">
        <v>12</v>
      </c>
      <c r="L19" s="45">
        <v>43653.66</v>
      </c>
      <c r="M19" s="46"/>
      <c r="N19" s="45">
        <v>1</v>
      </c>
      <c r="O19" s="45">
        <v>3115.71</v>
      </c>
      <c r="P19" s="47"/>
      <c r="Q19" s="48" t="s">
        <v>24</v>
      </c>
      <c r="R19" s="48" t="s">
        <v>24</v>
      </c>
      <c r="S19" s="49"/>
    </row>
    <row r="20" spans="1:31" s="42" customFormat="1" ht="12.9" customHeight="1">
      <c r="A20" s="31" t="s">
        <v>4</v>
      </c>
      <c r="B20" s="6">
        <v>12</v>
      </c>
      <c r="C20" s="6" t="s">
        <v>24</v>
      </c>
      <c r="D20" s="48"/>
      <c r="E20" s="48">
        <v>7</v>
      </c>
      <c r="F20" s="48" t="s">
        <v>24</v>
      </c>
      <c r="G20" s="46"/>
      <c r="H20" s="45">
        <v>2</v>
      </c>
      <c r="I20" s="48" t="s">
        <v>24</v>
      </c>
      <c r="J20" s="46"/>
      <c r="K20" s="48" t="s">
        <v>24</v>
      </c>
      <c r="L20" s="48" t="s">
        <v>24</v>
      </c>
      <c r="M20" s="46"/>
      <c r="N20" s="48">
        <v>1</v>
      </c>
      <c r="O20" s="48" t="s">
        <v>24</v>
      </c>
      <c r="P20" s="47"/>
      <c r="Q20" s="48">
        <v>2</v>
      </c>
      <c r="R20" s="48" t="s">
        <v>24</v>
      </c>
      <c r="S20" s="49"/>
    </row>
    <row r="21" spans="1:31" s="42" customFormat="1" ht="9.15" customHeight="1">
      <c r="A21" s="31"/>
      <c r="B21" s="5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 spans="1:31" s="31" customFormat="1" ht="9.15" customHeight="1">
      <c r="B22" s="53"/>
      <c r="C22" s="54"/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Q22" s="32"/>
      <c r="R22" s="32"/>
    </row>
    <row r="23" spans="1:31" s="31" customFormat="1" ht="12.9" customHeight="1">
      <c r="A23" s="32" t="s">
        <v>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Q23" s="32"/>
      <c r="R23" s="32"/>
    </row>
    <row r="24" spans="1:31" s="31" customFormat="1" ht="12.9" customHeight="1">
      <c r="A24" s="32" t="s">
        <v>32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Q24" s="32"/>
      <c r="R24" s="32"/>
    </row>
    <row r="25" spans="1:31" s="31" customFormat="1" ht="12.9" customHeight="1">
      <c r="A25" s="32" t="s">
        <v>9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Q25" s="32"/>
      <c r="R25" s="32"/>
    </row>
    <row r="26" spans="1:31" s="31" customFormat="1" ht="9.1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Q26" s="55"/>
      <c r="R26" s="56"/>
    </row>
  </sheetData>
  <mergeCells count="12">
    <mergeCell ref="F6:F7"/>
    <mergeCell ref="I6:I7"/>
    <mergeCell ref="L6:L7"/>
    <mergeCell ref="O6:O7"/>
    <mergeCell ref="R6:R7"/>
    <mergeCell ref="B4:C4"/>
    <mergeCell ref="E4:R4"/>
    <mergeCell ref="E5:F5"/>
    <mergeCell ref="H5:I5"/>
    <mergeCell ref="K5:L5"/>
    <mergeCell ref="N5:O5"/>
    <mergeCell ref="Q5:R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"/>
  <sheetViews>
    <sheetView showGridLines="0" workbookViewId="0"/>
  </sheetViews>
  <sheetFormatPr baseColWidth="10" defaultColWidth="9.75" defaultRowHeight="15"/>
  <cols>
    <col min="1" max="1" width="14.33203125" customWidth="1"/>
    <col min="2" max="2" width="6.08203125" style="57" customWidth="1"/>
    <col min="3" max="3" width="8.08203125" style="57" customWidth="1"/>
    <col min="4" max="4" width="0.9140625" style="57" customWidth="1"/>
    <col min="5" max="5" width="6.58203125" style="57" customWidth="1"/>
    <col min="6" max="6" width="8.25" style="57" customWidth="1"/>
    <col min="7" max="7" width="1" style="57" customWidth="1"/>
    <col min="8" max="8" width="5.6640625" style="57" customWidth="1"/>
    <col min="9" max="9" width="7.9140625" style="57" customWidth="1"/>
    <col min="10" max="10" width="1" style="57" customWidth="1"/>
    <col min="11" max="11" width="5.58203125" style="57" customWidth="1"/>
    <col min="12" max="12" width="7.4140625" style="57" customWidth="1"/>
    <col min="13" max="13" width="0.6640625" style="58" customWidth="1"/>
    <col min="14" max="14" width="6.33203125" style="57" customWidth="1"/>
    <col min="15" max="15" width="6.4140625" style="57" customWidth="1"/>
    <col min="16" max="16" width="1" customWidth="1"/>
    <col min="17" max="17" width="5.6640625" style="57" customWidth="1"/>
    <col min="18" max="18" width="5.9140625" style="58" customWidth="1"/>
  </cols>
  <sheetData>
    <row r="1" spans="1:19" s="31" customFormat="1" ht="15" customHeight="1">
      <c r="A1" s="30" t="s">
        <v>47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  <c r="S1" s="32"/>
    </row>
    <row r="2" spans="1:19" s="31" customFormat="1" ht="15" customHeight="1">
      <c r="A2" s="30" t="s">
        <v>48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  <c r="S2" s="32"/>
    </row>
    <row r="3" spans="1:19" s="31" customFormat="1" ht="9.15" customHeight="1"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Q3" s="33"/>
      <c r="R3" s="33"/>
    </row>
    <row r="4" spans="1:19" s="34" customFormat="1" ht="12.9" customHeight="1">
      <c r="A4" s="31" t="s">
        <v>10</v>
      </c>
      <c r="B4" s="138" t="s">
        <v>5</v>
      </c>
      <c r="C4" s="138"/>
      <c r="D4" s="33"/>
      <c r="E4" s="139" t="s">
        <v>6</v>
      </c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</row>
    <row r="5" spans="1:19" s="34" customFormat="1" ht="15" customHeight="1">
      <c r="A5" s="31"/>
      <c r="B5" s="35" t="s">
        <v>49</v>
      </c>
      <c r="C5" s="59" t="s">
        <v>45</v>
      </c>
      <c r="D5" s="37"/>
      <c r="E5" s="138" t="s">
        <v>3</v>
      </c>
      <c r="F5" s="138"/>
      <c r="G5" s="33"/>
      <c r="H5" s="138" t="s">
        <v>0</v>
      </c>
      <c r="I5" s="138"/>
      <c r="J5" s="38"/>
      <c r="K5" s="138" t="s">
        <v>2</v>
      </c>
      <c r="L5" s="138"/>
      <c r="M5" s="39"/>
      <c r="N5" s="138" t="s">
        <v>1</v>
      </c>
      <c r="O5" s="138"/>
      <c r="Q5" s="142" t="s">
        <v>4</v>
      </c>
      <c r="R5" s="142"/>
    </row>
    <row r="6" spans="1:19" s="34" customFormat="1" ht="12.9" customHeight="1">
      <c r="B6" s="35" t="s">
        <v>46</v>
      </c>
      <c r="C6" s="60"/>
      <c r="D6" s="37"/>
      <c r="E6" s="35" t="s">
        <v>49</v>
      </c>
      <c r="F6" s="143" t="s">
        <v>45</v>
      </c>
      <c r="G6" s="37"/>
      <c r="H6" s="35" t="s">
        <v>49</v>
      </c>
      <c r="I6" s="143" t="s">
        <v>45</v>
      </c>
      <c r="J6" s="37"/>
      <c r="K6" s="35" t="s">
        <v>49</v>
      </c>
      <c r="L6" s="143" t="s">
        <v>45</v>
      </c>
      <c r="M6" s="37"/>
      <c r="N6" s="35" t="s">
        <v>49</v>
      </c>
      <c r="O6" s="143" t="s">
        <v>45</v>
      </c>
      <c r="Q6" s="35" t="s">
        <v>49</v>
      </c>
      <c r="R6" s="143" t="s">
        <v>45</v>
      </c>
    </row>
    <row r="7" spans="1:19" s="34" customFormat="1" ht="12.9" customHeight="1">
      <c r="D7" s="33"/>
      <c r="E7" s="35" t="s">
        <v>46</v>
      </c>
      <c r="F7" s="144"/>
      <c r="G7" s="33"/>
      <c r="H7" s="35" t="s">
        <v>46</v>
      </c>
      <c r="I7" s="144"/>
      <c r="J7" s="33"/>
      <c r="K7" s="35" t="s">
        <v>46</v>
      </c>
      <c r="L7" s="144"/>
      <c r="M7" s="33"/>
      <c r="N7" s="35" t="s">
        <v>46</v>
      </c>
      <c r="O7" s="144"/>
      <c r="Q7" s="35" t="s">
        <v>46</v>
      </c>
      <c r="R7" s="144"/>
    </row>
    <row r="8" spans="1:19" s="31" customFormat="1" ht="9.15" customHeight="1">
      <c r="B8" s="33"/>
      <c r="C8" s="37"/>
      <c r="D8" s="33"/>
      <c r="E8" s="33"/>
      <c r="F8" s="33"/>
      <c r="G8" s="33"/>
      <c r="H8" s="32"/>
      <c r="I8" s="32"/>
      <c r="J8" s="33"/>
      <c r="K8" s="33"/>
      <c r="L8" s="33"/>
      <c r="M8" s="33"/>
      <c r="N8" s="33"/>
      <c r="O8" s="33"/>
      <c r="Q8" s="35"/>
      <c r="R8" s="41"/>
    </row>
    <row r="9" spans="1:19" s="42" customFormat="1" ht="9.15" customHeight="1">
      <c r="A9" s="31"/>
      <c r="B9" s="1"/>
      <c r="C9" s="2"/>
      <c r="D9" s="1"/>
      <c r="E9" s="1"/>
      <c r="F9" s="1"/>
      <c r="G9" s="1"/>
      <c r="H9" s="3"/>
      <c r="I9" s="3"/>
      <c r="J9" s="1"/>
      <c r="K9" s="1"/>
      <c r="L9" s="1"/>
      <c r="M9" s="1"/>
      <c r="N9" s="1"/>
      <c r="O9" s="1"/>
      <c r="Q9" s="4"/>
      <c r="R9" s="4"/>
    </row>
    <row r="10" spans="1:19" s="42" customFormat="1" ht="12.9" customHeight="1">
      <c r="A10" s="31" t="s">
        <v>7</v>
      </c>
      <c r="B10" s="7">
        <v>1443</v>
      </c>
      <c r="C10" s="7">
        <v>653907.33000000007</v>
      </c>
      <c r="D10" s="43"/>
      <c r="E10" s="7">
        <v>1078</v>
      </c>
      <c r="F10" s="7">
        <v>367838.99</v>
      </c>
      <c r="G10" s="43"/>
      <c r="H10" s="7">
        <v>264</v>
      </c>
      <c r="I10" s="7">
        <v>226493.99</v>
      </c>
      <c r="J10" s="43"/>
      <c r="K10" s="7">
        <v>62</v>
      </c>
      <c r="L10" s="7">
        <v>46580.380000000005</v>
      </c>
      <c r="M10" s="43"/>
      <c r="N10" s="7">
        <v>38</v>
      </c>
      <c r="O10" s="7">
        <v>12967.97</v>
      </c>
      <c r="P10" s="44"/>
      <c r="Q10" s="7">
        <v>1</v>
      </c>
      <c r="R10" s="7">
        <v>26</v>
      </c>
    </row>
    <row r="11" spans="1:19" s="42" customFormat="1" ht="9.15" customHeight="1">
      <c r="A11" s="31"/>
      <c r="B11" s="6"/>
      <c r="C11" s="45"/>
      <c r="D11" s="46"/>
      <c r="E11" s="45"/>
      <c r="F11" s="45"/>
      <c r="G11" s="46"/>
      <c r="H11" s="45"/>
      <c r="I11" s="45"/>
      <c r="J11" s="46"/>
      <c r="K11" s="45"/>
      <c r="L11" s="45"/>
      <c r="M11" s="46"/>
      <c r="N11" s="45"/>
      <c r="O11" s="45"/>
      <c r="P11" s="44"/>
      <c r="Q11" s="45"/>
      <c r="R11" s="45"/>
    </row>
    <row r="12" spans="1:19" s="42" customFormat="1" ht="12.9" customHeight="1">
      <c r="A12" s="31" t="s">
        <v>12</v>
      </c>
      <c r="B12" s="6">
        <v>564</v>
      </c>
      <c r="C12" s="45">
        <v>3011.21</v>
      </c>
      <c r="D12" s="46"/>
      <c r="E12" s="45">
        <v>456</v>
      </c>
      <c r="F12" s="45">
        <v>2557.86</v>
      </c>
      <c r="G12" s="46"/>
      <c r="H12" s="45">
        <v>80</v>
      </c>
      <c r="I12" s="45">
        <v>286.74</v>
      </c>
      <c r="J12" s="46"/>
      <c r="K12" s="45">
        <v>11</v>
      </c>
      <c r="L12" s="45">
        <v>45.38</v>
      </c>
      <c r="M12" s="46"/>
      <c r="N12" s="45">
        <v>16</v>
      </c>
      <c r="O12" s="45">
        <v>95.23</v>
      </c>
      <c r="P12" s="47"/>
      <c r="Q12" s="6">
        <v>1</v>
      </c>
      <c r="R12" s="6">
        <v>26</v>
      </c>
      <c r="S12" s="7"/>
    </row>
    <row r="13" spans="1:19" s="42" customFormat="1" ht="12.9" customHeight="1">
      <c r="A13" s="31" t="s">
        <v>13</v>
      </c>
      <c r="B13" s="6">
        <v>291</v>
      </c>
      <c r="C13" s="45">
        <v>15838.77</v>
      </c>
      <c r="D13" s="46"/>
      <c r="E13" s="45">
        <v>256</v>
      </c>
      <c r="F13" s="45">
        <v>14059.45</v>
      </c>
      <c r="G13" s="46"/>
      <c r="H13" s="45">
        <v>23</v>
      </c>
      <c r="I13" s="45">
        <v>1184.32</v>
      </c>
      <c r="J13" s="46"/>
      <c r="K13" s="45">
        <v>7</v>
      </c>
      <c r="L13" s="45">
        <v>391</v>
      </c>
      <c r="M13" s="46"/>
      <c r="N13" s="45">
        <v>5</v>
      </c>
      <c r="O13" s="45">
        <v>204</v>
      </c>
      <c r="P13" s="47"/>
      <c r="Q13" s="48" t="s">
        <v>24</v>
      </c>
      <c r="R13" s="48" t="s">
        <v>24</v>
      </c>
    </row>
    <row r="14" spans="1:19" s="42" customFormat="1" ht="12.9" customHeight="1">
      <c r="A14" s="31" t="s">
        <v>14</v>
      </c>
      <c r="B14" s="6">
        <v>105</v>
      </c>
      <c r="C14" s="45">
        <v>10203.32</v>
      </c>
      <c r="D14" s="46"/>
      <c r="E14" s="45">
        <v>86</v>
      </c>
      <c r="F14" s="45">
        <v>8291.7999999999993</v>
      </c>
      <c r="G14" s="46"/>
      <c r="H14" s="45">
        <v>17</v>
      </c>
      <c r="I14" s="45">
        <v>1701.52</v>
      </c>
      <c r="J14" s="46"/>
      <c r="K14" s="45">
        <v>2</v>
      </c>
      <c r="L14" s="45">
        <v>210</v>
      </c>
      <c r="M14" s="46"/>
      <c r="N14" s="48" t="s">
        <v>24</v>
      </c>
      <c r="O14" s="48" t="s">
        <v>24</v>
      </c>
      <c r="P14" s="47"/>
      <c r="Q14" s="48" t="s">
        <v>24</v>
      </c>
      <c r="R14" s="48" t="s">
        <v>24</v>
      </c>
      <c r="S14" s="49"/>
    </row>
    <row r="15" spans="1:19" s="42" customFormat="1" ht="12.9" customHeight="1">
      <c r="A15" s="31" t="s">
        <v>15</v>
      </c>
      <c r="B15" s="6">
        <v>111</v>
      </c>
      <c r="C15" s="45">
        <v>17067.990000000002</v>
      </c>
      <c r="D15" s="46"/>
      <c r="E15" s="45">
        <v>76</v>
      </c>
      <c r="F15" s="45">
        <v>11574.59</v>
      </c>
      <c r="G15" s="46"/>
      <c r="H15" s="45">
        <v>27</v>
      </c>
      <c r="I15" s="45">
        <v>4301.3999999999996</v>
      </c>
      <c r="J15" s="46"/>
      <c r="K15" s="45">
        <v>4</v>
      </c>
      <c r="L15" s="45">
        <v>605</v>
      </c>
      <c r="M15" s="46"/>
      <c r="N15" s="45">
        <v>4</v>
      </c>
      <c r="O15" s="45">
        <v>587</v>
      </c>
      <c r="P15" s="47"/>
      <c r="Q15" s="48" t="s">
        <v>24</v>
      </c>
      <c r="R15" s="48" t="s">
        <v>24</v>
      </c>
      <c r="S15" s="49"/>
    </row>
    <row r="16" spans="1:19" s="42" customFormat="1" ht="12.9" customHeight="1">
      <c r="A16" s="31" t="s">
        <v>16</v>
      </c>
      <c r="B16" s="6">
        <v>149</v>
      </c>
      <c r="C16" s="45">
        <v>47041.75</v>
      </c>
      <c r="D16" s="46"/>
      <c r="E16" s="45">
        <v>74</v>
      </c>
      <c r="F16" s="45">
        <v>22491.21</v>
      </c>
      <c r="G16" s="46"/>
      <c r="H16" s="45">
        <v>60</v>
      </c>
      <c r="I16" s="45">
        <v>19347.03</v>
      </c>
      <c r="J16" s="46"/>
      <c r="K16" s="45">
        <v>11</v>
      </c>
      <c r="L16" s="45">
        <v>3950</v>
      </c>
      <c r="M16" s="46"/>
      <c r="N16" s="45">
        <v>4</v>
      </c>
      <c r="O16" s="45">
        <v>1253.51</v>
      </c>
      <c r="P16" s="47"/>
      <c r="Q16" s="48" t="s">
        <v>24</v>
      </c>
      <c r="R16" s="48" t="s">
        <v>24</v>
      </c>
      <c r="S16" s="49"/>
    </row>
    <row r="17" spans="1:31" s="42" customFormat="1" ht="12.9" customHeight="1">
      <c r="A17" s="31" t="s">
        <v>17</v>
      </c>
      <c r="B17" s="6">
        <v>65</v>
      </c>
      <c r="C17" s="45">
        <v>45497.36</v>
      </c>
      <c r="D17" s="46"/>
      <c r="E17" s="45">
        <v>28</v>
      </c>
      <c r="F17" s="45">
        <v>19651.98</v>
      </c>
      <c r="G17" s="46"/>
      <c r="H17" s="45">
        <v>19</v>
      </c>
      <c r="I17" s="45">
        <v>13311.38</v>
      </c>
      <c r="J17" s="46"/>
      <c r="K17" s="45">
        <v>13</v>
      </c>
      <c r="L17" s="45">
        <v>9781</v>
      </c>
      <c r="M17" s="46"/>
      <c r="N17" s="45">
        <v>5</v>
      </c>
      <c r="O17" s="45">
        <v>2753</v>
      </c>
      <c r="P17" s="47"/>
      <c r="Q17" s="48" t="s">
        <v>24</v>
      </c>
      <c r="R17" s="48" t="s">
        <v>24</v>
      </c>
      <c r="S17" s="49"/>
    </row>
    <row r="18" spans="1:31" s="42" customFormat="1" ht="12.9" customHeight="1">
      <c r="A18" s="31" t="s">
        <v>18</v>
      </c>
      <c r="B18" s="6">
        <v>70</v>
      </c>
      <c r="C18" s="45">
        <v>100201.2</v>
      </c>
      <c r="D18" s="46"/>
      <c r="E18" s="45">
        <v>41</v>
      </c>
      <c r="F18" s="45">
        <v>58246.97</v>
      </c>
      <c r="G18" s="46"/>
      <c r="H18" s="45">
        <v>17</v>
      </c>
      <c r="I18" s="45">
        <v>24652</v>
      </c>
      <c r="J18" s="46"/>
      <c r="K18" s="45">
        <v>10</v>
      </c>
      <c r="L18" s="45">
        <v>14537</v>
      </c>
      <c r="M18" s="46"/>
      <c r="N18" s="45">
        <v>2</v>
      </c>
      <c r="O18" s="45">
        <v>2765.23</v>
      </c>
      <c r="P18" s="47"/>
      <c r="Q18" s="48" t="s">
        <v>24</v>
      </c>
      <c r="R18" s="48" t="s">
        <v>24</v>
      </c>
      <c r="S18" s="49"/>
    </row>
    <row r="19" spans="1:31" s="42" customFormat="1" ht="12.9" customHeight="1">
      <c r="A19" s="31" t="s">
        <v>11</v>
      </c>
      <c r="B19" s="6">
        <v>87</v>
      </c>
      <c r="C19" s="45">
        <v>415045.73</v>
      </c>
      <c r="D19" s="46"/>
      <c r="E19" s="45">
        <v>61</v>
      </c>
      <c r="F19" s="45">
        <v>230965.13</v>
      </c>
      <c r="G19" s="46"/>
      <c r="H19" s="45">
        <v>20</v>
      </c>
      <c r="I19" s="45">
        <v>161709.6</v>
      </c>
      <c r="J19" s="46"/>
      <c r="K19" s="45">
        <v>4</v>
      </c>
      <c r="L19" s="45">
        <v>17061</v>
      </c>
      <c r="M19" s="46"/>
      <c r="N19" s="45">
        <v>2</v>
      </c>
      <c r="O19" s="45">
        <v>5310</v>
      </c>
      <c r="P19" s="47"/>
      <c r="Q19" s="48" t="s">
        <v>24</v>
      </c>
      <c r="R19" s="48" t="s">
        <v>24</v>
      </c>
      <c r="S19" s="49"/>
    </row>
    <row r="20" spans="1:31" s="42" customFormat="1" ht="12.9" customHeight="1">
      <c r="A20" s="31" t="s">
        <v>4</v>
      </c>
      <c r="B20" s="6">
        <v>1</v>
      </c>
      <c r="C20" s="48" t="s">
        <v>24</v>
      </c>
      <c r="D20" s="48"/>
      <c r="E20" s="48" t="s">
        <v>24</v>
      </c>
      <c r="F20" s="48" t="s">
        <v>24</v>
      </c>
      <c r="G20" s="46"/>
      <c r="H20" s="45">
        <v>1</v>
      </c>
      <c r="I20" s="48" t="s">
        <v>24</v>
      </c>
      <c r="J20" s="46"/>
      <c r="K20" s="48" t="s">
        <v>24</v>
      </c>
      <c r="L20" s="48" t="s">
        <v>24</v>
      </c>
      <c r="M20" s="46"/>
      <c r="N20" s="48" t="s">
        <v>24</v>
      </c>
      <c r="O20" s="48" t="s">
        <v>24</v>
      </c>
      <c r="P20" s="47"/>
      <c r="Q20" s="48" t="s">
        <v>24</v>
      </c>
      <c r="R20" s="48" t="s">
        <v>24</v>
      </c>
      <c r="S20" s="49"/>
    </row>
    <row r="21" spans="1:31" s="42" customFormat="1" ht="9.15" customHeight="1">
      <c r="A21" s="31"/>
      <c r="B21" s="5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</row>
    <row r="22" spans="1:31" s="31" customFormat="1" ht="9.15" customHeight="1">
      <c r="B22" s="53"/>
      <c r="C22" s="54"/>
      <c r="D22" s="53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Q22" s="32"/>
      <c r="R22" s="32"/>
    </row>
    <row r="23" spans="1:31" s="31" customFormat="1" ht="12.9" customHeight="1">
      <c r="A23" s="32" t="s">
        <v>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Q23" s="32"/>
      <c r="R23" s="32"/>
    </row>
    <row r="24" spans="1:31" s="31" customFormat="1" ht="12.9" customHeight="1">
      <c r="A24" s="32" t="s">
        <v>32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Q24" s="32"/>
      <c r="R24" s="32"/>
    </row>
    <row r="25" spans="1:31" s="31" customFormat="1" ht="12.9" customHeight="1">
      <c r="A25" s="32" t="s">
        <v>9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Q25" s="32"/>
      <c r="R25" s="32"/>
    </row>
    <row r="26" spans="1:31" s="31" customFormat="1" ht="9.1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Q26" s="55"/>
      <c r="R26" s="56"/>
    </row>
  </sheetData>
  <mergeCells count="12">
    <mergeCell ref="F6:F7"/>
    <mergeCell ref="I6:I7"/>
    <mergeCell ref="L6:L7"/>
    <mergeCell ref="O6:O7"/>
    <mergeCell ref="R6:R7"/>
    <mergeCell ref="B4:C4"/>
    <mergeCell ref="E4:R4"/>
    <mergeCell ref="E5:F5"/>
    <mergeCell ref="H5:I5"/>
    <mergeCell ref="K5:L5"/>
    <mergeCell ref="N5:O5"/>
    <mergeCell ref="Q5:R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workbookViewId="0"/>
  </sheetViews>
  <sheetFormatPr baseColWidth="10" defaultColWidth="9.75" defaultRowHeight="15"/>
  <cols>
    <col min="1" max="1" width="14.33203125" customWidth="1"/>
    <col min="2" max="2" width="6.08203125" style="57" customWidth="1"/>
    <col min="3" max="3" width="8.08203125" style="57" customWidth="1"/>
    <col min="4" max="4" width="0.9140625" style="57" customWidth="1"/>
    <col min="5" max="5" width="6.58203125" style="57" customWidth="1"/>
    <col min="6" max="6" width="8.25" style="57" customWidth="1"/>
    <col min="7" max="7" width="1" style="57" customWidth="1"/>
    <col min="8" max="8" width="5.6640625" style="57" customWidth="1"/>
    <col min="9" max="9" width="7.9140625" style="57" customWidth="1"/>
    <col min="10" max="10" width="1" style="57" customWidth="1"/>
    <col min="11" max="11" width="5.58203125" style="57" customWidth="1"/>
    <col min="12" max="12" width="7.4140625" style="57" customWidth="1"/>
    <col min="13" max="13" width="0.6640625" style="58" customWidth="1"/>
    <col min="14" max="14" width="6.33203125" style="57" customWidth="1"/>
    <col min="15" max="15" width="6.4140625" style="57" customWidth="1"/>
    <col min="16" max="16" width="1" customWidth="1"/>
    <col min="17" max="17" width="5.6640625" style="57" customWidth="1"/>
    <col min="18" max="18" width="5.9140625" style="58" customWidth="1"/>
  </cols>
  <sheetData>
    <row r="1" spans="1:19" s="61" customFormat="1" ht="1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</row>
    <row r="2" spans="1:19" s="31" customFormat="1" ht="15" customHeight="1">
      <c r="A2" s="30" t="s">
        <v>51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  <c r="S2" s="32"/>
    </row>
    <row r="3" spans="1:19" s="31" customFormat="1" ht="15" customHeight="1">
      <c r="A3" s="30" t="s">
        <v>52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Q3" s="30"/>
      <c r="R3" s="30"/>
      <c r="S3" s="32"/>
    </row>
    <row r="4" spans="1:19" s="31" customFormat="1" ht="9.15" customHeight="1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Q4" s="33"/>
      <c r="R4" s="33"/>
    </row>
    <row r="5" spans="1:19" s="34" customFormat="1" ht="12.9" customHeight="1">
      <c r="A5" s="31" t="s">
        <v>10</v>
      </c>
      <c r="B5" s="138" t="s">
        <v>5</v>
      </c>
      <c r="C5" s="138"/>
      <c r="D5" s="33"/>
      <c r="E5" s="139" t="s">
        <v>6</v>
      </c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</row>
    <row r="6" spans="1:19" s="34" customFormat="1" ht="15" customHeight="1">
      <c r="A6" s="31"/>
      <c r="B6" s="35" t="s">
        <v>49</v>
      </c>
      <c r="C6" s="59" t="s">
        <v>45</v>
      </c>
      <c r="D6" s="37"/>
      <c r="E6" s="138" t="s">
        <v>3</v>
      </c>
      <c r="F6" s="138"/>
      <c r="G6" s="33"/>
      <c r="H6" s="138" t="s">
        <v>0</v>
      </c>
      <c r="I6" s="138"/>
      <c r="J6" s="38"/>
      <c r="K6" s="138" t="s">
        <v>2</v>
      </c>
      <c r="L6" s="138"/>
      <c r="M6" s="39"/>
      <c r="N6" s="138" t="s">
        <v>1</v>
      </c>
      <c r="O6" s="138"/>
      <c r="Q6" s="142" t="s">
        <v>4</v>
      </c>
      <c r="R6" s="142"/>
    </row>
    <row r="7" spans="1:19" s="34" customFormat="1" ht="12.9" customHeight="1">
      <c r="B7" s="35" t="s">
        <v>46</v>
      </c>
      <c r="C7" s="60"/>
      <c r="D7" s="37"/>
      <c r="E7" s="35" t="s">
        <v>49</v>
      </c>
      <c r="F7" s="143" t="s">
        <v>45</v>
      </c>
      <c r="G7" s="37"/>
      <c r="H7" s="35" t="s">
        <v>49</v>
      </c>
      <c r="I7" s="143" t="s">
        <v>45</v>
      </c>
      <c r="J7" s="37"/>
      <c r="K7" s="35" t="s">
        <v>49</v>
      </c>
      <c r="L7" s="143" t="s">
        <v>45</v>
      </c>
      <c r="M7" s="37"/>
      <c r="N7" s="35" t="s">
        <v>49</v>
      </c>
      <c r="O7" s="143" t="s">
        <v>45</v>
      </c>
      <c r="Q7" s="35" t="s">
        <v>49</v>
      </c>
      <c r="R7" s="143" t="s">
        <v>45</v>
      </c>
    </row>
    <row r="8" spans="1:19" s="34" customFormat="1" ht="12.9" customHeight="1">
      <c r="D8" s="33"/>
      <c r="E8" s="35" t="s">
        <v>46</v>
      </c>
      <c r="F8" s="144"/>
      <c r="G8" s="33"/>
      <c r="H8" s="35" t="s">
        <v>46</v>
      </c>
      <c r="I8" s="144"/>
      <c r="J8" s="33"/>
      <c r="K8" s="35" t="s">
        <v>46</v>
      </c>
      <c r="L8" s="144"/>
      <c r="M8" s="33"/>
      <c r="N8" s="35" t="s">
        <v>46</v>
      </c>
      <c r="O8" s="144"/>
      <c r="Q8" s="35" t="s">
        <v>46</v>
      </c>
      <c r="R8" s="144"/>
    </row>
    <row r="9" spans="1:19" s="31" customFormat="1" ht="9.15" customHeight="1">
      <c r="B9" s="33"/>
      <c r="C9" s="37"/>
      <c r="D9" s="33"/>
      <c r="E9" s="33"/>
      <c r="F9" s="33"/>
      <c r="G9" s="33"/>
      <c r="H9" s="32"/>
      <c r="I9" s="32"/>
      <c r="J9" s="33"/>
      <c r="K9" s="33"/>
      <c r="L9" s="33"/>
      <c r="M9" s="33"/>
      <c r="N9" s="33"/>
      <c r="O9" s="33"/>
      <c r="Q9" s="35"/>
      <c r="R9" s="41"/>
    </row>
    <row r="10" spans="1:19" s="42" customFormat="1" ht="9.15" customHeight="1">
      <c r="A10" s="31"/>
      <c r="B10" s="1"/>
      <c r="C10" s="2"/>
      <c r="D10" s="1"/>
      <c r="E10" s="1"/>
      <c r="F10" s="1"/>
      <c r="G10" s="1"/>
      <c r="H10" s="3"/>
      <c r="I10" s="3"/>
      <c r="J10" s="1"/>
      <c r="K10" s="1"/>
      <c r="L10" s="1"/>
      <c r="M10" s="1"/>
      <c r="N10" s="1"/>
      <c r="O10" s="1"/>
      <c r="Q10" s="4"/>
      <c r="R10" s="4"/>
    </row>
    <row r="11" spans="1:19" s="42" customFormat="1" ht="12.9" customHeight="1">
      <c r="A11" s="31" t="s">
        <v>7</v>
      </c>
      <c r="B11" s="7">
        <v>1603</v>
      </c>
      <c r="C11" s="7">
        <v>582270.82999999996</v>
      </c>
      <c r="D11" s="43"/>
      <c r="E11" s="7">
        <v>1279</v>
      </c>
      <c r="F11" s="7">
        <v>443881.24</v>
      </c>
      <c r="G11" s="43"/>
      <c r="H11" s="7">
        <v>275</v>
      </c>
      <c r="I11" s="7">
        <v>114600.17</v>
      </c>
      <c r="J11" s="43"/>
      <c r="K11" s="7">
        <v>32</v>
      </c>
      <c r="L11" s="7">
        <v>20521.95</v>
      </c>
      <c r="M11" s="43"/>
      <c r="N11" s="7">
        <v>15</v>
      </c>
      <c r="O11" s="7">
        <v>3267.4700000000003</v>
      </c>
      <c r="P11" s="44"/>
      <c r="Q11" s="7">
        <v>2</v>
      </c>
      <c r="R11" s="62" t="s">
        <v>24</v>
      </c>
    </row>
    <row r="12" spans="1:19" s="42" customFormat="1" ht="9.15" customHeight="1">
      <c r="A12" s="31"/>
      <c r="B12" s="6"/>
      <c r="C12" s="45"/>
      <c r="D12" s="46"/>
      <c r="E12" s="45"/>
      <c r="F12" s="45"/>
      <c r="G12" s="46"/>
      <c r="H12" s="45"/>
      <c r="I12" s="45"/>
      <c r="J12" s="46"/>
      <c r="K12" s="45"/>
      <c r="L12" s="45"/>
      <c r="M12" s="46"/>
      <c r="N12" s="45"/>
      <c r="O12" s="45"/>
      <c r="P12" s="44"/>
      <c r="Q12" s="45"/>
      <c r="R12" s="45"/>
    </row>
    <row r="13" spans="1:19" s="42" customFormat="1" ht="12.9" customHeight="1">
      <c r="A13" s="31" t="s">
        <v>12</v>
      </c>
      <c r="B13" s="6">
        <v>588</v>
      </c>
      <c r="C13" s="45">
        <v>3200.84</v>
      </c>
      <c r="D13" s="46"/>
      <c r="E13" s="45">
        <v>486</v>
      </c>
      <c r="F13" s="45">
        <v>2884.88</v>
      </c>
      <c r="G13" s="46"/>
      <c r="H13" s="45">
        <v>90</v>
      </c>
      <c r="I13" s="45">
        <v>279.95999999999998</v>
      </c>
      <c r="J13" s="46"/>
      <c r="K13" s="45">
        <v>4</v>
      </c>
      <c r="L13" s="45" t="s">
        <v>24</v>
      </c>
      <c r="M13" s="46"/>
      <c r="N13" s="45">
        <v>7</v>
      </c>
      <c r="O13" s="45">
        <v>36</v>
      </c>
      <c r="P13" s="47"/>
      <c r="Q13" s="45">
        <v>1</v>
      </c>
      <c r="R13" s="45" t="s">
        <v>24</v>
      </c>
      <c r="S13" s="7"/>
    </row>
    <row r="14" spans="1:19" s="42" customFormat="1" ht="12.9" customHeight="1">
      <c r="A14" s="31" t="s">
        <v>53</v>
      </c>
      <c r="B14" s="6">
        <v>235</v>
      </c>
      <c r="C14" s="45">
        <v>12856.03</v>
      </c>
      <c r="D14" s="46"/>
      <c r="E14" s="45">
        <v>207</v>
      </c>
      <c r="F14" s="45">
        <v>11378.85</v>
      </c>
      <c r="G14" s="46"/>
      <c r="H14" s="45">
        <v>24</v>
      </c>
      <c r="I14" s="45">
        <v>1288.23</v>
      </c>
      <c r="J14" s="46"/>
      <c r="K14" s="45">
        <v>1</v>
      </c>
      <c r="L14" s="45">
        <v>46.95</v>
      </c>
      <c r="M14" s="46"/>
      <c r="N14" s="45">
        <v>3</v>
      </c>
      <c r="O14" s="45">
        <v>142</v>
      </c>
      <c r="P14" s="47"/>
      <c r="Q14" s="45" t="s">
        <v>24</v>
      </c>
      <c r="R14" s="45" t="s">
        <v>24</v>
      </c>
    </row>
    <row r="15" spans="1:19" s="42" customFormat="1" ht="12.9" customHeight="1">
      <c r="A15" s="31" t="s">
        <v>54</v>
      </c>
      <c r="B15" s="6">
        <v>87</v>
      </c>
      <c r="C15" s="45">
        <v>8153.13</v>
      </c>
      <c r="D15" s="46"/>
      <c r="E15" s="45">
        <v>73</v>
      </c>
      <c r="F15" s="45">
        <v>6783.21</v>
      </c>
      <c r="G15" s="46"/>
      <c r="H15" s="45">
        <v>13</v>
      </c>
      <c r="I15" s="45">
        <v>1258.92</v>
      </c>
      <c r="J15" s="46"/>
      <c r="K15" s="45">
        <v>1</v>
      </c>
      <c r="L15" s="45">
        <v>111</v>
      </c>
      <c r="M15" s="46"/>
      <c r="N15" s="45" t="s">
        <v>24</v>
      </c>
      <c r="O15" s="45" t="s">
        <v>24</v>
      </c>
      <c r="P15" s="47"/>
      <c r="Q15" s="45" t="s">
        <v>24</v>
      </c>
      <c r="R15" s="45" t="s">
        <v>24</v>
      </c>
      <c r="S15" s="49"/>
    </row>
    <row r="16" spans="1:19" s="42" customFormat="1" ht="12.9" customHeight="1">
      <c r="A16" s="31" t="s">
        <v>55</v>
      </c>
      <c r="B16" s="6">
        <v>116</v>
      </c>
      <c r="C16" s="45">
        <v>18192.2</v>
      </c>
      <c r="D16" s="46"/>
      <c r="E16" s="45">
        <v>88</v>
      </c>
      <c r="F16" s="45">
        <v>13766.6</v>
      </c>
      <c r="G16" s="46"/>
      <c r="H16" s="45">
        <v>24</v>
      </c>
      <c r="I16" s="45">
        <v>3760.6</v>
      </c>
      <c r="J16" s="46"/>
      <c r="K16" s="45">
        <v>4</v>
      </c>
      <c r="L16" s="45">
        <v>665</v>
      </c>
      <c r="M16" s="46"/>
      <c r="N16" s="45" t="s">
        <v>24</v>
      </c>
      <c r="O16" s="45" t="s">
        <v>24</v>
      </c>
      <c r="P16" s="47"/>
      <c r="Q16" s="45" t="s">
        <v>24</v>
      </c>
      <c r="R16" s="45" t="s">
        <v>24</v>
      </c>
      <c r="S16" s="49"/>
    </row>
    <row r="17" spans="1:31" s="42" customFormat="1" ht="12.9" customHeight="1">
      <c r="A17" s="31" t="s">
        <v>56</v>
      </c>
      <c r="B17" s="6">
        <v>184</v>
      </c>
      <c r="C17" s="45">
        <v>60459.38</v>
      </c>
      <c r="D17" s="46"/>
      <c r="E17" s="45">
        <v>134</v>
      </c>
      <c r="F17" s="45">
        <v>44378.91</v>
      </c>
      <c r="G17" s="46"/>
      <c r="H17" s="45">
        <v>42</v>
      </c>
      <c r="I17" s="45">
        <v>13782</v>
      </c>
      <c r="J17" s="46"/>
      <c r="K17" s="45">
        <v>6</v>
      </c>
      <c r="L17" s="45">
        <v>1885</v>
      </c>
      <c r="M17" s="46"/>
      <c r="N17" s="45">
        <v>2</v>
      </c>
      <c r="O17" s="45">
        <v>413.47</v>
      </c>
      <c r="P17" s="47"/>
      <c r="Q17" s="45" t="s">
        <v>24</v>
      </c>
      <c r="R17" s="45" t="s">
        <v>24</v>
      </c>
      <c r="S17" s="49"/>
    </row>
    <row r="18" spans="1:31" s="42" customFormat="1" ht="12.9" customHeight="1">
      <c r="A18" s="31" t="s">
        <v>57</v>
      </c>
      <c r="B18" s="6">
        <v>176</v>
      </c>
      <c r="C18" s="45">
        <v>130558.51</v>
      </c>
      <c r="D18" s="46"/>
      <c r="E18" s="45">
        <v>122</v>
      </c>
      <c r="F18" s="45">
        <v>90881.51</v>
      </c>
      <c r="G18" s="46"/>
      <c r="H18" s="45">
        <v>45</v>
      </c>
      <c r="I18" s="45">
        <v>33575</v>
      </c>
      <c r="J18" s="46"/>
      <c r="K18" s="45">
        <v>7</v>
      </c>
      <c r="L18" s="45">
        <v>4497</v>
      </c>
      <c r="M18" s="46"/>
      <c r="N18" s="45">
        <v>2</v>
      </c>
      <c r="O18" s="45">
        <v>1605</v>
      </c>
      <c r="P18" s="47"/>
      <c r="Q18" s="45" t="s">
        <v>24</v>
      </c>
      <c r="R18" s="45" t="s">
        <v>24</v>
      </c>
      <c r="S18" s="49"/>
    </row>
    <row r="19" spans="1:31" s="42" customFormat="1" ht="12.9" customHeight="1">
      <c r="A19" s="31" t="s">
        <v>58</v>
      </c>
      <c r="B19" s="6">
        <v>176</v>
      </c>
      <c r="C19" s="45">
        <v>229726.95</v>
      </c>
      <c r="D19" s="46"/>
      <c r="E19" s="45">
        <v>134</v>
      </c>
      <c r="F19" s="45">
        <v>175137.49</v>
      </c>
      <c r="G19" s="46"/>
      <c r="H19" s="45">
        <v>33</v>
      </c>
      <c r="I19" s="45">
        <v>42527.46</v>
      </c>
      <c r="J19" s="46"/>
      <c r="K19" s="45">
        <v>8</v>
      </c>
      <c r="L19" s="45">
        <v>10991</v>
      </c>
      <c r="M19" s="46"/>
      <c r="N19" s="45">
        <v>1</v>
      </c>
      <c r="O19" s="45">
        <v>1071</v>
      </c>
      <c r="P19" s="47"/>
      <c r="Q19" s="45" t="s">
        <v>24</v>
      </c>
      <c r="R19" s="45" t="s">
        <v>24</v>
      </c>
      <c r="S19" s="49"/>
    </row>
    <row r="20" spans="1:31" s="42" customFormat="1" ht="12.9" customHeight="1">
      <c r="A20" s="31" t="s">
        <v>11</v>
      </c>
      <c r="B20" s="6">
        <v>34</v>
      </c>
      <c r="C20" s="45">
        <v>119123.79</v>
      </c>
      <c r="D20" s="46"/>
      <c r="E20" s="45">
        <v>29</v>
      </c>
      <c r="F20" s="45">
        <v>98669.79</v>
      </c>
      <c r="G20" s="46"/>
      <c r="H20" s="45">
        <v>4</v>
      </c>
      <c r="I20" s="45">
        <v>18128</v>
      </c>
      <c r="J20" s="46"/>
      <c r="K20" s="45">
        <v>1</v>
      </c>
      <c r="L20" s="45">
        <v>2326</v>
      </c>
      <c r="M20" s="46"/>
      <c r="N20" s="45" t="s">
        <v>24</v>
      </c>
      <c r="O20" s="45" t="s">
        <v>24</v>
      </c>
      <c r="P20" s="47"/>
      <c r="Q20" s="45" t="s">
        <v>24</v>
      </c>
      <c r="R20" s="45" t="s">
        <v>24</v>
      </c>
      <c r="S20" s="49"/>
    </row>
    <row r="21" spans="1:31" s="42" customFormat="1" ht="12.9" customHeight="1">
      <c r="A21" s="31" t="s">
        <v>4</v>
      </c>
      <c r="B21" s="6">
        <v>7</v>
      </c>
      <c r="C21" s="45" t="s">
        <v>24</v>
      </c>
      <c r="D21" s="46"/>
      <c r="E21" s="45">
        <v>6</v>
      </c>
      <c r="F21" s="45" t="s">
        <v>24</v>
      </c>
      <c r="G21" s="46"/>
      <c r="H21" s="45" t="s">
        <v>24</v>
      </c>
      <c r="I21" s="45" t="s">
        <v>24</v>
      </c>
      <c r="J21" s="46"/>
      <c r="K21" s="45" t="s">
        <v>24</v>
      </c>
      <c r="L21" s="45" t="s">
        <v>24</v>
      </c>
      <c r="M21" s="46"/>
      <c r="N21" s="45" t="s">
        <v>24</v>
      </c>
      <c r="O21" s="45" t="s">
        <v>24</v>
      </c>
      <c r="P21" s="47"/>
      <c r="Q21" s="45">
        <v>1</v>
      </c>
      <c r="R21" s="45" t="s">
        <v>24</v>
      </c>
      <c r="S21" s="49"/>
    </row>
    <row r="22" spans="1:31" s="42" customFormat="1" ht="9.15" customHeight="1">
      <c r="A22" s="31"/>
      <c r="B22" s="5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</row>
    <row r="23" spans="1:31" s="31" customFormat="1" ht="9.15" customHeight="1">
      <c r="B23" s="53"/>
      <c r="C23" s="54"/>
      <c r="D23" s="53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Q23" s="32"/>
      <c r="R23" s="32"/>
    </row>
    <row r="24" spans="1:31" s="31" customFormat="1" ht="12.9" customHeight="1">
      <c r="A24" s="32" t="s">
        <v>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Q24" s="32"/>
      <c r="R24" s="32"/>
    </row>
    <row r="25" spans="1:31" s="31" customFormat="1" ht="12.9" customHeight="1">
      <c r="A25" s="32" t="s">
        <v>32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Q25" s="32"/>
      <c r="R25" s="32"/>
    </row>
    <row r="26" spans="1:31" s="31" customFormat="1" ht="12.9" customHeight="1">
      <c r="A26" s="32" t="s">
        <v>9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Q26" s="32"/>
      <c r="R26" s="32"/>
    </row>
    <row r="27" spans="1:31" s="31" customFormat="1" ht="9.1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Q27" s="55"/>
      <c r="R27" s="56"/>
    </row>
  </sheetData>
  <mergeCells count="12">
    <mergeCell ref="F7:F8"/>
    <mergeCell ref="I7:I8"/>
    <mergeCell ref="L7:L8"/>
    <mergeCell ref="O7:O8"/>
    <mergeCell ref="R7:R8"/>
    <mergeCell ref="B5:C5"/>
    <mergeCell ref="E5:R5"/>
    <mergeCell ref="E6:F6"/>
    <mergeCell ref="H6:I6"/>
    <mergeCell ref="K6:L6"/>
    <mergeCell ref="N6:O6"/>
    <mergeCell ref="Q6:R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showGridLines="0" workbookViewId="0"/>
  </sheetViews>
  <sheetFormatPr baseColWidth="10" defaultColWidth="9.75" defaultRowHeight="15"/>
  <cols>
    <col min="1" max="1" width="14.33203125" customWidth="1"/>
    <col min="2" max="2" width="6.08203125" style="57" customWidth="1"/>
    <col min="3" max="3" width="8.08203125" style="57" customWidth="1"/>
    <col min="4" max="4" width="0.9140625" style="57" customWidth="1"/>
    <col min="5" max="5" width="6.58203125" style="57" customWidth="1"/>
    <col min="6" max="6" width="8.25" style="57" customWidth="1"/>
    <col min="7" max="7" width="1" style="57" customWidth="1"/>
    <col min="8" max="8" width="5.6640625" style="57" customWidth="1"/>
    <col min="9" max="9" width="7.9140625" style="57" customWidth="1"/>
    <col min="10" max="10" width="1" style="57" customWidth="1"/>
    <col min="11" max="11" width="5.58203125" style="57" customWidth="1"/>
    <col min="12" max="12" width="7.4140625" style="57" customWidth="1"/>
    <col min="13" max="13" width="0.6640625" style="58" customWidth="1"/>
    <col min="14" max="14" width="6.33203125" style="57" customWidth="1"/>
    <col min="15" max="15" width="6.4140625" style="57" customWidth="1"/>
    <col min="16" max="16" width="1" customWidth="1"/>
    <col min="17" max="17" width="5.6640625" style="57" customWidth="1"/>
    <col min="18" max="18" width="5.9140625" style="58" customWidth="1"/>
  </cols>
  <sheetData>
    <row r="1" spans="1:18" s="61" customFormat="1" ht="1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</row>
    <row r="2" spans="1:18" s="31" customFormat="1" ht="15" customHeight="1">
      <c r="A2" s="30" t="s">
        <v>59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</row>
    <row r="3" spans="1:18" s="31" customFormat="1" ht="15" customHeight="1">
      <c r="A3" s="30" t="s">
        <v>60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Q3" s="30"/>
      <c r="R3" s="30"/>
    </row>
    <row r="4" spans="1:18" s="31" customFormat="1" ht="15" customHeight="1">
      <c r="A4" s="30" t="s">
        <v>61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Q4" s="30"/>
      <c r="R4" s="30"/>
    </row>
    <row r="5" spans="1:18" s="31" customFormat="1" ht="9.15" customHeight="1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Q5" s="33"/>
      <c r="R5" s="33"/>
    </row>
    <row r="6" spans="1:18" s="34" customFormat="1" ht="12.9" customHeight="1">
      <c r="A6" s="31"/>
      <c r="B6" s="33"/>
      <c r="C6" s="33"/>
      <c r="D6" s="33"/>
      <c r="E6" s="139" t="s">
        <v>62</v>
      </c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</row>
    <row r="7" spans="1:18" s="34" customFormat="1" ht="15" customHeight="1">
      <c r="A7" s="31"/>
      <c r="B7" s="138" t="s">
        <v>63</v>
      </c>
      <c r="C7" s="138"/>
      <c r="D7" s="37"/>
      <c r="E7" s="138" t="s">
        <v>3</v>
      </c>
      <c r="F7" s="138"/>
      <c r="G7" s="33"/>
      <c r="H7" s="138" t="s">
        <v>0</v>
      </c>
      <c r="I7" s="138"/>
      <c r="J7" s="38"/>
      <c r="K7" s="138" t="s">
        <v>2</v>
      </c>
      <c r="L7" s="138"/>
      <c r="M7" s="39"/>
      <c r="N7" s="138" t="s">
        <v>1</v>
      </c>
      <c r="O7" s="138"/>
      <c r="Q7" s="142" t="s">
        <v>4</v>
      </c>
      <c r="R7" s="142"/>
    </row>
    <row r="8" spans="1:18" s="34" customFormat="1" ht="12.9" customHeight="1">
      <c r="A8" s="31" t="s">
        <v>64</v>
      </c>
      <c r="B8" s="35" t="s">
        <v>49</v>
      </c>
      <c r="C8" s="143" t="s">
        <v>45</v>
      </c>
      <c r="D8" s="37"/>
      <c r="E8" s="35" t="s">
        <v>49</v>
      </c>
      <c r="F8" s="143" t="s">
        <v>45</v>
      </c>
      <c r="G8" s="37"/>
      <c r="H8" s="35" t="s">
        <v>49</v>
      </c>
      <c r="I8" s="143" t="s">
        <v>45</v>
      </c>
      <c r="J8" s="37"/>
      <c r="K8" s="35" t="s">
        <v>49</v>
      </c>
      <c r="L8" s="143" t="s">
        <v>45</v>
      </c>
      <c r="M8" s="37"/>
      <c r="N8" s="35" t="s">
        <v>49</v>
      </c>
      <c r="O8" s="143" t="s">
        <v>45</v>
      </c>
      <c r="Q8" s="35" t="s">
        <v>49</v>
      </c>
      <c r="R8" s="143" t="s">
        <v>45</v>
      </c>
    </row>
    <row r="9" spans="1:18" s="34" customFormat="1" ht="12.9" customHeight="1">
      <c r="A9" s="31" t="s">
        <v>65</v>
      </c>
      <c r="B9" s="35" t="s">
        <v>46</v>
      </c>
      <c r="C9" s="144"/>
      <c r="D9" s="33"/>
      <c r="E9" s="35" t="s">
        <v>46</v>
      </c>
      <c r="F9" s="144"/>
      <c r="G9" s="33"/>
      <c r="H9" s="35" t="s">
        <v>46</v>
      </c>
      <c r="I9" s="144"/>
      <c r="J9" s="33"/>
      <c r="K9" s="35" t="s">
        <v>46</v>
      </c>
      <c r="L9" s="144"/>
      <c r="M9" s="33"/>
      <c r="N9" s="35" t="s">
        <v>46</v>
      </c>
      <c r="O9" s="144"/>
      <c r="Q9" s="35" t="s">
        <v>46</v>
      </c>
      <c r="R9" s="144"/>
    </row>
    <row r="10" spans="1:18" s="31" customFormat="1" ht="9.15" customHeight="1">
      <c r="B10" s="33"/>
      <c r="C10" s="37"/>
      <c r="D10" s="33"/>
      <c r="E10" s="33"/>
      <c r="F10" s="33"/>
      <c r="G10" s="33"/>
      <c r="H10" s="32"/>
      <c r="I10" s="32"/>
      <c r="J10" s="33"/>
      <c r="K10" s="33"/>
      <c r="L10" s="33"/>
      <c r="M10" s="33"/>
      <c r="N10" s="33"/>
      <c r="O10" s="33"/>
      <c r="Q10" s="35"/>
      <c r="R10" s="41"/>
    </row>
    <row r="11" spans="1:18" s="42" customFormat="1" ht="9.15" customHeight="1">
      <c r="A11" s="31"/>
      <c r="B11" s="1"/>
      <c r="C11" s="2"/>
      <c r="D11" s="1"/>
      <c r="E11" s="1"/>
      <c r="F11" s="1"/>
      <c r="G11" s="1"/>
      <c r="H11" s="3"/>
      <c r="I11" s="3"/>
      <c r="J11" s="1"/>
      <c r="K11" s="1"/>
      <c r="L11" s="1"/>
      <c r="M11" s="1"/>
      <c r="N11" s="1"/>
      <c r="O11" s="1"/>
      <c r="Q11" s="4"/>
      <c r="R11" s="4"/>
    </row>
    <row r="12" spans="1:18" s="42" customFormat="1" ht="12.9" customHeight="1">
      <c r="A12" s="31" t="s">
        <v>66</v>
      </c>
      <c r="B12" s="6">
        <v>1728</v>
      </c>
      <c r="C12" s="45">
        <v>646006.75</v>
      </c>
      <c r="D12" s="46"/>
      <c r="E12" s="45">
        <v>1359</v>
      </c>
      <c r="F12" s="45">
        <v>457756.82</v>
      </c>
      <c r="G12" s="46"/>
      <c r="H12" s="45">
        <v>298</v>
      </c>
      <c r="I12" s="45">
        <v>135008.42000000001</v>
      </c>
      <c r="J12" s="46"/>
      <c r="K12" s="45">
        <v>54</v>
      </c>
      <c r="L12" s="45">
        <v>50818.13</v>
      </c>
      <c r="M12" s="46"/>
      <c r="N12" s="45">
        <v>11</v>
      </c>
      <c r="O12" s="45">
        <v>2423.38</v>
      </c>
      <c r="P12" s="44"/>
      <c r="Q12" s="45">
        <v>6</v>
      </c>
      <c r="R12" s="45" t="s">
        <v>24</v>
      </c>
    </row>
    <row r="13" spans="1:18" s="42" customFormat="1" ht="9.15" customHeight="1">
      <c r="A13" s="31"/>
      <c r="B13" s="6"/>
      <c r="C13" s="45"/>
      <c r="D13" s="46"/>
      <c r="E13" s="45"/>
      <c r="F13" s="45"/>
      <c r="G13" s="46"/>
      <c r="H13" s="45"/>
      <c r="I13" s="45"/>
      <c r="J13" s="46"/>
      <c r="K13" s="45"/>
      <c r="L13" s="45"/>
      <c r="M13" s="46"/>
      <c r="N13" s="45"/>
      <c r="O13" s="45"/>
      <c r="P13" s="44"/>
      <c r="Q13" s="45"/>
      <c r="R13" s="45"/>
    </row>
    <row r="14" spans="1:18" s="42" customFormat="1" ht="12.9" customHeight="1">
      <c r="A14" s="31" t="s">
        <v>67</v>
      </c>
      <c r="B14" s="6">
        <v>706</v>
      </c>
      <c r="C14" s="45">
        <v>4023.79</v>
      </c>
      <c r="D14" s="46"/>
      <c r="E14" s="45">
        <v>574</v>
      </c>
      <c r="F14" s="45">
        <v>3568.67</v>
      </c>
      <c r="G14" s="46"/>
      <c r="H14" s="45">
        <v>116</v>
      </c>
      <c r="I14" s="45">
        <v>377.22</v>
      </c>
      <c r="J14" s="46"/>
      <c r="K14" s="45">
        <v>9</v>
      </c>
      <c r="L14" s="45">
        <v>31.9</v>
      </c>
      <c r="M14" s="46"/>
      <c r="N14" s="45">
        <v>5</v>
      </c>
      <c r="O14" s="45">
        <v>46</v>
      </c>
      <c r="P14" s="47"/>
      <c r="Q14" s="45">
        <v>2</v>
      </c>
      <c r="R14" s="45" t="s">
        <v>24</v>
      </c>
    </row>
    <row r="15" spans="1:18" s="42" customFormat="1" ht="9.15" customHeight="1">
      <c r="A15" s="31"/>
      <c r="B15" s="6"/>
      <c r="C15" s="45"/>
      <c r="D15" s="46"/>
      <c r="E15" s="45"/>
      <c r="F15" s="45"/>
      <c r="G15" s="46"/>
      <c r="H15" s="45"/>
      <c r="I15" s="45"/>
      <c r="J15" s="46"/>
      <c r="K15" s="45"/>
      <c r="L15" s="45"/>
      <c r="M15" s="46"/>
      <c r="N15" s="45"/>
      <c r="O15" s="45"/>
      <c r="P15" s="44"/>
      <c r="Q15" s="45"/>
      <c r="R15" s="45"/>
    </row>
    <row r="16" spans="1:18" s="42" customFormat="1" ht="12.9" customHeight="1">
      <c r="A16" s="31" t="s">
        <v>68</v>
      </c>
      <c r="B16" s="6">
        <v>340</v>
      </c>
      <c r="C16" s="45">
        <v>18142.52</v>
      </c>
      <c r="D16" s="46"/>
      <c r="E16" s="45">
        <v>301</v>
      </c>
      <c r="F16" s="45">
        <v>16049.13</v>
      </c>
      <c r="G16" s="46"/>
      <c r="H16" s="45">
        <v>34</v>
      </c>
      <c r="I16" s="45">
        <v>1806.39</v>
      </c>
      <c r="J16" s="46"/>
      <c r="K16" s="45">
        <v>5</v>
      </c>
      <c r="L16" s="45">
        <v>287</v>
      </c>
      <c r="M16" s="46"/>
      <c r="N16" s="45" t="s">
        <v>24</v>
      </c>
      <c r="O16" s="45" t="s">
        <v>24</v>
      </c>
      <c r="P16" s="47"/>
      <c r="Q16" s="45" t="s">
        <v>24</v>
      </c>
      <c r="R16" s="45" t="s">
        <v>24</v>
      </c>
    </row>
    <row r="17" spans="1:31" s="42" customFormat="1" ht="9.15" customHeight="1">
      <c r="A17" s="31"/>
      <c r="B17" s="6"/>
      <c r="C17" s="45"/>
      <c r="D17" s="46"/>
      <c r="E17" s="45"/>
      <c r="F17" s="45"/>
      <c r="G17" s="46"/>
      <c r="H17" s="45"/>
      <c r="I17" s="45"/>
      <c r="J17" s="46"/>
      <c r="K17" s="45"/>
      <c r="L17" s="45"/>
      <c r="M17" s="46"/>
      <c r="N17" s="45"/>
      <c r="O17" s="45"/>
      <c r="P17" s="44"/>
      <c r="Q17" s="45"/>
      <c r="R17" s="45"/>
    </row>
    <row r="18" spans="1:31" s="42" customFormat="1" ht="12.9" customHeight="1">
      <c r="A18" s="31" t="s">
        <v>69</v>
      </c>
      <c r="B18" s="6">
        <v>132</v>
      </c>
      <c r="C18" s="45">
        <v>12734.59</v>
      </c>
      <c r="D18" s="46"/>
      <c r="E18" s="45">
        <v>105</v>
      </c>
      <c r="F18" s="45">
        <v>10025.56</v>
      </c>
      <c r="G18" s="46"/>
      <c r="H18" s="45">
        <v>21</v>
      </c>
      <c r="I18" s="45">
        <v>2110.12</v>
      </c>
      <c r="J18" s="46"/>
      <c r="K18" s="45">
        <v>5</v>
      </c>
      <c r="L18" s="45">
        <v>490.91</v>
      </c>
      <c r="M18" s="46"/>
      <c r="N18" s="45">
        <v>1</v>
      </c>
      <c r="O18" s="45">
        <v>108</v>
      </c>
      <c r="P18" s="47"/>
      <c r="Q18" s="45" t="s">
        <v>24</v>
      </c>
      <c r="R18" s="45" t="s">
        <v>24</v>
      </c>
      <c r="S18" s="49"/>
    </row>
    <row r="19" spans="1:31" s="42" customFormat="1" ht="9.15" customHeight="1">
      <c r="A19" s="31"/>
      <c r="B19" s="6"/>
      <c r="C19" s="45"/>
      <c r="D19" s="46"/>
      <c r="E19" s="45"/>
      <c r="F19" s="45"/>
      <c r="G19" s="46"/>
      <c r="H19" s="45"/>
      <c r="I19" s="45"/>
      <c r="J19" s="46"/>
      <c r="K19" s="45"/>
      <c r="L19" s="45"/>
      <c r="M19" s="46"/>
      <c r="N19" s="45"/>
      <c r="O19" s="45"/>
      <c r="P19" s="44"/>
      <c r="Q19" s="45"/>
      <c r="R19" s="45"/>
    </row>
    <row r="20" spans="1:31" s="42" customFormat="1" ht="12.9" customHeight="1">
      <c r="A20" s="31" t="s">
        <v>70</v>
      </c>
      <c r="B20" s="6">
        <v>149</v>
      </c>
      <c r="C20" s="45">
        <v>22553.98</v>
      </c>
      <c r="D20" s="46"/>
      <c r="E20" s="45">
        <v>113</v>
      </c>
      <c r="F20" s="45">
        <v>17177.79</v>
      </c>
      <c r="G20" s="46"/>
      <c r="H20" s="45">
        <v>30</v>
      </c>
      <c r="I20" s="45">
        <v>4504.1899999999996</v>
      </c>
      <c r="J20" s="46"/>
      <c r="K20" s="45">
        <v>5</v>
      </c>
      <c r="L20" s="45">
        <v>744</v>
      </c>
      <c r="M20" s="46"/>
      <c r="N20" s="45">
        <v>1</v>
      </c>
      <c r="O20" s="45">
        <v>128</v>
      </c>
      <c r="P20" s="47"/>
      <c r="Q20" s="45" t="s">
        <v>24</v>
      </c>
      <c r="R20" s="45" t="s">
        <v>24</v>
      </c>
      <c r="S20" s="49"/>
    </row>
    <row r="21" spans="1:31" s="42" customFormat="1" ht="9.15" customHeight="1">
      <c r="A21" s="31"/>
      <c r="B21" s="6"/>
      <c r="C21" s="45"/>
      <c r="D21" s="46"/>
      <c r="E21" s="45"/>
      <c r="F21" s="45"/>
      <c r="G21" s="46"/>
      <c r="H21" s="45"/>
      <c r="I21" s="45"/>
      <c r="J21" s="46"/>
      <c r="K21" s="45"/>
      <c r="L21" s="45"/>
      <c r="M21" s="46"/>
      <c r="N21" s="45"/>
      <c r="O21" s="45"/>
      <c r="P21" s="44"/>
      <c r="Q21" s="45"/>
      <c r="R21" s="45"/>
    </row>
    <row r="22" spans="1:31" s="42" customFormat="1" ht="12.9" customHeight="1">
      <c r="A22" s="31" t="s">
        <v>71</v>
      </c>
      <c r="B22" s="6">
        <v>147</v>
      </c>
      <c r="C22" s="45">
        <v>46661.79</v>
      </c>
      <c r="D22" s="46"/>
      <c r="E22" s="45">
        <v>88</v>
      </c>
      <c r="F22" s="45">
        <v>27446.7</v>
      </c>
      <c r="G22" s="46"/>
      <c r="H22" s="45">
        <v>49</v>
      </c>
      <c r="I22" s="45">
        <v>15990.24</v>
      </c>
      <c r="J22" s="46"/>
      <c r="K22" s="45">
        <v>8</v>
      </c>
      <c r="L22" s="45">
        <v>2564.85</v>
      </c>
      <c r="M22" s="46"/>
      <c r="N22" s="45">
        <v>2</v>
      </c>
      <c r="O22" s="45">
        <v>660</v>
      </c>
      <c r="P22" s="47"/>
      <c r="Q22" s="45" t="s">
        <v>24</v>
      </c>
      <c r="R22" s="45" t="s">
        <v>24</v>
      </c>
      <c r="S22" s="49"/>
    </row>
    <row r="23" spans="1:31" s="42" customFormat="1" ht="9.15" customHeight="1">
      <c r="A23" s="31"/>
      <c r="B23" s="6"/>
      <c r="C23" s="45"/>
      <c r="D23" s="46"/>
      <c r="E23" s="45"/>
      <c r="F23" s="45"/>
      <c r="G23" s="46"/>
      <c r="H23" s="45"/>
      <c r="I23" s="45"/>
      <c r="J23" s="46"/>
      <c r="K23" s="45"/>
      <c r="L23" s="45"/>
      <c r="M23" s="46"/>
      <c r="N23" s="45"/>
      <c r="O23" s="45"/>
      <c r="P23" s="44"/>
      <c r="Q23" s="45"/>
      <c r="R23" s="45"/>
    </row>
    <row r="24" spans="1:31" s="42" customFormat="1" ht="12.9" customHeight="1">
      <c r="A24" s="31" t="s">
        <v>72</v>
      </c>
      <c r="B24" s="6">
        <v>76</v>
      </c>
      <c r="C24" s="45">
        <v>55858.400000000001</v>
      </c>
      <c r="D24" s="46"/>
      <c r="E24" s="45">
        <v>48</v>
      </c>
      <c r="F24" s="45">
        <v>35816.65</v>
      </c>
      <c r="G24" s="46"/>
      <c r="H24" s="45">
        <v>18</v>
      </c>
      <c r="I24" s="45">
        <v>12943.94</v>
      </c>
      <c r="J24" s="46"/>
      <c r="K24" s="45">
        <v>8</v>
      </c>
      <c r="L24" s="45">
        <v>5616.43</v>
      </c>
      <c r="M24" s="46"/>
      <c r="N24" s="45">
        <v>2</v>
      </c>
      <c r="O24" s="45">
        <v>1481.38</v>
      </c>
      <c r="P24" s="47"/>
      <c r="Q24" s="45" t="s">
        <v>24</v>
      </c>
      <c r="R24" s="45" t="s">
        <v>24</v>
      </c>
      <c r="S24" s="49"/>
    </row>
    <row r="25" spans="1:31" s="42" customFormat="1" ht="9.15" customHeight="1">
      <c r="A25" s="31"/>
      <c r="B25" s="6"/>
      <c r="C25" s="45"/>
      <c r="D25" s="46"/>
      <c r="E25" s="45"/>
      <c r="F25" s="45"/>
      <c r="G25" s="46"/>
      <c r="H25" s="45"/>
      <c r="I25" s="45"/>
      <c r="J25" s="46"/>
      <c r="K25" s="45"/>
      <c r="L25" s="45"/>
      <c r="M25" s="46"/>
      <c r="N25" s="45"/>
      <c r="O25" s="45"/>
      <c r="P25" s="44"/>
      <c r="Q25" s="45"/>
      <c r="R25" s="45"/>
    </row>
    <row r="26" spans="1:31" s="42" customFormat="1" ht="12.9" customHeight="1">
      <c r="A26" s="31" t="s">
        <v>73</v>
      </c>
      <c r="B26" s="6">
        <v>75</v>
      </c>
      <c r="C26" s="45">
        <v>109069.8</v>
      </c>
      <c r="D26" s="46"/>
      <c r="E26" s="45">
        <v>59</v>
      </c>
      <c r="F26" s="45">
        <v>87586.86</v>
      </c>
      <c r="G26" s="46"/>
      <c r="H26" s="45">
        <v>12</v>
      </c>
      <c r="I26" s="45">
        <v>15594.9</v>
      </c>
      <c r="J26" s="46"/>
      <c r="K26" s="45">
        <v>4</v>
      </c>
      <c r="L26" s="45">
        <v>5888.04</v>
      </c>
      <c r="M26" s="46"/>
      <c r="N26" s="45" t="s">
        <v>24</v>
      </c>
      <c r="O26" s="45" t="s">
        <v>24</v>
      </c>
      <c r="P26" s="47"/>
      <c r="Q26" s="45" t="s">
        <v>24</v>
      </c>
      <c r="R26" s="45" t="s">
        <v>24</v>
      </c>
      <c r="S26" s="49"/>
    </row>
    <row r="27" spans="1:31" s="42" customFormat="1" ht="9.15" customHeight="1">
      <c r="A27" s="31"/>
      <c r="B27" s="6"/>
      <c r="C27" s="45"/>
      <c r="D27" s="46"/>
      <c r="E27" s="45"/>
      <c r="F27" s="45"/>
      <c r="G27" s="46"/>
      <c r="H27" s="45"/>
      <c r="I27" s="45"/>
      <c r="J27" s="46"/>
      <c r="K27" s="45"/>
      <c r="L27" s="45"/>
      <c r="M27" s="46"/>
      <c r="N27" s="45"/>
      <c r="O27" s="45"/>
      <c r="P27" s="44"/>
      <c r="Q27" s="45"/>
      <c r="R27" s="45"/>
    </row>
    <row r="28" spans="1:31" s="42" customFormat="1" ht="12.9" customHeight="1">
      <c r="A28" s="31" t="s">
        <v>74</v>
      </c>
      <c r="B28" s="6">
        <v>95</v>
      </c>
      <c r="C28" s="45">
        <v>376961.88</v>
      </c>
      <c r="D28" s="46"/>
      <c r="E28" s="45">
        <v>68</v>
      </c>
      <c r="F28" s="45">
        <v>260085.46</v>
      </c>
      <c r="G28" s="46"/>
      <c r="H28" s="45">
        <v>17</v>
      </c>
      <c r="I28" s="45">
        <v>81681.42</v>
      </c>
      <c r="J28" s="46"/>
      <c r="K28" s="45">
        <v>10</v>
      </c>
      <c r="L28" s="45">
        <v>35195</v>
      </c>
      <c r="M28" s="46"/>
      <c r="N28" s="45" t="s">
        <v>24</v>
      </c>
      <c r="O28" s="45" t="s">
        <v>24</v>
      </c>
      <c r="P28" s="47"/>
      <c r="Q28" s="45" t="s">
        <v>24</v>
      </c>
      <c r="R28" s="45" t="s">
        <v>24</v>
      </c>
      <c r="S28" s="49"/>
    </row>
    <row r="29" spans="1:31" s="42" customFormat="1" ht="9.15" customHeight="1">
      <c r="A29" s="31"/>
      <c r="B29" s="6"/>
      <c r="C29" s="45"/>
      <c r="D29" s="46"/>
      <c r="E29" s="45"/>
      <c r="F29" s="45"/>
      <c r="G29" s="46"/>
      <c r="H29" s="45"/>
      <c r="I29" s="45"/>
      <c r="J29" s="46"/>
      <c r="K29" s="45"/>
      <c r="L29" s="45"/>
      <c r="M29" s="46"/>
      <c r="N29" s="45"/>
      <c r="O29" s="45"/>
      <c r="P29" s="44"/>
      <c r="Q29" s="45"/>
      <c r="R29" s="45"/>
    </row>
    <row r="30" spans="1:31" s="42" customFormat="1" ht="12.9" customHeight="1">
      <c r="A30" s="31" t="s">
        <v>4</v>
      </c>
      <c r="B30" s="6">
        <v>8</v>
      </c>
      <c r="C30" s="45" t="s">
        <v>24</v>
      </c>
      <c r="D30" s="46"/>
      <c r="E30" s="45">
        <v>3</v>
      </c>
      <c r="F30" s="45" t="s">
        <v>24</v>
      </c>
      <c r="G30" s="46"/>
      <c r="H30" s="45">
        <v>1</v>
      </c>
      <c r="I30" s="45" t="s">
        <v>24</v>
      </c>
      <c r="J30" s="46"/>
      <c r="K30" s="45" t="s">
        <v>24</v>
      </c>
      <c r="L30" s="45" t="s">
        <v>24</v>
      </c>
      <c r="M30" s="46"/>
      <c r="N30" s="45" t="s">
        <v>24</v>
      </c>
      <c r="O30" s="45" t="s">
        <v>24</v>
      </c>
      <c r="P30" s="47"/>
      <c r="Q30" s="45">
        <v>4</v>
      </c>
      <c r="R30" s="45" t="s">
        <v>24</v>
      </c>
      <c r="S30" s="49"/>
    </row>
    <row r="31" spans="1:31" s="42" customFormat="1" ht="9.15" customHeight="1">
      <c r="A31" s="31"/>
      <c r="B31" s="5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 spans="1:31" s="31" customFormat="1" ht="9.15" customHeight="1">
      <c r="B32" s="53"/>
      <c r="C32" s="54"/>
      <c r="D32" s="53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32"/>
      <c r="R32" s="32"/>
    </row>
    <row r="33" spans="1:18" s="31" customFormat="1" ht="12.9" customHeight="1">
      <c r="A33" s="32" t="s">
        <v>75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Q33" s="32"/>
      <c r="R33" s="32"/>
    </row>
    <row r="34" spans="1:18" s="31" customFormat="1" ht="12.9" customHeight="1">
      <c r="A34" s="32" t="s">
        <v>76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Q34" s="32"/>
      <c r="R34" s="32"/>
    </row>
    <row r="35" spans="1:18" s="31" customFormat="1" ht="12.9" customHeight="1">
      <c r="A35" s="32" t="s">
        <v>77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Q35" s="32"/>
      <c r="R35" s="32"/>
    </row>
    <row r="36" spans="1:18" s="31" customFormat="1" ht="12.9" customHeight="1">
      <c r="A36" s="32" t="s">
        <v>78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Q36" s="32"/>
      <c r="R36" s="32"/>
    </row>
    <row r="37" spans="1:18" s="31" customFormat="1" ht="9.1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Q37" s="55"/>
      <c r="R37" s="56"/>
    </row>
  </sheetData>
  <mergeCells count="13">
    <mergeCell ref="R8:R9"/>
    <mergeCell ref="C8:C9"/>
    <mergeCell ref="F8:F9"/>
    <mergeCell ref="I8:I9"/>
    <mergeCell ref="L8:L9"/>
    <mergeCell ref="O8:O9"/>
    <mergeCell ref="E6:R6"/>
    <mergeCell ref="B7:C7"/>
    <mergeCell ref="E7:F7"/>
    <mergeCell ref="H7:I7"/>
    <mergeCell ref="K7:L7"/>
    <mergeCell ref="N7:O7"/>
    <mergeCell ref="Q7:R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showGridLines="0" workbookViewId="0"/>
  </sheetViews>
  <sheetFormatPr baseColWidth="10" defaultColWidth="9.75" defaultRowHeight="15"/>
  <cols>
    <col min="1" max="1" width="13.4140625" customWidth="1"/>
    <col min="2" max="3" width="6.4140625" style="57" customWidth="1"/>
    <col min="4" max="4" width="0.9140625" style="57" customWidth="1"/>
    <col min="5" max="6" width="6.4140625" style="57" customWidth="1"/>
    <col min="7" max="7" width="1" style="57" customWidth="1"/>
    <col min="8" max="9" width="6.4140625" style="57" customWidth="1"/>
    <col min="10" max="10" width="1" style="57" customWidth="1"/>
    <col min="11" max="12" width="6.4140625" style="57" customWidth="1"/>
    <col min="13" max="13" width="0.6640625" style="58" customWidth="1"/>
    <col min="14" max="15" width="6.4140625" style="57" customWidth="1"/>
    <col min="16" max="16" width="1" customWidth="1"/>
    <col min="17" max="18" width="6.4140625" style="57" customWidth="1"/>
  </cols>
  <sheetData>
    <row r="1" spans="1:18" s="61" customFormat="1" ht="1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</row>
    <row r="2" spans="1:18" s="31" customFormat="1" ht="15" customHeight="1">
      <c r="A2" s="30" t="s">
        <v>59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</row>
    <row r="3" spans="1:18" s="31" customFormat="1" ht="15" customHeight="1">
      <c r="A3" s="30" t="s">
        <v>60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Q3" s="30"/>
      <c r="R3" s="30"/>
    </row>
    <row r="4" spans="1:18" s="31" customFormat="1" ht="15" customHeight="1">
      <c r="A4" s="30" t="s">
        <v>79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Q4" s="30"/>
      <c r="R4" s="30"/>
    </row>
    <row r="5" spans="1:18" s="31" customFormat="1" ht="9.15" customHeight="1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Q5" s="33"/>
      <c r="R5" s="33"/>
    </row>
    <row r="6" spans="1:18" s="34" customFormat="1" ht="12.9" customHeight="1">
      <c r="A6" s="31"/>
      <c r="B6" s="33"/>
      <c r="C6" s="33"/>
      <c r="D6" s="33"/>
      <c r="E6" s="63"/>
      <c r="F6" s="63"/>
      <c r="G6" s="63"/>
      <c r="H6" s="63"/>
      <c r="I6" s="63"/>
      <c r="J6" s="63"/>
      <c r="K6" s="63" t="s">
        <v>80</v>
      </c>
      <c r="L6" s="63"/>
      <c r="M6" s="63"/>
      <c r="N6" s="63"/>
      <c r="O6" s="63"/>
      <c r="P6" s="63"/>
      <c r="Q6" s="63"/>
      <c r="R6" s="63"/>
    </row>
    <row r="7" spans="1:18" s="34" customFormat="1" ht="15" customHeight="1">
      <c r="A7" s="31"/>
      <c r="B7" s="138" t="s">
        <v>63</v>
      </c>
      <c r="C7" s="138"/>
      <c r="D7" s="37"/>
      <c r="E7" s="138" t="s">
        <v>3</v>
      </c>
      <c r="F7" s="138"/>
      <c r="G7" s="33"/>
      <c r="H7" s="138" t="s">
        <v>0</v>
      </c>
      <c r="I7" s="138"/>
      <c r="J7" s="38"/>
      <c r="K7" s="138" t="s">
        <v>2</v>
      </c>
      <c r="L7" s="138"/>
      <c r="M7" s="39"/>
      <c r="N7" s="138" t="s">
        <v>1</v>
      </c>
      <c r="O7" s="138"/>
      <c r="Q7" s="138" t="s">
        <v>4</v>
      </c>
      <c r="R7" s="138"/>
    </row>
    <row r="8" spans="1:18" s="34" customFormat="1" ht="15" customHeight="1">
      <c r="A8" s="31" t="s">
        <v>64</v>
      </c>
      <c r="B8" s="35" t="s">
        <v>49</v>
      </c>
      <c r="C8" s="143" t="s">
        <v>81</v>
      </c>
      <c r="D8" s="37"/>
      <c r="E8" s="35" t="s">
        <v>49</v>
      </c>
      <c r="F8" s="143" t="s">
        <v>81</v>
      </c>
      <c r="G8" s="37"/>
      <c r="H8" s="35" t="s">
        <v>49</v>
      </c>
      <c r="I8" s="143" t="s">
        <v>81</v>
      </c>
      <c r="J8" s="37"/>
      <c r="K8" s="35" t="s">
        <v>49</v>
      </c>
      <c r="L8" s="143" t="s">
        <v>81</v>
      </c>
      <c r="M8" s="37"/>
      <c r="N8" s="35" t="s">
        <v>49</v>
      </c>
      <c r="O8" s="143" t="s">
        <v>81</v>
      </c>
      <c r="Q8" s="35" t="s">
        <v>49</v>
      </c>
      <c r="R8" s="143" t="s">
        <v>81</v>
      </c>
    </row>
    <row r="9" spans="1:18" s="34" customFormat="1" ht="12.9" customHeight="1">
      <c r="A9" s="31" t="s">
        <v>65</v>
      </c>
      <c r="B9" s="35" t="s">
        <v>46</v>
      </c>
      <c r="C9" s="144"/>
      <c r="D9" s="33"/>
      <c r="E9" s="35" t="s">
        <v>46</v>
      </c>
      <c r="F9" s="144"/>
      <c r="G9" s="33"/>
      <c r="H9" s="35" t="s">
        <v>46</v>
      </c>
      <c r="I9" s="144"/>
      <c r="J9" s="33"/>
      <c r="K9" s="35" t="s">
        <v>46</v>
      </c>
      <c r="L9" s="144"/>
      <c r="M9" s="33"/>
      <c r="N9" s="35" t="s">
        <v>46</v>
      </c>
      <c r="O9" s="144"/>
      <c r="Q9" s="35" t="s">
        <v>46</v>
      </c>
      <c r="R9" s="144"/>
    </row>
    <row r="10" spans="1:18" s="31" customFormat="1" ht="9.15" customHeight="1">
      <c r="B10" s="33"/>
      <c r="C10" s="37"/>
      <c r="D10" s="33"/>
      <c r="E10" s="33"/>
      <c r="F10" s="33"/>
      <c r="G10" s="33"/>
      <c r="H10" s="32"/>
      <c r="I10" s="32"/>
      <c r="J10" s="33"/>
      <c r="K10" s="33"/>
      <c r="L10" s="33"/>
      <c r="M10" s="33"/>
      <c r="N10" s="33"/>
      <c r="O10" s="33"/>
      <c r="Q10" s="33"/>
      <c r="R10" s="33"/>
    </row>
    <row r="11" spans="1:18" s="42" customFormat="1" ht="9.15" customHeight="1">
      <c r="A11" s="31"/>
      <c r="B11" s="1"/>
      <c r="C11" s="2"/>
      <c r="D11" s="1"/>
      <c r="E11" s="1"/>
      <c r="F11" s="1"/>
      <c r="G11" s="1"/>
      <c r="H11" s="3"/>
      <c r="I11" s="3"/>
      <c r="J11" s="1"/>
      <c r="K11" s="1"/>
      <c r="L11" s="1"/>
      <c r="M11" s="1"/>
      <c r="N11" s="1"/>
      <c r="O11" s="1"/>
      <c r="Q11" s="1"/>
      <c r="R11" s="1"/>
    </row>
    <row r="12" spans="1:18" s="42" customFormat="1" ht="12.9" customHeight="1">
      <c r="A12" s="31" t="s">
        <v>66</v>
      </c>
      <c r="B12" s="19">
        <v>1682</v>
      </c>
      <c r="C12" s="19">
        <v>465996</v>
      </c>
      <c r="D12" s="18"/>
      <c r="E12" s="19">
        <v>1312</v>
      </c>
      <c r="F12" s="19">
        <v>254672</v>
      </c>
      <c r="G12" s="19"/>
      <c r="H12" s="19">
        <v>292</v>
      </c>
      <c r="I12" s="19">
        <v>164585</v>
      </c>
      <c r="J12" s="19"/>
      <c r="K12" s="19">
        <v>50</v>
      </c>
      <c r="L12" s="19">
        <v>30869</v>
      </c>
      <c r="M12" s="19"/>
      <c r="N12" s="19">
        <v>25</v>
      </c>
      <c r="O12" s="19">
        <v>15794</v>
      </c>
      <c r="P12" s="50"/>
      <c r="Q12" s="18">
        <v>3</v>
      </c>
      <c r="R12" s="18">
        <v>78</v>
      </c>
    </row>
    <row r="13" spans="1:18" s="42" customFormat="1" ht="9.15" customHeight="1">
      <c r="A13" s="31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50"/>
      <c r="Q13" s="18"/>
      <c r="R13" s="18"/>
    </row>
    <row r="14" spans="1:18" s="42" customFormat="1" ht="12.9" customHeight="1">
      <c r="A14" s="31" t="s">
        <v>82</v>
      </c>
      <c r="B14" s="64">
        <v>356</v>
      </c>
      <c r="C14" s="64">
        <v>4799</v>
      </c>
      <c r="D14" s="64"/>
      <c r="E14" s="47">
        <v>284</v>
      </c>
      <c r="F14" s="65">
        <v>4133</v>
      </c>
      <c r="G14" s="65"/>
      <c r="H14" s="65">
        <v>58</v>
      </c>
      <c r="I14" s="65">
        <v>447</v>
      </c>
      <c r="J14" s="65"/>
      <c r="K14" s="65">
        <v>8</v>
      </c>
      <c r="L14" s="65">
        <v>98</v>
      </c>
      <c r="M14" s="65"/>
      <c r="N14" s="47">
        <v>6</v>
      </c>
      <c r="O14" s="47">
        <v>121</v>
      </c>
      <c r="P14" s="66"/>
      <c r="Q14" s="47" t="s">
        <v>24</v>
      </c>
      <c r="R14" s="47" t="s">
        <v>24</v>
      </c>
    </row>
    <row r="15" spans="1:18" s="42" customFormat="1" ht="9.15" customHeight="1">
      <c r="A15" s="31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8"/>
      <c r="Q15" s="50"/>
      <c r="R15" s="50"/>
    </row>
    <row r="16" spans="1:18" s="42" customFormat="1" ht="12.9" customHeight="1">
      <c r="A16" s="31" t="s">
        <v>83</v>
      </c>
      <c r="B16" s="64">
        <v>323</v>
      </c>
      <c r="C16" s="18">
        <v>17267</v>
      </c>
      <c r="D16" s="18"/>
      <c r="E16" s="47">
        <v>280</v>
      </c>
      <c r="F16" s="47">
        <v>14845</v>
      </c>
      <c r="G16" s="67"/>
      <c r="H16" s="47">
        <v>32</v>
      </c>
      <c r="I16" s="47">
        <v>1688</v>
      </c>
      <c r="J16" s="67"/>
      <c r="K16" s="47">
        <v>5</v>
      </c>
      <c r="L16" s="47">
        <v>309</v>
      </c>
      <c r="M16" s="67"/>
      <c r="N16" s="47">
        <v>5</v>
      </c>
      <c r="O16" s="47">
        <v>347</v>
      </c>
      <c r="P16" s="66"/>
      <c r="Q16" s="68">
        <v>1</v>
      </c>
      <c r="R16" s="68">
        <v>78</v>
      </c>
    </row>
    <row r="17" spans="1:31" s="42" customFormat="1" ht="9.15" customHeight="1">
      <c r="A17" s="31"/>
      <c r="B17" s="18"/>
      <c r="C17" s="18"/>
      <c r="D17" s="1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8"/>
      <c r="Q17" s="50"/>
      <c r="R17" s="50"/>
    </row>
    <row r="18" spans="1:31" s="42" customFormat="1" ht="12.9" customHeight="1">
      <c r="A18" s="31" t="s">
        <v>84</v>
      </c>
      <c r="B18" s="64">
        <v>161</v>
      </c>
      <c r="C18" s="18">
        <v>15789</v>
      </c>
      <c r="D18" s="18"/>
      <c r="E18" s="47">
        <v>133</v>
      </c>
      <c r="F18" s="47">
        <v>13043</v>
      </c>
      <c r="G18" s="67"/>
      <c r="H18" s="47">
        <v>25</v>
      </c>
      <c r="I18" s="47">
        <v>2477</v>
      </c>
      <c r="J18" s="67"/>
      <c r="K18" s="47">
        <v>2</v>
      </c>
      <c r="L18" s="47">
        <v>181</v>
      </c>
      <c r="M18" s="67"/>
      <c r="N18" s="47">
        <v>1</v>
      </c>
      <c r="O18" s="47">
        <v>88</v>
      </c>
      <c r="P18" s="66"/>
      <c r="Q18" s="47" t="s">
        <v>24</v>
      </c>
      <c r="R18" s="47" t="s">
        <v>24</v>
      </c>
      <c r="S18" s="49"/>
    </row>
    <row r="19" spans="1:31" s="42" customFormat="1" ht="9.15" customHeight="1">
      <c r="A19" s="31"/>
      <c r="B19" s="18"/>
      <c r="C19" s="18"/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8"/>
      <c r="Q19" s="49"/>
      <c r="R19" s="49"/>
      <c r="S19" s="49"/>
    </row>
    <row r="20" spans="1:31" s="42" customFormat="1" ht="12.9" customHeight="1">
      <c r="A20" s="31" t="s">
        <v>85</v>
      </c>
      <c r="B20" s="64">
        <v>119</v>
      </c>
      <c r="C20" s="18">
        <v>18728</v>
      </c>
      <c r="D20" s="18"/>
      <c r="E20" s="47">
        <v>88</v>
      </c>
      <c r="F20" s="47">
        <v>13614</v>
      </c>
      <c r="G20" s="67"/>
      <c r="H20" s="47">
        <v>22</v>
      </c>
      <c r="I20" s="47">
        <v>3699</v>
      </c>
      <c r="J20" s="67"/>
      <c r="K20" s="47">
        <v>7</v>
      </c>
      <c r="L20" s="47">
        <v>1108</v>
      </c>
      <c r="M20" s="67"/>
      <c r="N20" s="47">
        <v>2</v>
      </c>
      <c r="O20" s="47">
        <v>307</v>
      </c>
      <c r="P20" s="66"/>
      <c r="Q20" s="47" t="s">
        <v>24</v>
      </c>
      <c r="R20" s="47" t="s">
        <v>24</v>
      </c>
      <c r="S20" s="49"/>
    </row>
    <row r="21" spans="1:31" s="42" customFormat="1" ht="9.15" customHeight="1">
      <c r="A21" s="31"/>
      <c r="B21" s="18"/>
      <c r="C21" s="18"/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8"/>
      <c r="Q21" s="49"/>
      <c r="R21" s="49"/>
      <c r="S21" s="49"/>
    </row>
    <row r="22" spans="1:31" s="42" customFormat="1" ht="12.9" customHeight="1">
      <c r="A22" s="31" t="s">
        <v>86</v>
      </c>
      <c r="B22" s="18">
        <v>154</v>
      </c>
      <c r="C22" s="18">
        <v>47269</v>
      </c>
      <c r="D22" s="18"/>
      <c r="E22" s="47">
        <v>85</v>
      </c>
      <c r="F22" s="47">
        <v>24895</v>
      </c>
      <c r="G22" s="67"/>
      <c r="H22" s="47">
        <v>55</v>
      </c>
      <c r="I22" s="47">
        <v>17749</v>
      </c>
      <c r="J22" s="67"/>
      <c r="K22" s="47">
        <v>12</v>
      </c>
      <c r="L22" s="47">
        <v>3846</v>
      </c>
      <c r="M22" s="67"/>
      <c r="N22" s="47">
        <v>2</v>
      </c>
      <c r="O22" s="47">
        <v>779</v>
      </c>
      <c r="P22" s="66"/>
      <c r="Q22" s="47" t="s">
        <v>24</v>
      </c>
      <c r="R22" s="47" t="s">
        <v>24</v>
      </c>
      <c r="S22" s="49"/>
    </row>
    <row r="23" spans="1:31" s="42" customFormat="1" ht="9.15" customHeight="1">
      <c r="A23" s="31" t="s">
        <v>87</v>
      </c>
      <c r="B23" s="18"/>
      <c r="C23" s="18"/>
      <c r="D23" s="18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8"/>
      <c r="Q23" s="49"/>
      <c r="R23" s="49"/>
      <c r="S23" s="49"/>
    </row>
    <row r="24" spans="1:31" s="42" customFormat="1" ht="12.9" customHeight="1">
      <c r="A24" s="31" t="s">
        <v>88</v>
      </c>
      <c r="B24" s="18">
        <v>56</v>
      </c>
      <c r="C24" s="18">
        <v>40475</v>
      </c>
      <c r="D24" s="18"/>
      <c r="E24" s="47">
        <v>27</v>
      </c>
      <c r="F24" s="47">
        <v>19353</v>
      </c>
      <c r="G24" s="67"/>
      <c r="H24" s="47">
        <v>20</v>
      </c>
      <c r="I24" s="47">
        <v>14342</v>
      </c>
      <c r="J24" s="67"/>
      <c r="K24" s="47">
        <v>6</v>
      </c>
      <c r="L24" s="47">
        <v>4632</v>
      </c>
      <c r="M24" s="67"/>
      <c r="N24" s="47">
        <v>3</v>
      </c>
      <c r="O24" s="47">
        <v>2148</v>
      </c>
      <c r="P24" s="66"/>
      <c r="Q24" s="47" t="s">
        <v>24</v>
      </c>
      <c r="R24" s="47" t="s">
        <v>24</v>
      </c>
      <c r="S24" s="49"/>
    </row>
    <row r="25" spans="1:31" s="42" customFormat="1" ht="9.15" customHeight="1">
      <c r="A25" s="31"/>
      <c r="B25" s="18"/>
      <c r="C25" s="18"/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8"/>
      <c r="Q25" s="49"/>
      <c r="R25" s="49"/>
      <c r="S25" s="49"/>
    </row>
    <row r="26" spans="1:31" s="42" customFormat="1" ht="12.9" customHeight="1">
      <c r="A26" s="31" t="s">
        <v>89</v>
      </c>
      <c r="B26" s="18">
        <v>50</v>
      </c>
      <c r="C26" s="18">
        <v>71795</v>
      </c>
      <c r="D26" s="18"/>
      <c r="E26" s="47">
        <v>28</v>
      </c>
      <c r="F26" s="47">
        <v>40929</v>
      </c>
      <c r="G26" s="67"/>
      <c r="H26" s="47">
        <v>15</v>
      </c>
      <c r="I26" s="47">
        <v>20751</v>
      </c>
      <c r="J26" s="67"/>
      <c r="K26" s="47">
        <v>5</v>
      </c>
      <c r="L26" s="47">
        <v>7487</v>
      </c>
      <c r="M26" s="67"/>
      <c r="N26" s="47">
        <v>2</v>
      </c>
      <c r="O26" s="47">
        <v>2628</v>
      </c>
      <c r="P26" s="66"/>
      <c r="Q26" s="47" t="s">
        <v>24</v>
      </c>
      <c r="R26" s="47" t="s">
        <v>24</v>
      </c>
      <c r="S26" s="49"/>
    </row>
    <row r="27" spans="1:31" s="42" customFormat="1" ht="9.15" customHeight="1">
      <c r="A27" s="31"/>
      <c r="B27" s="18"/>
      <c r="C27" s="18"/>
      <c r="D27" s="18"/>
      <c r="E27" s="4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8"/>
      <c r="Q27" s="49"/>
      <c r="R27" s="49"/>
      <c r="S27" s="49"/>
    </row>
    <row r="28" spans="1:31" s="42" customFormat="1" ht="12.9" customHeight="1">
      <c r="A28" s="31" t="s">
        <v>74</v>
      </c>
      <c r="B28" s="18">
        <v>65</v>
      </c>
      <c r="C28" s="18">
        <v>249871</v>
      </c>
      <c r="D28" s="18"/>
      <c r="E28" s="69">
        <v>43</v>
      </c>
      <c r="F28" s="47">
        <v>123859</v>
      </c>
      <c r="G28" s="67"/>
      <c r="H28" s="47">
        <v>18</v>
      </c>
      <c r="I28" s="47">
        <v>103432</v>
      </c>
      <c r="J28" s="67"/>
      <c r="K28" s="47">
        <v>2</v>
      </c>
      <c r="L28" s="47">
        <v>13207</v>
      </c>
      <c r="M28" s="67"/>
      <c r="N28" s="47">
        <v>2</v>
      </c>
      <c r="O28" s="47">
        <v>9376</v>
      </c>
      <c r="P28" s="66"/>
      <c r="Q28" s="47" t="s">
        <v>24</v>
      </c>
      <c r="R28" s="47" t="s">
        <v>24</v>
      </c>
      <c r="S28" s="49"/>
    </row>
    <row r="29" spans="1:31" s="42" customFormat="1" ht="9.15" customHeight="1">
      <c r="A29" s="31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50"/>
      <c r="R29" s="50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 spans="1:31" s="42" customFormat="1" ht="12.9" customHeight="1">
      <c r="A30" s="31" t="s">
        <v>4</v>
      </c>
      <c r="B30" s="18">
        <v>398</v>
      </c>
      <c r="C30" s="47" t="s">
        <v>24</v>
      </c>
      <c r="D30" s="18"/>
      <c r="E30" s="68">
        <v>344</v>
      </c>
      <c r="F30" s="47" t="s">
        <v>24</v>
      </c>
      <c r="G30" s="66"/>
      <c r="H30" s="68">
        <v>47</v>
      </c>
      <c r="I30" s="47" t="s">
        <v>24</v>
      </c>
      <c r="J30" s="66"/>
      <c r="K30" s="68">
        <v>3</v>
      </c>
      <c r="L30" s="47" t="s">
        <v>24</v>
      </c>
      <c r="M30" s="66"/>
      <c r="N30" s="68">
        <v>2</v>
      </c>
      <c r="O30" s="47" t="s">
        <v>24</v>
      </c>
      <c r="P30" s="66"/>
      <c r="Q30" s="68">
        <v>2</v>
      </c>
      <c r="R30" s="47" t="s">
        <v>24</v>
      </c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</row>
    <row r="31" spans="1:31" s="42" customFormat="1" ht="9.15" customHeight="1">
      <c r="A31" s="31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1"/>
      <c r="Q31" s="50"/>
      <c r="R31" s="50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 spans="1:31" s="31" customFormat="1" ht="9.15" customHeight="1">
      <c r="B32" s="53"/>
      <c r="C32" s="54"/>
      <c r="D32" s="53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54"/>
      <c r="R32" s="54"/>
    </row>
    <row r="33" spans="1:18" s="31" customFormat="1" ht="12.9" customHeight="1">
      <c r="A33" s="32" t="s">
        <v>75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Q33" s="32"/>
      <c r="R33" s="32"/>
    </row>
    <row r="34" spans="1:18" s="31" customFormat="1" ht="12.9" customHeight="1">
      <c r="A34" s="32" t="s">
        <v>90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Q34" s="32"/>
      <c r="R34" s="32"/>
    </row>
    <row r="35" spans="1:18" s="31" customFormat="1" ht="12.9" customHeight="1">
      <c r="A35" s="32" t="s">
        <v>77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Q35" s="32"/>
      <c r="R35" s="32"/>
    </row>
    <row r="36" spans="1:18" s="31" customFormat="1" ht="12.9" customHeight="1">
      <c r="A36" s="32" t="s">
        <v>78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Q36" s="32"/>
      <c r="R36" s="32"/>
    </row>
    <row r="37" spans="1:18" s="31" customFormat="1" ht="9.1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Q37" s="32"/>
      <c r="R37" s="32"/>
    </row>
  </sheetData>
  <mergeCells count="12">
    <mergeCell ref="Q7:R7"/>
    <mergeCell ref="C8:C9"/>
    <mergeCell ref="F8:F9"/>
    <mergeCell ref="I8:I9"/>
    <mergeCell ref="L8:L9"/>
    <mergeCell ref="O8:O9"/>
    <mergeCell ref="R8:R9"/>
    <mergeCell ref="B7:C7"/>
    <mergeCell ref="E7:F7"/>
    <mergeCell ref="H7:I7"/>
    <mergeCell ref="K7:L7"/>
    <mergeCell ref="N7:O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showGridLines="0" workbookViewId="0"/>
  </sheetViews>
  <sheetFormatPr baseColWidth="10" defaultColWidth="9.75" defaultRowHeight="15"/>
  <cols>
    <col min="1" max="1" width="13.4140625" customWidth="1"/>
    <col min="2" max="2" width="4.58203125" style="57" bestFit="1" customWidth="1"/>
    <col min="3" max="3" width="5.75" style="57" bestFit="1" customWidth="1"/>
    <col min="4" max="4" width="1.25" style="57" customWidth="1"/>
    <col min="5" max="5" width="4.58203125" style="57" bestFit="1" customWidth="1"/>
    <col min="6" max="6" width="5.75" style="57" bestFit="1" customWidth="1"/>
    <col min="7" max="7" width="1.08203125" style="57" customWidth="1"/>
    <col min="8" max="8" width="4.58203125" style="57" bestFit="1" customWidth="1"/>
    <col min="9" max="9" width="5.75" style="57" bestFit="1" customWidth="1"/>
    <col min="10" max="10" width="1.08203125" style="57" customWidth="1"/>
    <col min="11" max="11" width="4.75" style="57" customWidth="1"/>
    <col min="12" max="12" width="5" style="57" bestFit="1" customWidth="1"/>
    <col min="13" max="13" width="1.08203125" style="58" customWidth="1"/>
    <col min="14" max="14" width="4.75" style="57" customWidth="1"/>
    <col min="15" max="15" width="4.25" style="57" bestFit="1" customWidth="1"/>
    <col min="16" max="16" width="1.08203125" customWidth="1"/>
    <col min="17" max="17" width="5.25" style="57" customWidth="1"/>
    <col min="18" max="18" width="3.9140625" style="57" customWidth="1"/>
  </cols>
  <sheetData>
    <row r="1" spans="1:18" s="61" customFormat="1" ht="1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</row>
    <row r="2" spans="1:18" s="31" customFormat="1" ht="15" customHeight="1">
      <c r="A2" s="30" t="s">
        <v>59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</row>
    <row r="3" spans="1:18" s="31" customFormat="1" ht="15" customHeight="1">
      <c r="A3" s="30" t="s">
        <v>60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Q3" s="30"/>
      <c r="R3" s="30"/>
    </row>
    <row r="4" spans="1:18" s="31" customFormat="1" ht="15" customHeight="1">
      <c r="A4" s="30" t="s">
        <v>91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Q4" s="30"/>
      <c r="R4" s="30"/>
    </row>
    <row r="5" spans="1:18" s="31" customFormat="1" ht="9.15" customHeight="1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Q5" s="33"/>
      <c r="R5" s="33"/>
    </row>
    <row r="6" spans="1:18" s="34" customFormat="1" ht="12.9" customHeight="1">
      <c r="A6" s="31"/>
      <c r="B6" s="33"/>
      <c r="C6" s="33"/>
      <c r="D6" s="33"/>
      <c r="E6" s="63"/>
      <c r="F6" s="63"/>
      <c r="G6" s="63"/>
      <c r="H6" s="63"/>
      <c r="I6" s="63"/>
      <c r="J6" s="63"/>
      <c r="K6" s="63" t="s">
        <v>80</v>
      </c>
      <c r="L6" s="63"/>
      <c r="M6" s="63"/>
      <c r="N6" s="63"/>
      <c r="O6" s="63"/>
      <c r="P6" s="63"/>
      <c r="Q6" s="63"/>
      <c r="R6" s="63"/>
    </row>
    <row r="7" spans="1:18" s="34" customFormat="1" ht="15" customHeight="1">
      <c r="A7" s="31"/>
      <c r="B7" s="138" t="s">
        <v>63</v>
      </c>
      <c r="C7" s="138"/>
      <c r="D7" s="37"/>
      <c r="E7" s="138" t="s">
        <v>3</v>
      </c>
      <c r="F7" s="138"/>
      <c r="G7" s="33"/>
      <c r="H7" s="138" t="s">
        <v>0</v>
      </c>
      <c r="I7" s="138"/>
      <c r="J7" s="38"/>
      <c r="K7" s="138" t="s">
        <v>2</v>
      </c>
      <c r="L7" s="138"/>
      <c r="M7" s="39"/>
      <c r="N7" s="138" t="s">
        <v>1</v>
      </c>
      <c r="O7" s="138"/>
      <c r="Q7" s="138" t="s">
        <v>4</v>
      </c>
      <c r="R7" s="138"/>
    </row>
    <row r="8" spans="1:18" s="34" customFormat="1" ht="15" customHeight="1">
      <c r="A8" s="31" t="s">
        <v>64</v>
      </c>
      <c r="B8" s="35" t="s">
        <v>49</v>
      </c>
      <c r="C8" s="35" t="s">
        <v>42</v>
      </c>
      <c r="D8" s="37"/>
      <c r="E8" s="35" t="s">
        <v>49</v>
      </c>
      <c r="F8" s="35" t="s">
        <v>42</v>
      </c>
      <c r="G8" s="37"/>
      <c r="H8" s="35" t="s">
        <v>49</v>
      </c>
      <c r="I8" s="35" t="s">
        <v>42</v>
      </c>
      <c r="J8" s="37"/>
      <c r="K8" s="35" t="s">
        <v>49</v>
      </c>
      <c r="L8" s="35" t="s">
        <v>42</v>
      </c>
      <c r="M8" s="37"/>
      <c r="N8" s="35" t="s">
        <v>49</v>
      </c>
      <c r="O8" s="35" t="s">
        <v>42</v>
      </c>
      <c r="Q8" s="35" t="s">
        <v>49</v>
      </c>
      <c r="R8" s="35" t="s">
        <v>42</v>
      </c>
    </row>
    <row r="9" spans="1:18" s="34" customFormat="1" ht="12.9" customHeight="1">
      <c r="A9" s="31" t="s">
        <v>65</v>
      </c>
      <c r="B9" s="35" t="s">
        <v>46</v>
      </c>
      <c r="C9" s="70"/>
      <c r="D9" s="33"/>
      <c r="E9" s="35" t="s">
        <v>46</v>
      </c>
      <c r="F9" s="70"/>
      <c r="G9" s="33"/>
      <c r="H9" s="35" t="s">
        <v>46</v>
      </c>
      <c r="I9" s="70"/>
      <c r="J9" s="33"/>
      <c r="K9" s="35" t="s">
        <v>46</v>
      </c>
      <c r="L9" s="70"/>
      <c r="M9" s="33"/>
      <c r="N9" s="35" t="s">
        <v>46</v>
      </c>
      <c r="O9" s="70"/>
      <c r="Q9" s="35" t="s">
        <v>46</v>
      </c>
      <c r="R9" s="70"/>
    </row>
    <row r="10" spans="1:18" s="31" customFormat="1" ht="9.15" customHeight="1">
      <c r="B10" s="33"/>
      <c r="C10" s="37"/>
      <c r="D10" s="33"/>
      <c r="E10" s="33"/>
      <c r="F10" s="33"/>
      <c r="G10" s="33"/>
      <c r="H10" s="32"/>
      <c r="I10" s="32"/>
      <c r="J10" s="33"/>
      <c r="K10" s="33"/>
      <c r="L10" s="33"/>
      <c r="M10" s="33"/>
      <c r="N10" s="33"/>
      <c r="O10" s="33"/>
      <c r="Q10" s="33"/>
      <c r="R10" s="33"/>
    </row>
    <row r="11" spans="1:18" s="42" customFormat="1" ht="9.15" customHeight="1">
      <c r="A11" s="31"/>
      <c r="B11" s="1"/>
      <c r="C11" s="2"/>
      <c r="D11" s="1"/>
      <c r="E11" s="1"/>
      <c r="F11" s="1"/>
      <c r="G11" s="1"/>
      <c r="H11" s="3"/>
      <c r="I11" s="3"/>
      <c r="J11" s="1"/>
      <c r="K11" s="1"/>
      <c r="L11" s="1"/>
      <c r="M11" s="1"/>
      <c r="N11" s="1"/>
      <c r="O11" s="1"/>
      <c r="Q11" s="1"/>
      <c r="R11" s="1"/>
    </row>
    <row r="12" spans="1:18" s="42" customFormat="1" ht="12.9" customHeight="1">
      <c r="A12" s="31" t="s">
        <v>66</v>
      </c>
      <c r="B12" s="18">
        <v>1719</v>
      </c>
      <c r="C12" s="18">
        <v>557514.98099999991</v>
      </c>
      <c r="D12" s="18"/>
      <c r="E12" s="18">
        <v>1400</v>
      </c>
      <c r="F12" s="18">
        <v>431423.81</v>
      </c>
      <c r="G12" s="18"/>
      <c r="H12" s="18">
        <v>254</v>
      </c>
      <c r="I12" s="18">
        <v>104245.08</v>
      </c>
      <c r="J12" s="18"/>
      <c r="K12" s="18">
        <v>33</v>
      </c>
      <c r="L12" s="18">
        <v>15302.951000000001</v>
      </c>
      <c r="M12" s="18"/>
      <c r="N12" s="18">
        <v>21</v>
      </c>
      <c r="O12" s="18">
        <v>5924.9699999999993</v>
      </c>
      <c r="Q12" s="18">
        <v>11</v>
      </c>
      <c r="R12" s="18">
        <v>618.17000000000007</v>
      </c>
    </row>
    <row r="13" spans="1:18" s="42" customFormat="1" ht="9.15" customHeight="1">
      <c r="A13" s="31"/>
      <c r="B13" s="18"/>
      <c r="C13" s="18"/>
      <c r="D13" s="18"/>
      <c r="E13" s="18"/>
      <c r="F13" s="18"/>
      <c r="G13" s="18"/>
      <c r="H13" s="19"/>
      <c r="I13" s="19"/>
      <c r="J13" s="19"/>
      <c r="K13" s="19"/>
      <c r="L13" s="19"/>
      <c r="M13" s="18"/>
      <c r="N13" s="19"/>
      <c r="O13" s="19"/>
      <c r="Q13" s="19"/>
      <c r="R13" s="19"/>
    </row>
    <row r="14" spans="1:18" s="42" customFormat="1" ht="12.9" customHeight="1">
      <c r="A14" s="31" t="s">
        <v>92</v>
      </c>
      <c r="B14" s="18">
        <v>294</v>
      </c>
      <c r="C14" s="18">
        <v>4924.4309999999996</v>
      </c>
      <c r="D14" s="18"/>
      <c r="E14" s="47">
        <v>259</v>
      </c>
      <c r="F14" s="47">
        <v>4299.95</v>
      </c>
      <c r="G14" s="66"/>
      <c r="H14" s="47">
        <v>27</v>
      </c>
      <c r="I14" s="47">
        <v>509.16</v>
      </c>
      <c r="J14" s="67"/>
      <c r="K14" s="47">
        <v>5</v>
      </c>
      <c r="L14" s="47">
        <v>75.021000000000001</v>
      </c>
      <c r="M14" s="67"/>
      <c r="N14" s="47">
        <v>3</v>
      </c>
      <c r="O14" s="47">
        <v>40.299999999999997</v>
      </c>
      <c r="P14" s="67"/>
      <c r="Q14" s="47" t="s">
        <v>24</v>
      </c>
      <c r="R14" s="47" t="s">
        <v>24</v>
      </c>
    </row>
    <row r="15" spans="1:18" s="42" customFormat="1" ht="9.15" customHeight="1">
      <c r="A15" s="31"/>
      <c r="B15" s="18"/>
      <c r="C15" s="18"/>
      <c r="D15" s="18"/>
      <c r="E15" s="18"/>
      <c r="F15" s="18"/>
      <c r="G15" s="18"/>
      <c r="H15" s="19"/>
      <c r="I15" s="19"/>
      <c r="J15" s="19"/>
      <c r="K15" s="19"/>
      <c r="L15" s="19"/>
      <c r="M15" s="18"/>
      <c r="N15" s="19"/>
      <c r="O15" s="19"/>
      <c r="P15" s="19"/>
    </row>
    <row r="16" spans="1:18" s="42" customFormat="1" ht="12.9" customHeight="1">
      <c r="A16" s="31" t="s">
        <v>93</v>
      </c>
      <c r="B16" s="18">
        <v>322</v>
      </c>
      <c r="C16" s="18">
        <v>16849.43</v>
      </c>
      <c r="D16" s="18"/>
      <c r="E16" s="47">
        <v>286</v>
      </c>
      <c r="F16" s="47">
        <v>14853.39</v>
      </c>
      <c r="G16" s="66"/>
      <c r="H16" s="47">
        <v>25</v>
      </c>
      <c r="I16" s="47">
        <v>1287.0999999999999</v>
      </c>
      <c r="J16" s="67"/>
      <c r="K16" s="47">
        <v>1</v>
      </c>
      <c r="L16" s="47">
        <v>48</v>
      </c>
      <c r="M16" s="67"/>
      <c r="N16" s="47">
        <v>2</v>
      </c>
      <c r="O16" s="47">
        <v>131.22999999999999</v>
      </c>
      <c r="P16" s="67"/>
      <c r="Q16" s="47">
        <v>8</v>
      </c>
      <c r="R16" s="47">
        <v>529.71</v>
      </c>
    </row>
    <row r="17" spans="1:31" s="42" customFormat="1" ht="9.15" customHeight="1">
      <c r="A17" s="31"/>
      <c r="B17" s="18"/>
      <c r="C17" s="18"/>
      <c r="D17" s="18"/>
      <c r="E17" s="18"/>
      <c r="F17" s="18"/>
      <c r="G17" s="18"/>
      <c r="H17" s="19"/>
      <c r="I17" s="19"/>
      <c r="J17" s="19"/>
      <c r="K17" s="19"/>
      <c r="L17" s="19"/>
      <c r="M17" s="18"/>
      <c r="N17" s="19"/>
      <c r="O17" s="19"/>
      <c r="P17" s="19"/>
    </row>
    <row r="18" spans="1:31" s="42" customFormat="1" ht="12.9" customHeight="1">
      <c r="A18" s="31" t="s">
        <v>94</v>
      </c>
      <c r="B18" s="18">
        <v>145</v>
      </c>
      <c r="C18" s="18">
        <v>14146.369999999999</v>
      </c>
      <c r="D18" s="18"/>
      <c r="E18" s="47">
        <v>122</v>
      </c>
      <c r="F18" s="47">
        <v>11901.46</v>
      </c>
      <c r="G18" s="66"/>
      <c r="H18" s="47">
        <v>20</v>
      </c>
      <c r="I18" s="47">
        <v>1947.45</v>
      </c>
      <c r="J18" s="67"/>
      <c r="K18" s="47">
        <v>2</v>
      </c>
      <c r="L18" s="47">
        <v>209</v>
      </c>
      <c r="M18" s="67"/>
      <c r="N18" s="47" t="s">
        <v>24</v>
      </c>
      <c r="O18" s="47" t="s">
        <v>24</v>
      </c>
      <c r="P18" s="67"/>
      <c r="Q18" s="47">
        <v>1</v>
      </c>
      <c r="R18" s="47">
        <v>88.46</v>
      </c>
    </row>
    <row r="19" spans="1:31" s="42" customFormat="1" ht="9.15" customHeight="1">
      <c r="A19" s="31"/>
      <c r="B19" s="18"/>
      <c r="C19" s="18"/>
      <c r="D19" s="18"/>
      <c r="E19" s="18"/>
      <c r="F19" s="18"/>
      <c r="G19" s="18"/>
      <c r="H19" s="19"/>
      <c r="I19" s="19"/>
      <c r="J19" s="19"/>
      <c r="K19" s="19"/>
      <c r="L19" s="19"/>
      <c r="M19" s="18"/>
      <c r="N19" s="19"/>
      <c r="O19" s="19"/>
      <c r="P19" s="19"/>
    </row>
    <row r="20" spans="1:31" s="42" customFormat="1" ht="12.9" customHeight="1">
      <c r="A20" s="31" t="s">
        <v>95</v>
      </c>
      <c r="B20" s="18">
        <v>123</v>
      </c>
      <c r="C20" s="18">
        <v>19134.599999999999</v>
      </c>
      <c r="D20" s="18"/>
      <c r="E20" s="47">
        <v>98</v>
      </c>
      <c r="F20" s="47">
        <v>15288.19</v>
      </c>
      <c r="G20" s="66"/>
      <c r="H20" s="47">
        <v>22</v>
      </c>
      <c r="I20" s="47">
        <v>3356.41</v>
      </c>
      <c r="J20" s="67"/>
      <c r="K20" s="47">
        <v>2</v>
      </c>
      <c r="L20" s="47">
        <v>337</v>
      </c>
      <c r="M20" s="67"/>
      <c r="N20" s="47">
        <v>1</v>
      </c>
      <c r="O20" s="47">
        <v>153</v>
      </c>
      <c r="P20" s="67"/>
      <c r="Q20" s="47" t="s">
        <v>24</v>
      </c>
      <c r="R20" s="47" t="s">
        <v>24</v>
      </c>
    </row>
    <row r="21" spans="1:31" s="42" customFormat="1" ht="9.15" customHeight="1">
      <c r="A21" s="31"/>
      <c r="B21" s="18"/>
      <c r="C21" s="18"/>
      <c r="D21" s="18"/>
      <c r="E21" s="18"/>
      <c r="F21" s="18"/>
      <c r="G21" s="18"/>
      <c r="H21" s="19"/>
      <c r="I21" s="19"/>
      <c r="J21" s="19"/>
      <c r="K21" s="19"/>
      <c r="L21" s="19"/>
      <c r="M21" s="18"/>
      <c r="N21" s="19"/>
      <c r="O21" s="19"/>
      <c r="P21" s="19"/>
    </row>
    <row r="22" spans="1:31" s="42" customFormat="1" ht="12.9" customHeight="1">
      <c r="A22" s="31" t="s">
        <v>96</v>
      </c>
      <c r="B22" s="18">
        <v>168</v>
      </c>
      <c r="C22" s="18">
        <v>52741.440000000002</v>
      </c>
      <c r="D22" s="18"/>
      <c r="E22" s="47">
        <v>126</v>
      </c>
      <c r="F22" s="47">
        <v>39843.370000000003</v>
      </c>
      <c r="G22" s="66"/>
      <c r="H22" s="47">
        <v>32</v>
      </c>
      <c r="I22" s="47">
        <v>9436.99</v>
      </c>
      <c r="J22" s="67"/>
      <c r="K22" s="47">
        <v>5</v>
      </c>
      <c r="L22" s="47">
        <v>1644.08</v>
      </c>
      <c r="M22" s="67"/>
      <c r="N22" s="47">
        <v>5</v>
      </c>
      <c r="O22" s="47">
        <v>1817</v>
      </c>
      <c r="P22" s="67"/>
      <c r="Q22" s="47" t="s">
        <v>24</v>
      </c>
      <c r="R22" s="47" t="s">
        <v>24</v>
      </c>
    </row>
    <row r="23" spans="1:31" s="42" customFormat="1" ht="9.15" customHeight="1">
      <c r="A23" s="31" t="s">
        <v>87</v>
      </c>
      <c r="B23" s="18"/>
      <c r="C23" s="18"/>
      <c r="D23" s="18"/>
      <c r="E23" s="18"/>
      <c r="F23" s="18"/>
      <c r="G23" s="18"/>
      <c r="H23" s="19"/>
      <c r="I23" s="19"/>
      <c r="J23" s="19"/>
      <c r="K23" s="19"/>
      <c r="L23" s="19"/>
      <c r="M23" s="18"/>
      <c r="N23" s="19"/>
      <c r="O23" s="19"/>
      <c r="P23" s="19"/>
    </row>
    <row r="24" spans="1:31" s="42" customFormat="1" ht="12.9" customHeight="1">
      <c r="A24" s="31" t="s">
        <v>97</v>
      </c>
      <c r="B24" s="18">
        <v>63</v>
      </c>
      <c r="C24" s="18">
        <v>42685.24</v>
      </c>
      <c r="D24" s="18"/>
      <c r="E24" s="47">
        <v>40</v>
      </c>
      <c r="F24" s="47">
        <v>27784.25</v>
      </c>
      <c r="G24" s="66"/>
      <c r="H24" s="47">
        <v>15</v>
      </c>
      <c r="I24" s="47">
        <v>10013.200000000001</v>
      </c>
      <c r="J24" s="67"/>
      <c r="K24" s="47">
        <v>7</v>
      </c>
      <c r="L24" s="47">
        <v>4272.8500000000004</v>
      </c>
      <c r="M24" s="67"/>
      <c r="N24" s="47">
        <v>1</v>
      </c>
      <c r="O24" s="47">
        <v>614.94000000000005</v>
      </c>
      <c r="P24" s="67"/>
      <c r="Q24" s="47" t="s">
        <v>24</v>
      </c>
      <c r="R24" s="47" t="s">
        <v>24</v>
      </c>
    </row>
    <row r="25" spans="1:31" s="42" customFormat="1" ht="9.15" customHeight="1">
      <c r="A25" s="31"/>
      <c r="B25" s="18"/>
      <c r="C25" s="18"/>
      <c r="D25" s="18"/>
      <c r="E25" s="18"/>
      <c r="F25" s="18"/>
      <c r="G25" s="18"/>
      <c r="H25" s="19"/>
      <c r="I25" s="19"/>
      <c r="J25" s="19"/>
      <c r="K25" s="19"/>
      <c r="L25" s="19"/>
      <c r="M25" s="18"/>
      <c r="N25" s="19"/>
      <c r="O25" s="19"/>
      <c r="P25" s="19"/>
    </row>
    <row r="26" spans="1:31" s="42" customFormat="1" ht="12.9" customHeight="1">
      <c r="A26" s="31" t="s">
        <v>98</v>
      </c>
      <c r="B26" s="18">
        <v>42</v>
      </c>
      <c r="C26" s="18">
        <v>60320.049999999996</v>
      </c>
      <c r="D26" s="18"/>
      <c r="E26" s="47">
        <v>29</v>
      </c>
      <c r="F26" s="47">
        <v>41353.019999999997</v>
      </c>
      <c r="G26" s="66"/>
      <c r="H26" s="47">
        <v>10</v>
      </c>
      <c r="I26" s="47">
        <v>14893.03</v>
      </c>
      <c r="J26" s="67"/>
      <c r="K26" s="47">
        <v>3</v>
      </c>
      <c r="L26" s="47">
        <v>4074</v>
      </c>
      <c r="M26" s="67"/>
      <c r="N26" s="47" t="s">
        <v>24</v>
      </c>
      <c r="O26" s="47" t="s">
        <v>24</v>
      </c>
      <c r="P26" s="67"/>
      <c r="Q26" s="47" t="s">
        <v>24</v>
      </c>
      <c r="R26" s="47" t="s">
        <v>24</v>
      </c>
    </row>
    <row r="27" spans="1:31" s="42" customFormat="1" ht="9.15" customHeight="1">
      <c r="A27" s="31"/>
      <c r="B27" s="18"/>
      <c r="C27" s="18"/>
      <c r="D27" s="18"/>
      <c r="E27" s="18"/>
      <c r="F27" s="18"/>
      <c r="G27" s="18"/>
      <c r="H27" s="19"/>
      <c r="I27" s="19"/>
      <c r="J27" s="19"/>
      <c r="K27" s="19"/>
      <c r="L27" s="19"/>
      <c r="M27" s="18"/>
      <c r="N27" s="19"/>
      <c r="O27" s="19"/>
      <c r="P27" s="19"/>
    </row>
    <row r="28" spans="1:31" s="42" customFormat="1" ht="12.9" customHeight="1">
      <c r="A28" s="31" t="s">
        <v>99</v>
      </c>
      <c r="B28" s="18">
        <v>71</v>
      </c>
      <c r="C28" s="18">
        <v>346713.42</v>
      </c>
      <c r="D28" s="18"/>
      <c r="E28" s="47">
        <v>54</v>
      </c>
      <c r="F28" s="47">
        <v>276100.18</v>
      </c>
      <c r="G28" s="66"/>
      <c r="H28" s="47">
        <v>14</v>
      </c>
      <c r="I28" s="47">
        <v>62801.74</v>
      </c>
      <c r="J28" s="67"/>
      <c r="K28" s="47">
        <v>2</v>
      </c>
      <c r="L28" s="47">
        <v>4643</v>
      </c>
      <c r="M28" s="67"/>
      <c r="N28" s="47">
        <v>1</v>
      </c>
      <c r="O28" s="47">
        <v>3168.5</v>
      </c>
      <c r="P28" s="67"/>
      <c r="Q28" s="47" t="s">
        <v>24</v>
      </c>
      <c r="R28" s="47" t="s">
        <v>24</v>
      </c>
    </row>
    <row r="29" spans="1:31" s="42" customFormat="1" ht="9.15" customHeight="1">
      <c r="A29" s="31"/>
      <c r="B29" s="18"/>
      <c r="C29" s="18"/>
      <c r="D29" s="18"/>
      <c r="E29" s="18"/>
      <c r="F29" s="18"/>
      <c r="G29" s="18"/>
      <c r="H29" s="19"/>
      <c r="I29" s="19"/>
      <c r="J29" s="19"/>
      <c r="K29" s="19"/>
      <c r="L29" s="19"/>
      <c r="M29" s="18"/>
      <c r="N29" s="19"/>
      <c r="O29" s="19"/>
      <c r="P29" s="19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 spans="1:31" s="42" customFormat="1" ht="12.9" customHeight="1">
      <c r="A30" s="31" t="s">
        <v>4</v>
      </c>
      <c r="B30" s="18">
        <v>491</v>
      </c>
      <c r="C30" s="47" t="s">
        <v>24</v>
      </c>
      <c r="D30" s="18"/>
      <c r="E30" s="47">
        <v>386</v>
      </c>
      <c r="F30" s="47" t="s">
        <v>24</v>
      </c>
      <c r="G30" s="66"/>
      <c r="H30" s="47">
        <v>89</v>
      </c>
      <c r="I30" s="47" t="s">
        <v>24</v>
      </c>
      <c r="J30" s="67"/>
      <c r="K30" s="47">
        <v>6</v>
      </c>
      <c r="L30" s="47" t="s">
        <v>24</v>
      </c>
      <c r="M30" s="67"/>
      <c r="N30" s="47">
        <v>8</v>
      </c>
      <c r="O30" s="47" t="s">
        <v>24</v>
      </c>
      <c r="P30" s="67"/>
      <c r="Q30" s="47">
        <v>2</v>
      </c>
      <c r="R30" s="47" t="s">
        <v>24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</row>
    <row r="31" spans="1:31" s="42" customFormat="1" ht="9.15" customHeight="1">
      <c r="A31" s="31"/>
      <c r="P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 spans="1:31" s="31" customFormat="1" ht="9.15" customHeight="1">
      <c r="B32" s="53"/>
      <c r="C32" s="54"/>
      <c r="D32" s="53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54"/>
      <c r="R32" s="54"/>
    </row>
    <row r="33" spans="1:18" s="31" customFormat="1" ht="12.9" customHeight="1">
      <c r="A33" s="32" t="s">
        <v>100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Q33" s="32"/>
      <c r="R33" s="32"/>
    </row>
    <row r="34" spans="1:18" s="31" customFormat="1" ht="12.9" customHeight="1">
      <c r="A34" s="32" t="s">
        <v>90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Q34" s="32"/>
      <c r="R34" s="32"/>
    </row>
    <row r="35" spans="1:18" s="31" customFormat="1" ht="12.9" customHeight="1">
      <c r="A35" s="32" t="s">
        <v>77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Q35" s="32"/>
      <c r="R35" s="32"/>
    </row>
    <row r="36" spans="1:18" s="31" customFormat="1" ht="12.9" customHeight="1">
      <c r="A36" s="32" t="s">
        <v>78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Q36" s="32"/>
      <c r="R36" s="32"/>
    </row>
    <row r="37" spans="1:18" s="31" customFormat="1" ht="9.1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Q37" s="32"/>
      <c r="R37" s="32"/>
    </row>
  </sheetData>
  <mergeCells count="6">
    <mergeCell ref="Q7:R7"/>
    <mergeCell ref="B7:C7"/>
    <mergeCell ref="E7:F7"/>
    <mergeCell ref="H7:I7"/>
    <mergeCell ref="K7:L7"/>
    <mergeCell ref="N7:O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showGridLines="0" workbookViewId="0"/>
  </sheetViews>
  <sheetFormatPr baseColWidth="10" defaultColWidth="9.75" defaultRowHeight="15"/>
  <cols>
    <col min="1" max="1" width="11.75" customWidth="1"/>
    <col min="2" max="2" width="4.58203125" style="57" bestFit="1" customWidth="1"/>
    <col min="3" max="3" width="5.75" style="57" bestFit="1" customWidth="1"/>
    <col min="4" max="4" width="0.6640625" style="57" customWidth="1"/>
    <col min="5" max="5" width="4.58203125" style="57" bestFit="1" customWidth="1"/>
    <col min="6" max="6" width="5.75" style="57" bestFit="1" customWidth="1"/>
    <col min="7" max="7" width="0.6640625" style="57" customWidth="1"/>
    <col min="8" max="8" width="4.58203125" style="57" bestFit="1" customWidth="1"/>
    <col min="9" max="9" width="5.75" style="57" bestFit="1" customWidth="1"/>
    <col min="10" max="10" width="0.6640625" style="57" customWidth="1"/>
    <col min="11" max="11" width="4.75" style="57" customWidth="1"/>
    <col min="12" max="12" width="5" style="57" bestFit="1" customWidth="1"/>
    <col min="13" max="13" width="0.6640625" style="58" customWidth="1"/>
    <col min="14" max="14" width="4.75" style="57" customWidth="1"/>
    <col min="15" max="15" width="4.25" style="57" bestFit="1" customWidth="1"/>
    <col min="16" max="16" width="0.6640625" customWidth="1"/>
    <col min="17" max="17" width="4.58203125" style="57" customWidth="1"/>
    <col min="18" max="18" width="3.58203125" style="57" bestFit="1" customWidth="1"/>
  </cols>
  <sheetData>
    <row r="1" spans="1:18" s="61" customFormat="1" ht="15" customHeight="1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Q1" s="30"/>
      <c r="R1" s="30"/>
    </row>
    <row r="2" spans="1:18" s="31" customFormat="1" ht="15" customHeight="1">
      <c r="A2" s="30" t="s">
        <v>59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Q2" s="30"/>
      <c r="R2" s="30"/>
    </row>
    <row r="3" spans="1:18" s="31" customFormat="1" ht="15" customHeight="1">
      <c r="A3" s="30" t="s">
        <v>60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Q3" s="30"/>
      <c r="R3" s="30"/>
    </row>
    <row r="4" spans="1:18" s="31" customFormat="1" ht="15" customHeight="1">
      <c r="A4" s="30" t="s">
        <v>101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Q4" s="30"/>
      <c r="R4" s="30"/>
    </row>
    <row r="5" spans="1:18" s="31" customFormat="1" ht="9.15" customHeight="1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Q5" s="33"/>
      <c r="R5" s="33"/>
    </row>
    <row r="6" spans="1:18" s="34" customFormat="1" ht="12.9" customHeight="1">
      <c r="A6" s="31"/>
      <c r="B6" s="33"/>
      <c r="C6" s="33"/>
      <c r="D6" s="33"/>
      <c r="E6" s="63"/>
      <c r="F6" s="63"/>
      <c r="G6" s="63"/>
      <c r="H6" s="63"/>
      <c r="I6" s="63"/>
      <c r="J6" s="63"/>
      <c r="K6" s="63" t="s">
        <v>80</v>
      </c>
      <c r="L6" s="63"/>
      <c r="M6" s="63"/>
      <c r="N6" s="63"/>
      <c r="O6" s="63"/>
      <c r="P6" s="63"/>
      <c r="Q6" s="63"/>
      <c r="R6" s="63"/>
    </row>
    <row r="7" spans="1:18" s="34" customFormat="1" ht="15" customHeight="1">
      <c r="A7" s="31"/>
      <c r="B7" s="138" t="s">
        <v>63</v>
      </c>
      <c r="C7" s="138"/>
      <c r="D7" s="37"/>
      <c r="E7" s="138" t="s">
        <v>3</v>
      </c>
      <c r="F7" s="138"/>
      <c r="G7" s="33"/>
      <c r="H7" s="138" t="s">
        <v>0</v>
      </c>
      <c r="I7" s="138"/>
      <c r="J7" s="38"/>
      <c r="K7" s="138" t="s">
        <v>2</v>
      </c>
      <c r="L7" s="138"/>
      <c r="M7" s="39"/>
      <c r="N7" s="138" t="s">
        <v>1</v>
      </c>
      <c r="O7" s="138"/>
      <c r="Q7" s="138" t="s">
        <v>4</v>
      </c>
      <c r="R7" s="138"/>
    </row>
    <row r="8" spans="1:18" s="34" customFormat="1" ht="15" customHeight="1">
      <c r="A8" s="31" t="s">
        <v>64</v>
      </c>
      <c r="B8" s="35" t="s">
        <v>49</v>
      </c>
      <c r="C8" s="35" t="s">
        <v>42</v>
      </c>
      <c r="D8" s="37"/>
      <c r="E8" s="35" t="s">
        <v>49</v>
      </c>
      <c r="F8" s="35" t="s">
        <v>42</v>
      </c>
      <c r="G8" s="37"/>
      <c r="H8" s="35" t="s">
        <v>49</v>
      </c>
      <c r="I8" s="35" t="s">
        <v>42</v>
      </c>
      <c r="J8" s="37"/>
      <c r="K8" s="35" t="s">
        <v>49</v>
      </c>
      <c r="L8" s="35" t="s">
        <v>42</v>
      </c>
      <c r="M8" s="37"/>
      <c r="N8" s="35" t="s">
        <v>49</v>
      </c>
      <c r="O8" s="35" t="s">
        <v>42</v>
      </c>
      <c r="Q8" s="35" t="s">
        <v>49</v>
      </c>
      <c r="R8" s="35" t="s">
        <v>42</v>
      </c>
    </row>
    <row r="9" spans="1:18" s="34" customFormat="1" ht="12.9" customHeight="1">
      <c r="A9" s="31" t="s">
        <v>65</v>
      </c>
      <c r="B9" s="35" t="s">
        <v>46</v>
      </c>
      <c r="C9" s="70"/>
      <c r="D9" s="33"/>
      <c r="E9" s="35" t="s">
        <v>46</v>
      </c>
      <c r="F9" s="70"/>
      <c r="G9" s="33"/>
      <c r="H9" s="35" t="s">
        <v>46</v>
      </c>
      <c r="I9" s="70"/>
      <c r="J9" s="33"/>
      <c r="K9" s="35" t="s">
        <v>46</v>
      </c>
      <c r="L9" s="70"/>
      <c r="M9" s="33"/>
      <c r="N9" s="35" t="s">
        <v>46</v>
      </c>
      <c r="O9" s="70"/>
      <c r="Q9" s="35" t="s">
        <v>46</v>
      </c>
      <c r="R9" s="70"/>
    </row>
    <row r="10" spans="1:18" s="31" customFormat="1" ht="9.15" customHeight="1">
      <c r="B10" s="33"/>
      <c r="C10" s="37"/>
      <c r="D10" s="33"/>
      <c r="E10" s="33"/>
      <c r="F10" s="33"/>
      <c r="G10" s="33"/>
      <c r="H10" s="32"/>
      <c r="I10" s="32"/>
      <c r="J10" s="33"/>
      <c r="K10" s="33"/>
      <c r="L10" s="33"/>
      <c r="M10" s="33"/>
      <c r="N10" s="33"/>
      <c r="O10" s="33"/>
      <c r="Q10" s="33"/>
      <c r="R10" s="33"/>
    </row>
    <row r="11" spans="1:18" s="42" customFormat="1" ht="9.15" customHeight="1">
      <c r="A11" s="31"/>
      <c r="B11" s="1"/>
      <c r="C11" s="2"/>
      <c r="D11" s="1"/>
      <c r="E11" s="1"/>
      <c r="F11" s="1"/>
      <c r="G11" s="1"/>
      <c r="H11" s="3"/>
      <c r="I11" s="3"/>
      <c r="J11" s="1"/>
      <c r="K11" s="1"/>
      <c r="L11" s="1"/>
      <c r="M11" s="1"/>
      <c r="N11" s="1"/>
      <c r="O11" s="1"/>
      <c r="Q11" s="1"/>
      <c r="R11" s="1"/>
    </row>
    <row r="12" spans="1:18" s="42" customFormat="1" ht="12.9" customHeight="1">
      <c r="A12" s="31" t="s">
        <v>66</v>
      </c>
      <c r="B12" s="18">
        <v>1678</v>
      </c>
      <c r="C12" s="18">
        <v>417680.22</v>
      </c>
      <c r="D12" s="18">
        <v>0</v>
      </c>
      <c r="E12" s="18">
        <v>1353</v>
      </c>
      <c r="F12" s="18">
        <v>260317.08</v>
      </c>
      <c r="G12" s="18">
        <v>0</v>
      </c>
      <c r="H12" s="18">
        <v>260</v>
      </c>
      <c r="I12" s="18">
        <v>119165.7</v>
      </c>
      <c r="J12" s="18">
        <v>0</v>
      </c>
      <c r="K12" s="18">
        <v>35</v>
      </c>
      <c r="L12" s="18">
        <v>31661.55</v>
      </c>
      <c r="M12" s="18">
        <v>0</v>
      </c>
      <c r="N12" s="18">
        <v>25</v>
      </c>
      <c r="O12" s="18">
        <v>6535.89</v>
      </c>
      <c r="Q12" s="18">
        <v>5</v>
      </c>
      <c r="R12" s="47" t="s">
        <v>24</v>
      </c>
    </row>
    <row r="13" spans="1:18" s="42" customFormat="1" ht="9.15" customHeight="1">
      <c r="A13" s="31"/>
      <c r="B13" s="18"/>
      <c r="C13" s="18"/>
      <c r="D13" s="18"/>
      <c r="E13" s="18"/>
      <c r="F13" s="18"/>
      <c r="G13" s="18"/>
      <c r="H13" s="19"/>
      <c r="I13" s="19"/>
      <c r="J13" s="19"/>
      <c r="K13" s="19"/>
      <c r="L13" s="19"/>
      <c r="M13" s="18"/>
      <c r="N13" s="19"/>
      <c r="O13" s="19"/>
      <c r="Q13" s="19"/>
      <c r="R13" s="19"/>
    </row>
    <row r="14" spans="1:18" s="42" customFormat="1" ht="12.9" customHeight="1">
      <c r="A14" s="31" t="s">
        <v>92</v>
      </c>
      <c r="B14" s="18">
        <v>237</v>
      </c>
      <c r="C14" s="18">
        <v>3759.23</v>
      </c>
      <c r="D14" s="18"/>
      <c r="E14" s="47">
        <v>211</v>
      </c>
      <c r="F14" s="47">
        <v>3411.1</v>
      </c>
      <c r="G14" s="66"/>
      <c r="H14" s="47">
        <v>23</v>
      </c>
      <c r="I14" s="47">
        <v>301.61</v>
      </c>
      <c r="J14" s="67"/>
      <c r="K14" s="47">
        <v>3</v>
      </c>
      <c r="L14" s="47">
        <v>46.52</v>
      </c>
      <c r="M14" s="67"/>
      <c r="N14" s="47" t="s">
        <v>24</v>
      </c>
      <c r="O14" s="47" t="s">
        <v>24</v>
      </c>
      <c r="P14" s="67"/>
      <c r="Q14" s="47" t="s">
        <v>24</v>
      </c>
      <c r="R14" s="47" t="s">
        <v>24</v>
      </c>
    </row>
    <row r="15" spans="1:18" s="42" customFormat="1" ht="9.15" customHeight="1">
      <c r="A15" s="31"/>
      <c r="B15" s="18"/>
      <c r="C15" s="18"/>
      <c r="D15" s="18"/>
      <c r="E15" s="66"/>
      <c r="F15" s="66"/>
      <c r="G15" s="66"/>
      <c r="H15" s="67"/>
      <c r="I15" s="67"/>
      <c r="J15" s="67"/>
      <c r="K15" s="67"/>
      <c r="L15" s="67"/>
      <c r="M15" s="67"/>
      <c r="N15" s="67"/>
      <c r="O15" s="67"/>
      <c r="P15" s="67"/>
    </row>
    <row r="16" spans="1:18" s="42" customFormat="1" ht="12.9" customHeight="1">
      <c r="A16" s="31" t="s">
        <v>93</v>
      </c>
      <c r="B16" s="18">
        <v>356</v>
      </c>
      <c r="C16" s="18">
        <v>18616.900000000001</v>
      </c>
      <c r="D16" s="18"/>
      <c r="E16" s="47">
        <v>326</v>
      </c>
      <c r="F16" s="47">
        <v>16922.36</v>
      </c>
      <c r="G16" s="66"/>
      <c r="H16" s="47">
        <v>25</v>
      </c>
      <c r="I16" s="47">
        <v>1430.68</v>
      </c>
      <c r="J16" s="67"/>
      <c r="K16" s="47">
        <v>2</v>
      </c>
      <c r="L16" s="47">
        <v>103</v>
      </c>
      <c r="M16" s="67"/>
      <c r="N16" s="47">
        <v>3</v>
      </c>
      <c r="O16" s="47">
        <v>160.86000000000001</v>
      </c>
      <c r="P16" s="67"/>
      <c r="Q16" s="47" t="s">
        <v>24</v>
      </c>
      <c r="R16" s="47" t="s">
        <v>24</v>
      </c>
    </row>
    <row r="17" spans="1:31" s="42" customFormat="1" ht="9.15" customHeight="1">
      <c r="A17" s="31"/>
      <c r="B17" s="18"/>
      <c r="C17" s="18"/>
      <c r="D17" s="18"/>
      <c r="E17" s="66"/>
      <c r="F17" s="66"/>
      <c r="G17" s="66"/>
      <c r="H17" s="67"/>
      <c r="I17" s="67"/>
      <c r="J17" s="67"/>
      <c r="K17" s="67"/>
      <c r="L17" s="67"/>
      <c r="M17" s="67"/>
      <c r="N17" s="67"/>
      <c r="O17" s="67"/>
      <c r="P17" s="67"/>
    </row>
    <row r="18" spans="1:31" s="42" customFormat="1" ht="12.9" customHeight="1">
      <c r="A18" s="31" t="s">
        <v>94</v>
      </c>
      <c r="B18" s="18">
        <v>124</v>
      </c>
      <c r="C18" s="18">
        <v>11869.97</v>
      </c>
      <c r="D18" s="18"/>
      <c r="E18" s="47">
        <v>105</v>
      </c>
      <c r="F18" s="47">
        <v>10063.18</v>
      </c>
      <c r="G18" s="66"/>
      <c r="H18" s="47">
        <v>14</v>
      </c>
      <c r="I18" s="47">
        <v>1319.62</v>
      </c>
      <c r="J18" s="67"/>
      <c r="K18" s="47">
        <v>2</v>
      </c>
      <c r="L18" s="47">
        <v>207</v>
      </c>
      <c r="M18" s="67"/>
      <c r="N18" s="47">
        <v>3</v>
      </c>
      <c r="O18" s="47">
        <v>280.17</v>
      </c>
      <c r="P18" s="67"/>
      <c r="Q18" s="47" t="s">
        <v>24</v>
      </c>
      <c r="R18" s="47" t="s">
        <v>24</v>
      </c>
    </row>
    <row r="19" spans="1:31" s="42" customFormat="1" ht="9.15" customHeight="1">
      <c r="A19" s="31"/>
      <c r="B19" s="18"/>
      <c r="C19" s="18"/>
      <c r="D19" s="18"/>
      <c r="E19" s="66"/>
      <c r="F19" s="66"/>
      <c r="G19" s="66"/>
      <c r="H19" s="67"/>
      <c r="I19" s="67"/>
      <c r="J19" s="67"/>
      <c r="K19" s="67"/>
      <c r="L19" s="67"/>
      <c r="M19" s="67"/>
      <c r="N19" s="67"/>
      <c r="O19" s="67"/>
      <c r="P19" s="67"/>
    </row>
    <row r="20" spans="1:31" s="42" customFormat="1" ht="12.9" customHeight="1">
      <c r="A20" s="31" t="s">
        <v>95</v>
      </c>
      <c r="B20" s="18">
        <v>145</v>
      </c>
      <c r="C20" s="18">
        <v>22836.329999999998</v>
      </c>
      <c r="D20" s="18"/>
      <c r="E20" s="47">
        <v>101</v>
      </c>
      <c r="F20" s="47">
        <v>15638.24</v>
      </c>
      <c r="G20" s="66"/>
      <c r="H20" s="47">
        <v>38</v>
      </c>
      <c r="I20" s="47">
        <v>6235.2</v>
      </c>
      <c r="J20" s="67"/>
      <c r="K20" s="47">
        <v>3</v>
      </c>
      <c r="L20" s="47">
        <v>483.71</v>
      </c>
      <c r="M20" s="67"/>
      <c r="N20" s="47">
        <v>3</v>
      </c>
      <c r="O20" s="47">
        <v>479.18</v>
      </c>
      <c r="P20" s="67"/>
      <c r="Q20" s="47" t="s">
        <v>24</v>
      </c>
      <c r="R20" s="47" t="s">
        <v>24</v>
      </c>
    </row>
    <row r="21" spans="1:31" s="42" customFormat="1" ht="9.15" customHeight="1">
      <c r="A21" s="31"/>
      <c r="B21" s="18"/>
      <c r="C21" s="18"/>
      <c r="D21" s="18"/>
      <c r="E21" s="66"/>
      <c r="F21" s="66"/>
      <c r="G21" s="66"/>
      <c r="H21" s="67"/>
      <c r="I21" s="67"/>
      <c r="J21" s="67"/>
      <c r="K21" s="67"/>
      <c r="L21" s="67"/>
      <c r="M21" s="67"/>
      <c r="N21" s="67"/>
      <c r="O21" s="67"/>
      <c r="P21" s="67"/>
    </row>
    <row r="22" spans="1:31" s="42" customFormat="1" ht="12.9" customHeight="1">
      <c r="A22" s="31" t="s">
        <v>96</v>
      </c>
      <c r="B22" s="18">
        <v>111</v>
      </c>
      <c r="C22" s="18">
        <v>33690.06</v>
      </c>
      <c r="D22" s="18"/>
      <c r="E22" s="47">
        <v>66</v>
      </c>
      <c r="F22" s="47">
        <v>19747.43</v>
      </c>
      <c r="G22" s="66"/>
      <c r="H22" s="47">
        <v>36</v>
      </c>
      <c r="I22" s="47">
        <v>10969</v>
      </c>
      <c r="J22" s="67"/>
      <c r="K22" s="47">
        <v>5</v>
      </c>
      <c r="L22" s="47">
        <v>1838.25</v>
      </c>
      <c r="M22" s="67"/>
      <c r="N22" s="47">
        <v>4</v>
      </c>
      <c r="O22" s="47">
        <v>1135.3800000000001</v>
      </c>
      <c r="P22" s="67"/>
      <c r="Q22" s="47" t="s">
        <v>24</v>
      </c>
      <c r="R22" s="47" t="s">
        <v>24</v>
      </c>
    </row>
    <row r="23" spans="1:31" s="42" customFormat="1" ht="9.15" customHeight="1">
      <c r="A23" s="31" t="s">
        <v>87</v>
      </c>
      <c r="B23" s="18"/>
      <c r="C23" s="18"/>
      <c r="D23" s="18"/>
      <c r="E23" s="66"/>
      <c r="F23" s="66"/>
      <c r="G23" s="66"/>
      <c r="H23" s="67"/>
      <c r="I23" s="67"/>
      <c r="J23" s="67"/>
      <c r="K23" s="67"/>
      <c r="L23" s="67"/>
      <c r="M23" s="67"/>
      <c r="N23" s="67"/>
      <c r="O23" s="67"/>
      <c r="P23" s="67"/>
    </row>
    <row r="24" spans="1:31" s="42" customFormat="1" ht="12.9" customHeight="1">
      <c r="A24" s="31" t="s">
        <v>97</v>
      </c>
      <c r="B24" s="18">
        <v>49</v>
      </c>
      <c r="C24" s="18">
        <v>33912.47</v>
      </c>
      <c r="D24" s="18"/>
      <c r="E24" s="47">
        <v>25</v>
      </c>
      <c r="F24" s="47">
        <v>17760.43</v>
      </c>
      <c r="G24" s="66"/>
      <c r="H24" s="47">
        <v>17</v>
      </c>
      <c r="I24" s="47">
        <v>10750.67</v>
      </c>
      <c r="J24" s="67"/>
      <c r="K24" s="47">
        <v>4</v>
      </c>
      <c r="L24" s="47">
        <v>3137.07</v>
      </c>
      <c r="M24" s="67"/>
      <c r="N24" s="47">
        <v>3</v>
      </c>
      <c r="O24" s="47">
        <v>2264.3000000000002</v>
      </c>
      <c r="P24" s="67"/>
      <c r="Q24" s="47" t="s">
        <v>24</v>
      </c>
      <c r="R24" s="47" t="s">
        <v>24</v>
      </c>
    </row>
    <row r="25" spans="1:31" s="42" customFormat="1" ht="9.15" customHeight="1">
      <c r="A25" s="31"/>
      <c r="B25" s="18"/>
      <c r="C25" s="18"/>
      <c r="D25" s="18"/>
      <c r="E25" s="66"/>
      <c r="F25" s="66"/>
      <c r="G25" s="66"/>
      <c r="H25" s="67"/>
      <c r="I25" s="67"/>
      <c r="J25" s="67"/>
      <c r="K25" s="67"/>
      <c r="L25" s="67"/>
      <c r="M25" s="67"/>
      <c r="N25" s="67"/>
      <c r="O25" s="67"/>
      <c r="P25" s="67"/>
    </row>
    <row r="26" spans="1:31" s="42" customFormat="1" ht="12.9" customHeight="1">
      <c r="A26" s="31" t="s">
        <v>98</v>
      </c>
      <c r="B26" s="18">
        <v>41</v>
      </c>
      <c r="C26" s="18">
        <v>57818.26</v>
      </c>
      <c r="D26" s="18"/>
      <c r="E26" s="47">
        <v>30</v>
      </c>
      <c r="F26" s="47">
        <v>43888.82</v>
      </c>
      <c r="G26" s="66"/>
      <c r="H26" s="47">
        <v>9</v>
      </c>
      <c r="I26" s="47">
        <v>11713.44</v>
      </c>
      <c r="J26" s="67"/>
      <c r="K26" s="47" t="s">
        <v>24</v>
      </c>
      <c r="L26" s="47" t="s">
        <v>24</v>
      </c>
      <c r="M26" s="67"/>
      <c r="N26" s="47">
        <v>2</v>
      </c>
      <c r="O26" s="47">
        <v>2216</v>
      </c>
      <c r="P26" s="67"/>
      <c r="Q26" s="47" t="s">
        <v>24</v>
      </c>
      <c r="R26" s="47" t="s">
        <v>24</v>
      </c>
    </row>
    <row r="27" spans="1:31" s="42" customFormat="1" ht="9.15" customHeight="1">
      <c r="A27" s="31"/>
      <c r="B27" s="18"/>
      <c r="C27" s="18"/>
      <c r="D27" s="18"/>
      <c r="E27" s="66"/>
      <c r="F27" s="66"/>
      <c r="G27" s="66"/>
      <c r="H27" s="67"/>
      <c r="I27" s="67"/>
      <c r="J27" s="67"/>
      <c r="K27" s="67"/>
      <c r="L27" s="67"/>
      <c r="M27" s="67"/>
      <c r="N27" s="67"/>
      <c r="O27" s="67"/>
      <c r="P27" s="67"/>
    </row>
    <row r="28" spans="1:31" s="42" customFormat="1" ht="12.9" customHeight="1">
      <c r="A28" s="31" t="s">
        <v>99</v>
      </c>
      <c r="B28" s="18">
        <v>48</v>
      </c>
      <c r="C28" s="18">
        <v>235177</v>
      </c>
      <c r="D28" s="18"/>
      <c r="E28" s="47">
        <v>33</v>
      </c>
      <c r="F28" s="47">
        <v>132885.51999999999</v>
      </c>
      <c r="G28" s="66"/>
      <c r="H28" s="47">
        <v>11</v>
      </c>
      <c r="I28" s="47">
        <v>76445.48</v>
      </c>
      <c r="J28" s="66"/>
      <c r="K28" s="47">
        <v>4</v>
      </c>
      <c r="L28" s="47">
        <v>25846</v>
      </c>
      <c r="M28" s="67"/>
      <c r="N28" s="47" t="s">
        <v>24</v>
      </c>
      <c r="O28" s="47" t="s">
        <v>24</v>
      </c>
      <c r="P28" s="67"/>
      <c r="Q28" s="47" t="s">
        <v>24</v>
      </c>
      <c r="R28" s="47" t="s">
        <v>24</v>
      </c>
    </row>
    <row r="29" spans="1:31" s="42" customFormat="1" ht="9.15" customHeight="1">
      <c r="A29" s="31"/>
      <c r="B29" s="18"/>
      <c r="C29" s="18"/>
      <c r="D29" s="18"/>
      <c r="E29" s="66"/>
      <c r="F29" s="66"/>
      <c r="G29" s="66"/>
      <c r="H29" s="67"/>
      <c r="I29" s="67"/>
      <c r="J29" s="66"/>
      <c r="K29" s="67"/>
      <c r="L29" s="67"/>
      <c r="M29" s="66"/>
      <c r="N29" s="67"/>
      <c r="O29" s="67"/>
      <c r="P29" s="67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 spans="1:31" s="42" customFormat="1" ht="12.9" customHeight="1">
      <c r="A30" s="31" t="s">
        <v>4</v>
      </c>
      <c r="B30" s="18">
        <v>567</v>
      </c>
      <c r="C30" s="67" t="s">
        <v>24</v>
      </c>
      <c r="D30" s="18"/>
      <c r="E30" s="47">
        <v>456</v>
      </c>
      <c r="F30" s="47" t="s">
        <v>24</v>
      </c>
      <c r="G30" s="66"/>
      <c r="H30" s="47">
        <v>87</v>
      </c>
      <c r="I30" s="47" t="s">
        <v>24</v>
      </c>
      <c r="J30" s="66"/>
      <c r="K30" s="47">
        <v>12</v>
      </c>
      <c r="L30" s="47" t="s">
        <v>24</v>
      </c>
      <c r="M30" s="67"/>
      <c r="N30" s="47">
        <v>7</v>
      </c>
      <c r="O30" s="47" t="s">
        <v>24</v>
      </c>
      <c r="P30" s="67"/>
      <c r="Q30" s="47">
        <v>5</v>
      </c>
      <c r="R30" s="47" t="s">
        <v>24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</row>
    <row r="31" spans="1:31" s="42" customFormat="1" ht="9.15" customHeight="1">
      <c r="A31" s="31"/>
      <c r="P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 spans="1:31" s="31" customFormat="1" ht="9.15" customHeight="1">
      <c r="B32" s="53"/>
      <c r="C32" s="54"/>
      <c r="D32" s="53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54"/>
      <c r="R32" s="54"/>
    </row>
    <row r="33" spans="1:18" s="31" customFormat="1" ht="12.9" customHeight="1">
      <c r="A33" s="32" t="s">
        <v>100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Q33" s="32"/>
      <c r="R33" s="32"/>
    </row>
    <row r="34" spans="1:18" s="31" customFormat="1" ht="12.9" customHeight="1">
      <c r="A34" s="32" t="s">
        <v>90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Q34" s="32"/>
      <c r="R34" s="32"/>
    </row>
    <row r="35" spans="1:18" s="31" customFormat="1" ht="12.9" customHeight="1">
      <c r="A35" s="32" t="s">
        <v>77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Q35" s="32"/>
      <c r="R35" s="32"/>
    </row>
    <row r="36" spans="1:18" s="31" customFormat="1" ht="12.9" customHeight="1">
      <c r="A36" s="32" t="s">
        <v>78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Q36" s="32"/>
      <c r="R36" s="32"/>
    </row>
    <row r="37" spans="1:18" s="31" customFormat="1" ht="9.1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Q37" s="32"/>
      <c r="R37" s="32"/>
    </row>
  </sheetData>
  <mergeCells count="6">
    <mergeCell ref="Q7:R7"/>
    <mergeCell ref="B7:C7"/>
    <mergeCell ref="E7:F7"/>
    <mergeCell ref="H7:I7"/>
    <mergeCell ref="K7:L7"/>
    <mergeCell ref="N7:O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1"/>
  <sheetViews>
    <sheetView showGridLines="0" workbookViewId="0"/>
  </sheetViews>
  <sheetFormatPr baseColWidth="10" defaultColWidth="9.75" defaultRowHeight="15"/>
  <cols>
    <col min="1" max="1" width="9.58203125" customWidth="1"/>
    <col min="2" max="2" width="4.75" style="57" customWidth="1"/>
    <col min="3" max="3" width="6.75" style="57" customWidth="1"/>
    <col min="4" max="4" width="0.9140625" style="57" customWidth="1"/>
    <col min="5" max="5" width="4.75" style="57" customWidth="1"/>
    <col min="6" max="6" width="6.75" style="57" customWidth="1"/>
    <col min="7" max="7" width="0.75" style="57" customWidth="1"/>
    <col min="8" max="8" width="4.75" style="57" customWidth="1"/>
    <col min="9" max="9" width="6.75" style="57" customWidth="1"/>
    <col min="10" max="10" width="0.9140625" style="57" customWidth="1"/>
    <col min="11" max="11" width="4.75" style="57" customWidth="1"/>
    <col min="12" max="12" width="6.75" style="57" customWidth="1"/>
    <col min="13" max="13" width="0.9140625" style="58" customWidth="1"/>
    <col min="14" max="14" width="4.75" style="57" customWidth="1"/>
    <col min="15" max="15" width="6.08203125" style="57" customWidth="1"/>
  </cols>
  <sheetData>
    <row r="1" spans="1:15" s="72" customFormat="1" ht="15" customHeight="1">
      <c r="A1" s="71" t="s">
        <v>50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s="73" customFormat="1" ht="15" customHeight="1">
      <c r="A2" s="71" t="s">
        <v>102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5" s="73" customFormat="1" ht="15" customHeight="1">
      <c r="A3" s="71" t="s">
        <v>103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5" s="73" customFormat="1" ht="15" customHeight="1">
      <c r="A4" s="71" t="s">
        <v>104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</row>
    <row r="5" spans="1:15" s="73" customFormat="1" ht="4.5" customHeight="1"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</row>
    <row r="6" spans="1:15" s="75" customFormat="1" ht="12.9" customHeight="1">
      <c r="A6" s="73"/>
      <c r="B6" s="145" t="s">
        <v>80</v>
      </c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</row>
    <row r="7" spans="1:15" s="75" customFormat="1" ht="15" customHeight="1">
      <c r="A7" s="73" t="s">
        <v>105</v>
      </c>
      <c r="B7" s="146" t="s">
        <v>63</v>
      </c>
      <c r="C7" s="146"/>
      <c r="D7" s="76"/>
      <c r="E7" s="146" t="s">
        <v>3</v>
      </c>
      <c r="F7" s="146"/>
      <c r="G7" s="74"/>
      <c r="H7" s="146" t="s">
        <v>0</v>
      </c>
      <c r="I7" s="146"/>
      <c r="J7" s="77"/>
      <c r="K7" s="146" t="s">
        <v>2</v>
      </c>
      <c r="L7" s="146"/>
      <c r="M7" s="78"/>
      <c r="N7" s="146" t="s">
        <v>1</v>
      </c>
      <c r="O7" s="146"/>
    </row>
    <row r="8" spans="1:15" s="75" customFormat="1" ht="15" customHeight="1">
      <c r="A8" s="73" t="s">
        <v>64</v>
      </c>
      <c r="B8" s="79" t="s">
        <v>49</v>
      </c>
      <c r="C8" s="79" t="s">
        <v>42</v>
      </c>
      <c r="D8" s="76"/>
      <c r="E8" s="79" t="s">
        <v>49</v>
      </c>
      <c r="F8" s="79" t="s">
        <v>42</v>
      </c>
      <c r="G8" s="76"/>
      <c r="H8" s="79" t="s">
        <v>49</v>
      </c>
      <c r="I8" s="79" t="s">
        <v>42</v>
      </c>
      <c r="J8" s="76"/>
      <c r="K8" s="79" t="s">
        <v>49</v>
      </c>
      <c r="L8" s="79" t="s">
        <v>42</v>
      </c>
      <c r="M8" s="76"/>
      <c r="N8" s="79" t="s">
        <v>49</v>
      </c>
      <c r="O8" s="79" t="s">
        <v>42</v>
      </c>
    </row>
    <row r="9" spans="1:15" s="75" customFormat="1" ht="12.9" customHeight="1">
      <c r="A9" s="73" t="s">
        <v>65</v>
      </c>
      <c r="B9" s="79" t="s">
        <v>46</v>
      </c>
      <c r="C9" s="80"/>
      <c r="D9" s="74"/>
      <c r="E9" s="79" t="s">
        <v>46</v>
      </c>
      <c r="F9" s="80"/>
      <c r="G9" s="74"/>
      <c r="H9" s="79" t="s">
        <v>46</v>
      </c>
      <c r="I9" s="80"/>
      <c r="J9" s="74"/>
      <c r="K9" s="79" t="s">
        <v>46</v>
      </c>
      <c r="L9" s="80"/>
      <c r="M9" s="74"/>
      <c r="N9" s="79" t="s">
        <v>46</v>
      </c>
      <c r="O9" s="80"/>
    </row>
    <row r="10" spans="1:15" s="73" customFormat="1" ht="6" customHeight="1">
      <c r="B10" s="74"/>
      <c r="C10" s="76"/>
      <c r="D10" s="74"/>
      <c r="E10" s="74"/>
      <c r="F10" s="74"/>
      <c r="G10" s="74"/>
      <c r="H10" s="81"/>
      <c r="I10" s="81"/>
      <c r="J10" s="74"/>
      <c r="K10" s="74"/>
      <c r="L10" s="74"/>
      <c r="M10" s="74"/>
      <c r="N10" s="74"/>
      <c r="O10" s="74"/>
    </row>
    <row r="11" spans="1:15" s="42" customFormat="1" ht="9.15" customHeight="1">
      <c r="A11" s="73"/>
      <c r="B11" s="1"/>
      <c r="C11" s="2"/>
      <c r="D11" s="1"/>
      <c r="E11" s="1"/>
      <c r="F11" s="1"/>
      <c r="G11" s="1"/>
      <c r="H11" s="3"/>
      <c r="I11" s="3"/>
      <c r="J11" s="1"/>
      <c r="K11" s="1"/>
      <c r="L11" s="1"/>
      <c r="M11" s="1"/>
      <c r="N11" s="1"/>
      <c r="O11" s="1"/>
    </row>
    <row r="12" spans="1:15" s="42" customFormat="1" ht="12.9" customHeight="1">
      <c r="A12" s="73" t="s">
        <v>106</v>
      </c>
      <c r="B12" s="18"/>
      <c r="C12" s="19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s="42" customFormat="1" ht="9.15" customHeight="1">
      <c r="A13" s="73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s="42" customFormat="1" ht="12.9" customHeight="1">
      <c r="A14" s="73" t="s">
        <v>107</v>
      </c>
      <c r="B14" s="18">
        <v>1311</v>
      </c>
      <c r="C14" s="18">
        <v>215207.6</v>
      </c>
      <c r="D14" s="18">
        <v>0</v>
      </c>
      <c r="E14" s="18">
        <v>1021</v>
      </c>
      <c r="F14" s="18">
        <v>153865.79999999999</v>
      </c>
      <c r="G14" s="18">
        <v>0</v>
      </c>
      <c r="H14" s="18">
        <v>254</v>
      </c>
      <c r="I14" s="18">
        <v>53012.800000000003</v>
      </c>
      <c r="J14" s="18">
        <v>0</v>
      </c>
      <c r="K14" s="18">
        <v>18</v>
      </c>
      <c r="L14" s="18">
        <v>6795</v>
      </c>
      <c r="M14" s="18">
        <v>0</v>
      </c>
      <c r="N14" s="18">
        <v>18</v>
      </c>
      <c r="O14" s="18">
        <v>1534</v>
      </c>
    </row>
    <row r="15" spans="1:15" s="42" customFormat="1" ht="9.15" customHeight="1">
      <c r="A15" s="73"/>
      <c r="B15" s="18"/>
      <c r="C15" s="18"/>
      <c r="D15" s="18"/>
      <c r="E15" s="18"/>
      <c r="F15" s="18"/>
      <c r="G15" s="18"/>
      <c r="H15" s="19"/>
      <c r="I15" s="19"/>
      <c r="J15" s="19"/>
      <c r="K15" s="19"/>
      <c r="L15" s="19"/>
      <c r="M15" s="18"/>
      <c r="N15" s="19"/>
      <c r="O15" s="19"/>
    </row>
    <row r="16" spans="1:15" s="42" customFormat="1" ht="12.9" customHeight="1">
      <c r="A16" s="73" t="s">
        <v>92</v>
      </c>
      <c r="B16" s="18">
        <v>212</v>
      </c>
      <c r="C16" s="18">
        <v>3442.8</v>
      </c>
      <c r="D16" s="18"/>
      <c r="E16" s="66">
        <v>188</v>
      </c>
      <c r="F16" s="66">
        <v>3028.4</v>
      </c>
      <c r="G16" s="66"/>
      <c r="H16" s="67">
        <v>24</v>
      </c>
      <c r="I16" s="67">
        <v>414.4</v>
      </c>
      <c r="J16" s="67"/>
      <c r="K16" s="67" t="s">
        <v>24</v>
      </c>
      <c r="L16" s="67" t="s">
        <v>24</v>
      </c>
      <c r="M16" s="67"/>
      <c r="N16" s="67" t="s">
        <v>24</v>
      </c>
      <c r="O16" s="67" t="s">
        <v>24</v>
      </c>
    </row>
    <row r="17" spans="1:31" s="42" customFormat="1" ht="9.15" customHeight="1">
      <c r="A17" s="73"/>
      <c r="B17" s="18"/>
      <c r="C17" s="18"/>
      <c r="D17" s="18"/>
      <c r="E17" s="66"/>
      <c r="F17" s="66"/>
      <c r="G17" s="66"/>
      <c r="H17" s="67"/>
      <c r="I17" s="67"/>
      <c r="J17" s="67"/>
      <c r="K17" s="67"/>
      <c r="L17" s="67"/>
      <c r="M17" s="67"/>
      <c r="N17" s="67"/>
      <c r="O17" s="67"/>
    </row>
    <row r="18" spans="1:31" s="42" customFormat="1" ht="12.9" customHeight="1">
      <c r="A18" s="73" t="s">
        <v>93</v>
      </c>
      <c r="B18" s="18">
        <v>285</v>
      </c>
      <c r="C18" s="18">
        <v>15187</v>
      </c>
      <c r="D18" s="18"/>
      <c r="E18" s="66">
        <v>245</v>
      </c>
      <c r="F18" s="66">
        <v>13238</v>
      </c>
      <c r="G18" s="66"/>
      <c r="H18" s="67">
        <v>31</v>
      </c>
      <c r="I18" s="67">
        <v>1548</v>
      </c>
      <c r="J18" s="67"/>
      <c r="K18" s="67">
        <v>5</v>
      </c>
      <c r="L18" s="67">
        <v>204</v>
      </c>
      <c r="M18" s="67"/>
      <c r="N18" s="67">
        <v>4</v>
      </c>
      <c r="O18" s="67">
        <v>197</v>
      </c>
    </row>
    <row r="19" spans="1:31" s="42" customFormat="1" ht="9.15" customHeight="1">
      <c r="A19" s="73"/>
      <c r="B19" s="18"/>
      <c r="C19" s="18"/>
      <c r="D19" s="18"/>
      <c r="E19" s="66"/>
      <c r="F19" s="66"/>
      <c r="G19" s="66"/>
      <c r="H19" s="67"/>
      <c r="I19" s="67"/>
      <c r="J19" s="67"/>
      <c r="K19" s="67"/>
      <c r="L19" s="67"/>
      <c r="M19" s="67"/>
      <c r="N19" s="67"/>
      <c r="O19" s="67"/>
    </row>
    <row r="20" spans="1:31" s="42" customFormat="1" ht="12.9" customHeight="1">
      <c r="A20" s="73" t="s">
        <v>94</v>
      </c>
      <c r="B20" s="18">
        <v>92</v>
      </c>
      <c r="C20" s="18">
        <v>8870</v>
      </c>
      <c r="D20" s="18"/>
      <c r="E20" s="66">
        <v>77</v>
      </c>
      <c r="F20" s="66">
        <v>7451</v>
      </c>
      <c r="G20" s="66"/>
      <c r="H20" s="67">
        <v>14</v>
      </c>
      <c r="I20" s="67">
        <v>1325</v>
      </c>
      <c r="J20" s="67"/>
      <c r="K20" s="67" t="s">
        <v>24</v>
      </c>
      <c r="L20" s="67" t="s">
        <v>24</v>
      </c>
      <c r="M20" s="67"/>
      <c r="N20" s="67">
        <v>1</v>
      </c>
      <c r="O20" s="67">
        <v>94</v>
      </c>
    </row>
    <row r="21" spans="1:31" s="42" customFormat="1" ht="9.15" customHeight="1">
      <c r="A21" s="73"/>
      <c r="B21" s="18"/>
      <c r="C21" s="18"/>
      <c r="D21" s="18"/>
      <c r="E21" s="66"/>
      <c r="F21" s="66"/>
      <c r="G21" s="66"/>
      <c r="H21" s="67"/>
      <c r="I21" s="67"/>
      <c r="J21" s="67"/>
      <c r="K21" s="67"/>
      <c r="L21" s="67"/>
      <c r="M21" s="67"/>
      <c r="N21" s="67"/>
      <c r="O21" s="67"/>
    </row>
    <row r="22" spans="1:31" s="42" customFormat="1" ht="12.9" customHeight="1">
      <c r="A22" s="73" t="s">
        <v>95</v>
      </c>
      <c r="B22" s="18">
        <v>127</v>
      </c>
      <c r="C22" s="18">
        <v>19529</v>
      </c>
      <c r="D22" s="18"/>
      <c r="E22" s="66">
        <v>93</v>
      </c>
      <c r="F22" s="66">
        <v>14257</v>
      </c>
      <c r="G22" s="66"/>
      <c r="H22" s="67">
        <v>31</v>
      </c>
      <c r="I22" s="67">
        <v>4753</v>
      </c>
      <c r="J22" s="67"/>
      <c r="K22" s="67">
        <v>1</v>
      </c>
      <c r="L22" s="67">
        <v>199</v>
      </c>
      <c r="M22" s="67"/>
      <c r="N22" s="67">
        <v>2</v>
      </c>
      <c r="O22" s="67">
        <v>320</v>
      </c>
    </row>
    <row r="23" spans="1:31" s="42" customFormat="1" ht="9.15" customHeight="1">
      <c r="A23" s="73"/>
      <c r="B23" s="18"/>
      <c r="C23" s="18"/>
      <c r="D23" s="18"/>
      <c r="E23" s="66"/>
      <c r="F23" s="66"/>
      <c r="G23" s="66"/>
      <c r="H23" s="67"/>
      <c r="I23" s="67"/>
      <c r="J23" s="67"/>
      <c r="K23" s="67"/>
      <c r="L23" s="67"/>
      <c r="M23" s="67"/>
      <c r="N23" s="67"/>
      <c r="O23" s="67"/>
    </row>
    <row r="24" spans="1:31" s="42" customFormat="1" ht="12.9" customHeight="1">
      <c r="A24" s="73" t="s">
        <v>96</v>
      </c>
      <c r="B24" s="18">
        <v>135</v>
      </c>
      <c r="C24" s="18">
        <v>40861</v>
      </c>
      <c r="D24" s="18"/>
      <c r="E24" s="66">
        <v>79</v>
      </c>
      <c r="F24" s="66">
        <v>23317</v>
      </c>
      <c r="G24" s="66"/>
      <c r="H24" s="67">
        <v>50</v>
      </c>
      <c r="I24" s="67">
        <v>15554</v>
      </c>
      <c r="J24" s="67"/>
      <c r="K24" s="67">
        <v>3</v>
      </c>
      <c r="L24" s="67">
        <v>1067</v>
      </c>
      <c r="M24" s="67"/>
      <c r="N24" s="67">
        <v>3</v>
      </c>
      <c r="O24" s="67">
        <v>923</v>
      </c>
    </row>
    <row r="25" spans="1:31" s="42" customFormat="1" ht="9.15" customHeight="1">
      <c r="A25" s="73" t="s">
        <v>87</v>
      </c>
      <c r="B25" s="18"/>
      <c r="C25" s="18"/>
      <c r="D25" s="18"/>
      <c r="E25" s="66"/>
      <c r="F25" s="66"/>
      <c r="G25" s="66"/>
      <c r="H25" s="67"/>
      <c r="I25" s="67"/>
      <c r="J25" s="67"/>
      <c r="K25" s="67"/>
      <c r="L25" s="67"/>
      <c r="M25" s="67"/>
      <c r="N25" s="67"/>
      <c r="O25" s="67"/>
    </row>
    <row r="26" spans="1:31" s="42" customFormat="1" ht="12.9" customHeight="1">
      <c r="A26" s="73" t="s">
        <v>97</v>
      </c>
      <c r="B26" s="18">
        <v>35</v>
      </c>
      <c r="C26" s="18">
        <v>24835</v>
      </c>
      <c r="D26" s="18"/>
      <c r="E26" s="66">
        <v>8</v>
      </c>
      <c r="F26" s="66">
        <v>5511</v>
      </c>
      <c r="G26" s="66"/>
      <c r="H26" s="67">
        <v>22</v>
      </c>
      <c r="I26" s="67">
        <v>15599</v>
      </c>
      <c r="J26" s="67"/>
      <c r="K26" s="67">
        <v>5</v>
      </c>
      <c r="L26" s="67">
        <v>3725</v>
      </c>
      <c r="M26" s="67"/>
      <c r="N26" s="67" t="s">
        <v>24</v>
      </c>
      <c r="O26" s="67" t="s">
        <v>24</v>
      </c>
    </row>
    <row r="27" spans="1:31" s="42" customFormat="1" ht="9.15" customHeight="1">
      <c r="A27" s="73"/>
      <c r="B27" s="18"/>
      <c r="C27" s="18"/>
      <c r="D27" s="18"/>
      <c r="E27" s="66"/>
      <c r="F27" s="66"/>
      <c r="G27" s="66"/>
      <c r="H27" s="67"/>
      <c r="I27" s="67"/>
      <c r="J27" s="67"/>
      <c r="K27" s="67"/>
      <c r="L27" s="67"/>
      <c r="M27" s="67"/>
      <c r="N27" s="67"/>
      <c r="O27" s="67"/>
    </row>
    <row r="28" spans="1:31" s="42" customFormat="1" ht="12.9" customHeight="1">
      <c r="A28" s="73" t="s">
        <v>98</v>
      </c>
      <c r="B28" s="18">
        <v>22</v>
      </c>
      <c r="C28" s="18">
        <v>32994.800000000003</v>
      </c>
      <c r="D28" s="18"/>
      <c r="E28" s="66">
        <v>14</v>
      </c>
      <c r="F28" s="66">
        <v>22163.4</v>
      </c>
      <c r="G28" s="66"/>
      <c r="H28" s="67">
        <v>7</v>
      </c>
      <c r="I28" s="67">
        <v>9231.4</v>
      </c>
      <c r="J28" s="67"/>
      <c r="K28" s="67">
        <v>1</v>
      </c>
      <c r="L28" s="67">
        <v>1600</v>
      </c>
      <c r="M28" s="67"/>
      <c r="N28" s="67" t="s">
        <v>24</v>
      </c>
      <c r="O28" s="67" t="s">
        <v>24</v>
      </c>
    </row>
    <row r="29" spans="1:31" s="42" customFormat="1" ht="9.15" customHeight="1">
      <c r="A29" s="73"/>
      <c r="B29" s="18"/>
      <c r="C29" s="18"/>
      <c r="D29" s="18"/>
      <c r="E29" s="66"/>
      <c r="F29" s="66"/>
      <c r="G29" s="66"/>
      <c r="H29" s="67"/>
      <c r="I29" s="67"/>
      <c r="J29" s="67"/>
      <c r="K29" s="67"/>
      <c r="L29" s="67"/>
      <c r="M29" s="67"/>
      <c r="N29" s="67"/>
      <c r="O29" s="67"/>
    </row>
    <row r="30" spans="1:31" s="42" customFormat="1" ht="12.9" customHeight="1">
      <c r="A30" s="73" t="s">
        <v>99</v>
      </c>
      <c r="B30" s="18">
        <v>20</v>
      </c>
      <c r="C30" s="18">
        <v>69488</v>
      </c>
      <c r="D30" s="18"/>
      <c r="E30" s="66">
        <v>19</v>
      </c>
      <c r="F30" s="66">
        <v>64900</v>
      </c>
      <c r="G30" s="66"/>
      <c r="H30" s="67">
        <v>1</v>
      </c>
      <c r="I30" s="67">
        <v>4588</v>
      </c>
      <c r="J30" s="66"/>
      <c r="K30" s="67" t="s">
        <v>24</v>
      </c>
      <c r="L30" s="67" t="s">
        <v>24</v>
      </c>
      <c r="M30" s="67"/>
      <c r="N30" s="67" t="s">
        <v>24</v>
      </c>
      <c r="O30" s="67" t="s">
        <v>24</v>
      </c>
    </row>
    <row r="31" spans="1:31" s="42" customFormat="1" ht="9.15" customHeight="1">
      <c r="A31" s="73"/>
      <c r="B31" s="18"/>
      <c r="C31" s="18"/>
      <c r="D31" s="18"/>
      <c r="E31" s="66"/>
      <c r="F31" s="66"/>
      <c r="G31" s="66"/>
      <c r="H31" s="67"/>
      <c r="I31" s="67"/>
      <c r="J31" s="66"/>
      <c r="K31" s="67"/>
      <c r="L31" s="67"/>
      <c r="M31" s="66"/>
      <c r="N31" s="67"/>
      <c r="O31" s="67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 spans="1:31" s="42" customFormat="1" ht="12.9" customHeight="1">
      <c r="A32" s="73" t="s">
        <v>4</v>
      </c>
      <c r="B32" s="18">
        <v>383</v>
      </c>
      <c r="C32" s="67" t="s">
        <v>24</v>
      </c>
      <c r="D32" s="18"/>
      <c r="E32" s="66">
        <v>298</v>
      </c>
      <c r="F32" s="67" t="s">
        <v>24</v>
      </c>
      <c r="G32" s="66"/>
      <c r="H32" s="67">
        <v>74</v>
      </c>
      <c r="I32" s="67" t="s">
        <v>24</v>
      </c>
      <c r="J32" s="66"/>
      <c r="K32" s="67">
        <v>3</v>
      </c>
      <c r="L32" s="67" t="s">
        <v>24</v>
      </c>
      <c r="M32" s="67"/>
      <c r="N32" s="67">
        <v>8</v>
      </c>
      <c r="O32" s="67" t="s">
        <v>24</v>
      </c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</row>
    <row r="33" spans="1:31" s="42" customFormat="1" ht="9.15" customHeight="1">
      <c r="A33" s="73"/>
      <c r="B33" s="18"/>
      <c r="C33" s="67"/>
      <c r="D33" s="18"/>
      <c r="E33" s="66"/>
      <c r="F33" s="67"/>
      <c r="G33" s="66"/>
      <c r="H33" s="67"/>
      <c r="I33" s="67"/>
      <c r="J33" s="66"/>
      <c r="K33" s="67"/>
      <c r="L33" s="67"/>
      <c r="M33" s="67"/>
      <c r="N33" s="67"/>
      <c r="O33" s="67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</row>
    <row r="34" spans="1:31" s="42" customFormat="1" ht="12.9" customHeight="1">
      <c r="A34" s="73" t="s">
        <v>108</v>
      </c>
      <c r="B34" s="18"/>
      <c r="C34" s="19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 spans="1:31" s="42" customFormat="1" ht="9.15" customHeight="1">
      <c r="A35" s="73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31" s="42" customFormat="1" ht="12.9" customHeight="1">
      <c r="A36" s="73" t="s">
        <v>107</v>
      </c>
      <c r="B36" s="18">
        <v>1654</v>
      </c>
      <c r="C36" s="18">
        <v>245811.02</v>
      </c>
      <c r="D36" s="18">
        <v>0</v>
      </c>
      <c r="E36" s="18">
        <v>1322</v>
      </c>
      <c r="F36" s="18">
        <v>173707.31</v>
      </c>
      <c r="G36" s="18">
        <v>0</v>
      </c>
      <c r="H36" s="18">
        <v>282</v>
      </c>
      <c r="I36" s="18">
        <v>56181.06</v>
      </c>
      <c r="J36" s="18">
        <v>0</v>
      </c>
      <c r="K36" s="18">
        <v>33</v>
      </c>
      <c r="L36" s="18">
        <v>12968.17</v>
      </c>
      <c r="M36" s="18">
        <v>0</v>
      </c>
      <c r="N36" s="18">
        <v>17</v>
      </c>
      <c r="O36" s="18">
        <v>2954.48</v>
      </c>
    </row>
    <row r="37" spans="1:31" s="42" customFormat="1" ht="9.15" customHeight="1">
      <c r="A37" s="73"/>
      <c r="B37" s="18"/>
      <c r="C37" s="18"/>
      <c r="D37" s="18"/>
      <c r="E37" s="18"/>
      <c r="F37" s="18"/>
      <c r="G37" s="18"/>
      <c r="H37" s="19"/>
      <c r="I37" s="19"/>
      <c r="J37" s="19"/>
      <c r="K37" s="19"/>
      <c r="L37" s="19"/>
      <c r="M37" s="18"/>
      <c r="N37" s="19"/>
      <c r="O37" s="19"/>
    </row>
    <row r="38" spans="1:31" s="42" customFormat="1" ht="12.9" customHeight="1">
      <c r="A38" s="73" t="s">
        <v>92</v>
      </c>
      <c r="B38" s="18">
        <v>286</v>
      </c>
      <c r="C38" s="18">
        <v>4617.7700000000004</v>
      </c>
      <c r="D38" s="18"/>
      <c r="E38" s="66">
        <v>240</v>
      </c>
      <c r="F38" s="66">
        <v>3893.91</v>
      </c>
      <c r="G38" s="66"/>
      <c r="H38" s="67">
        <v>42</v>
      </c>
      <c r="I38" s="67">
        <v>657.09</v>
      </c>
      <c r="J38" s="67"/>
      <c r="K38" s="67">
        <v>4</v>
      </c>
      <c r="L38" s="67">
        <v>66.77</v>
      </c>
      <c r="M38" s="67"/>
      <c r="N38" s="67" t="s">
        <v>24</v>
      </c>
      <c r="O38" s="67" t="s">
        <v>24</v>
      </c>
    </row>
    <row r="39" spans="1:31" s="42" customFormat="1" ht="9.15" customHeight="1">
      <c r="A39" s="73"/>
      <c r="B39" s="18"/>
      <c r="C39" s="18"/>
      <c r="D39" s="18"/>
      <c r="E39" s="66"/>
      <c r="F39" s="66"/>
      <c r="G39" s="66"/>
      <c r="H39" s="67"/>
      <c r="I39" s="67"/>
      <c r="J39" s="67"/>
      <c r="K39" s="67"/>
      <c r="L39" s="67"/>
      <c r="M39" s="67"/>
      <c r="N39" s="67"/>
      <c r="O39" s="67"/>
    </row>
    <row r="40" spans="1:31" s="42" customFormat="1" ht="12.9" customHeight="1">
      <c r="A40" s="73" t="s">
        <v>93</v>
      </c>
      <c r="B40" s="18">
        <v>349</v>
      </c>
      <c r="C40" s="18">
        <v>18301.59</v>
      </c>
      <c r="D40" s="18"/>
      <c r="E40" s="66">
        <v>308</v>
      </c>
      <c r="F40" s="66">
        <v>16223.45</v>
      </c>
      <c r="G40" s="66"/>
      <c r="H40" s="67">
        <v>36</v>
      </c>
      <c r="I40" s="67">
        <v>1876.45</v>
      </c>
      <c r="J40" s="67"/>
      <c r="K40" s="67">
        <v>4</v>
      </c>
      <c r="L40" s="67">
        <v>164.69</v>
      </c>
      <c r="M40" s="67"/>
      <c r="N40" s="67">
        <v>1</v>
      </c>
      <c r="O40" s="67">
        <v>37</v>
      </c>
    </row>
    <row r="41" spans="1:31" s="42" customFormat="1" ht="9.15" customHeight="1">
      <c r="A41" s="73"/>
      <c r="B41" s="18"/>
      <c r="C41" s="18"/>
      <c r="D41" s="18"/>
      <c r="E41" s="66"/>
      <c r="F41" s="66"/>
      <c r="G41" s="66"/>
      <c r="H41" s="67"/>
      <c r="I41" s="67"/>
      <c r="J41" s="67"/>
      <c r="K41" s="67"/>
      <c r="L41" s="67"/>
      <c r="M41" s="67"/>
      <c r="N41" s="67"/>
      <c r="O41" s="67"/>
    </row>
    <row r="42" spans="1:31" s="42" customFormat="1" ht="12.9" customHeight="1">
      <c r="A42" s="73" t="s">
        <v>94</v>
      </c>
      <c r="B42" s="18">
        <v>123</v>
      </c>
      <c r="C42" s="18">
        <v>11936.560000000001</v>
      </c>
      <c r="D42" s="18"/>
      <c r="E42" s="66">
        <v>110</v>
      </c>
      <c r="F42" s="66">
        <v>10685.37</v>
      </c>
      <c r="G42" s="66"/>
      <c r="H42" s="67">
        <v>11</v>
      </c>
      <c r="I42" s="67">
        <v>1068.19</v>
      </c>
      <c r="J42" s="67"/>
      <c r="K42" s="67">
        <v>2</v>
      </c>
      <c r="L42" s="67">
        <v>183</v>
      </c>
      <c r="M42" s="67"/>
      <c r="N42" s="67" t="s">
        <v>24</v>
      </c>
      <c r="O42" s="67" t="s">
        <v>24</v>
      </c>
    </row>
    <row r="43" spans="1:31" s="42" customFormat="1" ht="9.15" customHeight="1">
      <c r="A43" s="73"/>
      <c r="B43" s="18"/>
      <c r="C43" s="18"/>
      <c r="D43" s="18"/>
      <c r="E43" s="66"/>
      <c r="F43" s="66"/>
      <c r="G43" s="66"/>
      <c r="H43" s="67"/>
      <c r="I43" s="67"/>
      <c r="J43" s="67"/>
      <c r="K43" s="67"/>
      <c r="L43" s="67"/>
      <c r="M43" s="67"/>
      <c r="N43" s="67"/>
      <c r="O43" s="67"/>
    </row>
    <row r="44" spans="1:31" s="42" customFormat="1" ht="12.9" customHeight="1">
      <c r="A44" s="73" t="s">
        <v>95</v>
      </c>
      <c r="B44" s="18">
        <v>131</v>
      </c>
      <c r="C44" s="18">
        <v>19883.849999999999</v>
      </c>
      <c r="D44" s="18"/>
      <c r="E44" s="66">
        <v>97</v>
      </c>
      <c r="F44" s="66">
        <v>14703.04</v>
      </c>
      <c r="G44" s="66"/>
      <c r="H44" s="67">
        <v>28</v>
      </c>
      <c r="I44" s="67">
        <v>4335.1000000000004</v>
      </c>
      <c r="J44" s="67"/>
      <c r="K44" s="67">
        <v>3</v>
      </c>
      <c r="L44" s="67">
        <v>440</v>
      </c>
      <c r="M44" s="67"/>
      <c r="N44" s="67">
        <v>3</v>
      </c>
      <c r="O44" s="67">
        <v>405.71</v>
      </c>
    </row>
    <row r="45" spans="1:31" s="42" customFormat="1" ht="9.15" customHeight="1">
      <c r="A45" s="73"/>
      <c r="B45" s="18"/>
      <c r="C45" s="18"/>
      <c r="D45" s="18"/>
      <c r="E45" s="66"/>
      <c r="F45" s="66"/>
      <c r="G45" s="66"/>
      <c r="H45" s="67"/>
      <c r="I45" s="67"/>
      <c r="J45" s="67"/>
      <c r="K45" s="67"/>
      <c r="L45" s="67"/>
      <c r="M45" s="67"/>
      <c r="N45" s="67"/>
      <c r="O45" s="67"/>
    </row>
    <row r="46" spans="1:31" s="42" customFormat="1" ht="12.9" customHeight="1">
      <c r="A46" s="73" t="s">
        <v>96</v>
      </c>
      <c r="B46" s="18">
        <v>156</v>
      </c>
      <c r="C46" s="18">
        <v>46091.590000000004</v>
      </c>
      <c r="D46" s="18"/>
      <c r="E46" s="66">
        <v>98</v>
      </c>
      <c r="F46" s="66">
        <v>27916.9</v>
      </c>
      <c r="G46" s="66"/>
      <c r="H46" s="67">
        <v>47</v>
      </c>
      <c r="I46" s="67">
        <v>14829.7</v>
      </c>
      <c r="J46" s="67"/>
      <c r="K46" s="67">
        <v>6</v>
      </c>
      <c r="L46" s="67">
        <v>1829.22</v>
      </c>
      <c r="M46" s="67"/>
      <c r="N46" s="67">
        <v>5</v>
      </c>
      <c r="O46" s="67">
        <v>1515.77</v>
      </c>
    </row>
    <row r="47" spans="1:31" s="42" customFormat="1" ht="9.15" customHeight="1">
      <c r="A47" s="73" t="s">
        <v>87</v>
      </c>
      <c r="B47" s="18"/>
      <c r="C47" s="18"/>
      <c r="D47" s="18"/>
      <c r="E47" s="66"/>
      <c r="F47" s="66"/>
      <c r="G47" s="66"/>
      <c r="H47" s="67"/>
      <c r="I47" s="67"/>
      <c r="J47" s="67"/>
      <c r="K47" s="67"/>
      <c r="L47" s="67"/>
      <c r="M47" s="67"/>
      <c r="N47" s="67"/>
      <c r="O47" s="67"/>
    </row>
    <row r="48" spans="1:31" s="42" customFormat="1" ht="12.9" customHeight="1">
      <c r="A48" s="73" t="s">
        <v>97</v>
      </c>
      <c r="B48" s="18">
        <v>45</v>
      </c>
      <c r="C48" s="18">
        <v>30826.479999999996</v>
      </c>
      <c r="D48" s="18"/>
      <c r="E48" s="66">
        <v>15</v>
      </c>
      <c r="F48" s="66">
        <v>10198.530000000001</v>
      </c>
      <c r="G48" s="66"/>
      <c r="H48" s="67">
        <v>24</v>
      </c>
      <c r="I48" s="67">
        <v>16396.46</v>
      </c>
      <c r="J48" s="67"/>
      <c r="K48" s="67">
        <v>5</v>
      </c>
      <c r="L48" s="67">
        <v>3235.49</v>
      </c>
      <c r="M48" s="67"/>
      <c r="N48" s="67">
        <v>1</v>
      </c>
      <c r="O48" s="67">
        <v>996</v>
      </c>
    </row>
    <row r="49" spans="1:31" s="42" customFormat="1" ht="9.15" customHeight="1">
      <c r="A49" s="73"/>
      <c r="B49" s="18"/>
      <c r="C49" s="18"/>
      <c r="D49" s="18"/>
      <c r="E49" s="66"/>
      <c r="F49" s="66"/>
      <c r="G49" s="66"/>
      <c r="H49" s="67"/>
      <c r="I49" s="67"/>
      <c r="J49" s="67"/>
      <c r="K49" s="67"/>
      <c r="L49" s="67"/>
      <c r="M49" s="67"/>
      <c r="N49" s="67"/>
      <c r="O49" s="67"/>
    </row>
    <row r="50" spans="1:31" s="42" customFormat="1" ht="12.9" customHeight="1">
      <c r="A50" s="73" t="s">
        <v>98</v>
      </c>
      <c r="B50" s="18">
        <v>16</v>
      </c>
      <c r="C50" s="18">
        <v>22267.22</v>
      </c>
      <c r="D50" s="18"/>
      <c r="E50" s="66">
        <v>12</v>
      </c>
      <c r="F50" s="66">
        <v>17908.22</v>
      </c>
      <c r="G50" s="66"/>
      <c r="H50" s="67">
        <v>4</v>
      </c>
      <c r="I50" s="67">
        <v>4359</v>
      </c>
      <c r="J50" s="67"/>
      <c r="K50" s="67" t="s">
        <v>24</v>
      </c>
      <c r="L50" s="67" t="s">
        <v>24</v>
      </c>
      <c r="M50" s="67"/>
      <c r="N50" s="67" t="s">
        <v>24</v>
      </c>
      <c r="O50" s="67" t="s">
        <v>24</v>
      </c>
    </row>
    <row r="51" spans="1:31" s="42" customFormat="1" ht="9.15" customHeight="1">
      <c r="A51" s="73"/>
      <c r="B51" s="18"/>
      <c r="C51" s="18"/>
      <c r="D51" s="18"/>
      <c r="E51" s="66"/>
      <c r="F51" s="66"/>
      <c r="G51" s="66"/>
      <c r="H51" s="67"/>
      <c r="I51" s="67"/>
      <c r="J51" s="67"/>
      <c r="K51" s="67"/>
      <c r="L51" s="67"/>
      <c r="M51" s="67"/>
      <c r="N51" s="67"/>
      <c r="O51" s="67"/>
    </row>
    <row r="52" spans="1:31" s="42" customFormat="1" ht="12.9" customHeight="1">
      <c r="A52" s="73" t="s">
        <v>99</v>
      </c>
      <c r="B52" s="18">
        <v>26</v>
      </c>
      <c r="C52" s="18">
        <v>91885.959999999992</v>
      </c>
      <c r="D52" s="18"/>
      <c r="E52" s="66">
        <v>20</v>
      </c>
      <c r="F52" s="66">
        <v>72177.89</v>
      </c>
      <c r="G52" s="66"/>
      <c r="H52" s="67">
        <v>4</v>
      </c>
      <c r="I52" s="67">
        <v>12659.07</v>
      </c>
      <c r="J52" s="66"/>
      <c r="K52" s="67">
        <v>2</v>
      </c>
      <c r="L52" s="67">
        <v>7049</v>
      </c>
      <c r="M52" s="67"/>
      <c r="N52" s="67" t="s">
        <v>24</v>
      </c>
      <c r="O52" s="67" t="s">
        <v>24</v>
      </c>
    </row>
    <row r="53" spans="1:31" s="42" customFormat="1" ht="9.15" customHeight="1">
      <c r="A53" s="73"/>
      <c r="B53" s="18"/>
      <c r="C53" s="18"/>
      <c r="D53" s="18"/>
      <c r="E53" s="66"/>
      <c r="F53" s="66"/>
      <c r="G53" s="66"/>
      <c r="H53" s="67"/>
      <c r="I53" s="67"/>
      <c r="J53" s="66"/>
      <c r="K53" s="67"/>
      <c r="L53" s="67"/>
      <c r="M53" s="66"/>
      <c r="N53" s="67"/>
      <c r="O53" s="67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</row>
    <row r="54" spans="1:31" s="42" customFormat="1" ht="12.9" customHeight="1">
      <c r="A54" s="73" t="s">
        <v>4</v>
      </c>
      <c r="B54" s="18">
        <v>522</v>
      </c>
      <c r="C54" s="67" t="s">
        <v>24</v>
      </c>
      <c r="D54" s="18"/>
      <c r="E54" s="66">
        <v>422</v>
      </c>
      <c r="F54" s="67" t="s">
        <v>24</v>
      </c>
      <c r="G54" s="66"/>
      <c r="H54" s="67">
        <v>86</v>
      </c>
      <c r="I54" s="67" t="s">
        <v>24</v>
      </c>
      <c r="J54" s="66"/>
      <c r="K54" s="67">
        <v>7</v>
      </c>
      <c r="L54" s="67" t="s">
        <v>24</v>
      </c>
      <c r="M54" s="67"/>
      <c r="N54" s="67">
        <v>7</v>
      </c>
      <c r="O54" s="67" t="s">
        <v>24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</row>
    <row r="55" spans="1:31" s="42" customFormat="1" ht="9.15" customHeight="1">
      <c r="A55" s="73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</row>
    <row r="56" spans="1:31" s="73" customFormat="1" ht="9.15" customHeight="1">
      <c r="B56" s="82"/>
      <c r="C56" s="83"/>
      <c r="D56" s="82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</row>
    <row r="57" spans="1:31" s="73" customFormat="1" ht="12.9" customHeight="1">
      <c r="A57" s="81" t="s">
        <v>100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</row>
    <row r="58" spans="1:31" s="73" customFormat="1" ht="12.9" customHeight="1">
      <c r="A58" s="81" t="s">
        <v>90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</row>
    <row r="59" spans="1:31" s="73" customFormat="1" ht="12.9" customHeight="1">
      <c r="A59" s="81" t="s">
        <v>77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</row>
    <row r="60" spans="1:31" s="73" customFormat="1" ht="12.9" customHeight="1">
      <c r="A60" s="81" t="s">
        <v>78</v>
      </c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</row>
    <row r="61" spans="1:31" s="73" customFormat="1" ht="9.15" customHeight="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</row>
  </sheetData>
  <mergeCells count="6">
    <mergeCell ref="B6:O6"/>
    <mergeCell ref="B7:C7"/>
    <mergeCell ref="E7:F7"/>
    <mergeCell ref="H7:I7"/>
    <mergeCell ref="K7:L7"/>
    <mergeCell ref="N7:O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9"/>
  <sheetViews>
    <sheetView showGridLines="0" workbookViewId="0"/>
  </sheetViews>
  <sheetFormatPr baseColWidth="10" defaultColWidth="9.75" defaultRowHeight="15"/>
  <cols>
    <col min="1" max="1" width="13" customWidth="1"/>
    <col min="2" max="2" width="6" style="57" customWidth="1"/>
    <col min="3" max="3" width="6.4140625" style="57" customWidth="1"/>
    <col min="4" max="4" width="0.9140625" style="57" customWidth="1"/>
    <col min="5" max="5" width="4.75" style="57" customWidth="1"/>
    <col min="6" max="6" width="5.6640625" style="57" customWidth="1"/>
    <col min="7" max="7" width="0.75" style="57" customWidth="1"/>
    <col min="8" max="8" width="4.9140625" style="57" customWidth="1"/>
    <col min="9" max="9" width="5.4140625" style="57" customWidth="1"/>
    <col min="10" max="10" width="0.9140625" style="57" customWidth="1"/>
    <col min="11" max="11" width="4" style="57" customWidth="1"/>
    <col min="12" max="12" width="5.33203125" style="57" customWidth="1"/>
    <col min="13" max="13" width="0.9140625" style="58" customWidth="1"/>
    <col min="14" max="14" width="4.58203125" style="57" customWidth="1"/>
    <col min="15" max="15" width="4.75" style="57" customWidth="1"/>
    <col min="16" max="16" width="0.75" style="57" customWidth="1"/>
    <col min="17" max="17" width="4.33203125" customWidth="1"/>
    <col min="18" max="18" width="6" customWidth="1"/>
  </cols>
  <sheetData>
    <row r="1" spans="1:18" s="72" customFormat="1" ht="15" customHeight="1">
      <c r="A1" s="71" t="s">
        <v>50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8" s="73" customFormat="1" ht="15" customHeight="1">
      <c r="A2" s="71" t="s">
        <v>102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8" s="73" customFormat="1" ht="15" customHeight="1">
      <c r="A3" s="71" t="s">
        <v>103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18" s="73" customFormat="1" ht="15" customHeight="1">
      <c r="A4" s="71" t="s">
        <v>104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18" s="73" customFormat="1" ht="4.5" customHeight="1"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1:18" s="75" customFormat="1" ht="12.9" customHeight="1">
      <c r="A6" s="73"/>
      <c r="B6" s="145" t="s">
        <v>80</v>
      </c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</row>
    <row r="7" spans="1:18" s="75" customFormat="1" ht="15" customHeight="1">
      <c r="A7" s="73" t="s">
        <v>105</v>
      </c>
      <c r="B7" s="146" t="s">
        <v>63</v>
      </c>
      <c r="C7" s="146"/>
      <c r="D7" s="76"/>
      <c r="E7" s="146" t="s">
        <v>109</v>
      </c>
      <c r="F7" s="146"/>
      <c r="G7" s="74"/>
      <c r="H7" s="146" t="s">
        <v>0</v>
      </c>
      <c r="I7" s="146"/>
      <c r="J7" s="77"/>
      <c r="K7" s="146" t="s">
        <v>2</v>
      </c>
      <c r="L7" s="146"/>
      <c r="M7" s="78"/>
      <c r="N7" s="146" t="s">
        <v>1</v>
      </c>
      <c r="O7" s="146"/>
      <c r="P7" s="78"/>
      <c r="Q7" s="146" t="s">
        <v>4</v>
      </c>
      <c r="R7" s="146"/>
    </row>
    <row r="8" spans="1:18" s="75" customFormat="1" ht="15" customHeight="1">
      <c r="A8" s="73" t="s">
        <v>64</v>
      </c>
      <c r="B8" s="79" t="s">
        <v>49</v>
      </c>
      <c r="C8" s="79" t="s">
        <v>42</v>
      </c>
      <c r="D8" s="76"/>
      <c r="E8" s="79" t="s">
        <v>49</v>
      </c>
      <c r="F8" s="79" t="s">
        <v>42</v>
      </c>
      <c r="G8" s="76"/>
      <c r="H8" s="79" t="s">
        <v>49</v>
      </c>
      <c r="I8" s="79" t="s">
        <v>42</v>
      </c>
      <c r="J8" s="76"/>
      <c r="K8" s="79" t="s">
        <v>49</v>
      </c>
      <c r="L8" s="79" t="s">
        <v>42</v>
      </c>
      <c r="M8" s="76"/>
      <c r="N8" s="79" t="s">
        <v>49</v>
      </c>
      <c r="O8" s="79" t="s">
        <v>42</v>
      </c>
      <c r="P8" s="76"/>
      <c r="Q8" s="79" t="s">
        <v>49</v>
      </c>
      <c r="R8" s="79" t="s">
        <v>42</v>
      </c>
    </row>
    <row r="9" spans="1:18" s="75" customFormat="1" ht="12.9" customHeight="1">
      <c r="A9" s="73" t="s">
        <v>65</v>
      </c>
      <c r="B9" s="79" t="s">
        <v>46</v>
      </c>
      <c r="C9" s="80"/>
      <c r="D9" s="74"/>
      <c r="E9" s="79" t="s">
        <v>46</v>
      </c>
      <c r="F9" s="80"/>
      <c r="G9" s="74"/>
      <c r="H9" s="79" t="s">
        <v>46</v>
      </c>
      <c r="I9" s="80"/>
      <c r="J9" s="74"/>
      <c r="K9" s="79" t="s">
        <v>46</v>
      </c>
      <c r="L9" s="80"/>
      <c r="M9" s="74"/>
      <c r="N9" s="79" t="s">
        <v>46</v>
      </c>
      <c r="O9" s="80"/>
      <c r="P9" s="74"/>
      <c r="Q9" s="84" t="s">
        <v>46</v>
      </c>
      <c r="R9" s="80"/>
    </row>
    <row r="10" spans="1:18" s="73" customFormat="1" ht="6" customHeight="1">
      <c r="B10" s="74"/>
      <c r="C10" s="76"/>
      <c r="D10" s="74"/>
      <c r="E10" s="74"/>
      <c r="F10" s="74"/>
      <c r="G10" s="74"/>
      <c r="H10" s="81"/>
      <c r="I10" s="81"/>
      <c r="J10" s="74"/>
      <c r="K10" s="74"/>
      <c r="L10" s="74"/>
      <c r="M10" s="74"/>
      <c r="N10" s="74"/>
      <c r="O10" s="74"/>
      <c r="P10" s="74"/>
    </row>
    <row r="11" spans="1:18" s="42" customFormat="1" ht="9.15" customHeight="1">
      <c r="A11" s="73"/>
      <c r="B11" s="1"/>
      <c r="C11" s="2"/>
      <c r="D11" s="1"/>
      <c r="E11" s="1"/>
      <c r="F11" s="1"/>
      <c r="G11" s="1"/>
      <c r="H11" s="3"/>
      <c r="I11" s="3"/>
      <c r="J11" s="1"/>
      <c r="K11" s="1"/>
      <c r="L11" s="1"/>
      <c r="M11" s="1"/>
      <c r="N11" s="1"/>
      <c r="O11" s="1"/>
      <c r="P11" s="1"/>
      <c r="Q11" s="25"/>
      <c r="R11" s="25"/>
    </row>
    <row r="12" spans="1:18" s="42" customFormat="1" ht="12.9" customHeight="1">
      <c r="A12" s="73" t="s">
        <v>110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s="42" customFormat="1" ht="9.15" customHeight="1">
      <c r="A13" s="73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s="42" customFormat="1" ht="12.9" customHeight="1">
      <c r="A14" s="73" t="s">
        <v>107</v>
      </c>
      <c r="B14" s="18">
        <v>1088</v>
      </c>
      <c r="C14" s="18">
        <v>107394</v>
      </c>
      <c r="D14" s="18">
        <v>0</v>
      </c>
      <c r="E14" s="18">
        <v>826</v>
      </c>
      <c r="F14" s="18">
        <v>64052</v>
      </c>
      <c r="G14" s="18">
        <v>0</v>
      </c>
      <c r="H14" s="18">
        <v>198</v>
      </c>
      <c r="I14" s="18">
        <v>33900</v>
      </c>
      <c r="J14" s="18">
        <v>0</v>
      </c>
      <c r="K14" s="18">
        <v>16</v>
      </c>
      <c r="L14" s="18">
        <v>7667</v>
      </c>
      <c r="M14" s="18">
        <v>0</v>
      </c>
      <c r="N14" s="18">
        <v>14</v>
      </c>
      <c r="O14" s="18">
        <v>1775</v>
      </c>
      <c r="P14" s="18">
        <v>0</v>
      </c>
      <c r="Q14" s="18">
        <v>34</v>
      </c>
      <c r="R14" s="67" t="s">
        <v>24</v>
      </c>
    </row>
    <row r="15" spans="1:18" s="42" customFormat="1" ht="9.15" customHeight="1">
      <c r="A15" s="73"/>
      <c r="B15" s="18"/>
      <c r="C15" s="18"/>
      <c r="D15" s="18"/>
      <c r="E15" s="18"/>
      <c r="F15" s="18"/>
      <c r="G15" s="18"/>
      <c r="H15" s="19"/>
      <c r="I15" s="19"/>
      <c r="J15" s="19"/>
      <c r="K15" s="19"/>
      <c r="L15" s="19"/>
      <c r="M15" s="18"/>
      <c r="N15" s="19"/>
      <c r="O15" s="19"/>
      <c r="P15" s="18"/>
      <c r="Q15" s="18"/>
      <c r="R15" s="18"/>
    </row>
    <row r="16" spans="1:18" s="42" customFormat="1" ht="12.9" customHeight="1">
      <c r="A16" s="73" t="s">
        <v>92</v>
      </c>
      <c r="B16" s="18">
        <v>133</v>
      </c>
      <c r="C16" s="18">
        <v>2265</v>
      </c>
      <c r="D16" s="18"/>
      <c r="E16" s="66">
        <v>113</v>
      </c>
      <c r="F16" s="66">
        <v>1992</v>
      </c>
      <c r="G16" s="66"/>
      <c r="H16" s="67">
        <v>17</v>
      </c>
      <c r="I16" s="67">
        <v>212</v>
      </c>
      <c r="J16" s="67"/>
      <c r="K16" s="67">
        <v>2</v>
      </c>
      <c r="L16" s="67">
        <v>33</v>
      </c>
      <c r="M16" s="67"/>
      <c r="N16" s="67">
        <v>1</v>
      </c>
      <c r="O16" s="67">
        <v>28</v>
      </c>
      <c r="P16" s="67"/>
      <c r="Q16" s="67" t="s">
        <v>24</v>
      </c>
      <c r="R16" s="67" t="s">
        <v>24</v>
      </c>
    </row>
    <row r="17" spans="1:35" s="42" customFormat="1" ht="9.15" customHeight="1">
      <c r="A17" s="73"/>
      <c r="B17" s="18"/>
      <c r="C17" s="18"/>
      <c r="D17" s="18"/>
      <c r="E17" s="66"/>
      <c r="F17" s="66"/>
      <c r="G17" s="66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</row>
    <row r="18" spans="1:35" s="42" customFormat="1" ht="12.9" customHeight="1">
      <c r="A18" s="73" t="s">
        <v>93</v>
      </c>
      <c r="B18" s="18">
        <v>193</v>
      </c>
      <c r="C18" s="18">
        <v>10251</v>
      </c>
      <c r="D18" s="18"/>
      <c r="E18" s="66">
        <v>167</v>
      </c>
      <c r="F18" s="66">
        <v>8917</v>
      </c>
      <c r="G18" s="66"/>
      <c r="H18" s="67">
        <v>21</v>
      </c>
      <c r="I18" s="67">
        <v>1051</v>
      </c>
      <c r="J18" s="67"/>
      <c r="K18" s="67">
        <v>3</v>
      </c>
      <c r="L18" s="67">
        <v>178</v>
      </c>
      <c r="M18" s="67"/>
      <c r="N18" s="67">
        <v>2</v>
      </c>
      <c r="O18" s="67">
        <v>105</v>
      </c>
      <c r="P18" s="67"/>
      <c r="Q18" s="67" t="s">
        <v>24</v>
      </c>
      <c r="R18" s="67" t="s">
        <v>24</v>
      </c>
    </row>
    <row r="19" spans="1:35" s="42" customFormat="1" ht="9.15" customHeight="1">
      <c r="A19" s="73"/>
      <c r="B19" s="18"/>
      <c r="C19" s="18"/>
      <c r="D19" s="18"/>
      <c r="E19" s="66"/>
      <c r="F19" s="66"/>
      <c r="G19" s="66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</row>
    <row r="20" spans="1:35" s="42" customFormat="1" ht="12.9" customHeight="1">
      <c r="A20" s="73" t="s">
        <v>94</v>
      </c>
      <c r="B20" s="18">
        <v>79</v>
      </c>
      <c r="C20" s="18">
        <v>7763</v>
      </c>
      <c r="D20" s="18"/>
      <c r="E20" s="66">
        <v>64</v>
      </c>
      <c r="F20" s="66">
        <v>6264</v>
      </c>
      <c r="G20" s="66"/>
      <c r="H20" s="67">
        <v>14</v>
      </c>
      <c r="I20" s="67">
        <v>1399</v>
      </c>
      <c r="J20" s="67"/>
      <c r="K20" s="67">
        <v>1</v>
      </c>
      <c r="L20" s="67">
        <v>100</v>
      </c>
      <c r="M20" s="67"/>
      <c r="N20" s="67" t="s">
        <v>24</v>
      </c>
      <c r="O20" s="67" t="s">
        <v>24</v>
      </c>
      <c r="P20" s="67"/>
      <c r="Q20" s="67" t="s">
        <v>24</v>
      </c>
      <c r="R20" s="67" t="s">
        <v>24</v>
      </c>
    </row>
    <row r="21" spans="1:35" s="42" customFormat="1" ht="9.15" customHeight="1">
      <c r="A21" s="73"/>
      <c r="B21" s="18"/>
      <c r="C21" s="18"/>
      <c r="D21" s="18"/>
      <c r="E21" s="66"/>
      <c r="F21" s="66"/>
      <c r="G21" s="66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</row>
    <row r="22" spans="1:35" s="42" customFormat="1" ht="12.9" customHeight="1">
      <c r="A22" s="73" t="s">
        <v>95</v>
      </c>
      <c r="B22" s="18">
        <v>57</v>
      </c>
      <c r="C22" s="18">
        <v>9211</v>
      </c>
      <c r="D22" s="18"/>
      <c r="E22" s="66">
        <v>46</v>
      </c>
      <c r="F22" s="66">
        <v>7314</v>
      </c>
      <c r="G22" s="66"/>
      <c r="H22" s="67">
        <v>9</v>
      </c>
      <c r="I22" s="67">
        <v>1545</v>
      </c>
      <c r="J22" s="67"/>
      <c r="K22" s="67">
        <v>2</v>
      </c>
      <c r="L22" s="67">
        <v>352</v>
      </c>
      <c r="M22" s="67"/>
      <c r="N22" s="67" t="s">
        <v>24</v>
      </c>
      <c r="O22" s="67" t="s">
        <v>24</v>
      </c>
      <c r="P22" s="67"/>
      <c r="Q22" s="67" t="s">
        <v>24</v>
      </c>
      <c r="R22" s="67" t="s">
        <v>24</v>
      </c>
    </row>
    <row r="23" spans="1:35" s="42" customFormat="1" ht="9.15" customHeight="1">
      <c r="A23" s="73"/>
      <c r="B23" s="18"/>
      <c r="C23" s="18"/>
      <c r="D23" s="18"/>
      <c r="E23" s="66"/>
      <c r="F23" s="66"/>
      <c r="G23" s="66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</row>
    <row r="24" spans="1:35" s="42" customFormat="1" ht="12.9" customHeight="1">
      <c r="A24" s="73" t="s">
        <v>96</v>
      </c>
      <c r="B24" s="18">
        <v>90</v>
      </c>
      <c r="C24" s="18">
        <v>28375</v>
      </c>
      <c r="D24" s="18"/>
      <c r="E24" s="66">
        <v>59</v>
      </c>
      <c r="F24" s="66">
        <v>18320</v>
      </c>
      <c r="G24" s="66"/>
      <c r="H24" s="67">
        <v>26</v>
      </c>
      <c r="I24" s="67">
        <v>7960</v>
      </c>
      <c r="J24" s="67"/>
      <c r="K24" s="67">
        <v>1</v>
      </c>
      <c r="L24" s="67">
        <v>453</v>
      </c>
      <c r="M24" s="67"/>
      <c r="N24" s="67">
        <v>4</v>
      </c>
      <c r="O24" s="67">
        <v>1642</v>
      </c>
      <c r="P24" s="67"/>
      <c r="Q24" s="67" t="s">
        <v>24</v>
      </c>
      <c r="R24" s="67" t="s">
        <v>24</v>
      </c>
    </row>
    <row r="25" spans="1:35" s="42" customFormat="1" ht="9.15" customHeight="1">
      <c r="A25" s="73" t="s">
        <v>87</v>
      </c>
      <c r="B25" s="18"/>
      <c r="C25" s="18"/>
      <c r="D25" s="18"/>
      <c r="E25" s="66"/>
      <c r="F25" s="66"/>
      <c r="G25" s="66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</row>
    <row r="26" spans="1:35" s="42" customFormat="1" ht="12.9" customHeight="1">
      <c r="A26" s="73" t="s">
        <v>97</v>
      </c>
      <c r="B26" s="18">
        <v>20</v>
      </c>
      <c r="C26" s="18">
        <v>13350</v>
      </c>
      <c r="D26" s="18"/>
      <c r="E26" s="66">
        <v>11</v>
      </c>
      <c r="F26" s="66">
        <v>7622</v>
      </c>
      <c r="G26" s="66"/>
      <c r="H26" s="67">
        <v>7</v>
      </c>
      <c r="I26" s="67">
        <v>4550</v>
      </c>
      <c r="J26" s="67"/>
      <c r="K26" s="67">
        <v>2</v>
      </c>
      <c r="L26" s="67">
        <v>1178</v>
      </c>
      <c r="M26" s="67"/>
      <c r="N26" s="67" t="s">
        <v>24</v>
      </c>
      <c r="O26" s="67" t="s">
        <v>24</v>
      </c>
      <c r="P26" s="67"/>
      <c r="Q26" s="67" t="s">
        <v>24</v>
      </c>
      <c r="R26" s="67" t="s">
        <v>24</v>
      </c>
    </row>
    <row r="27" spans="1:35" s="42" customFormat="1" ht="9.15" customHeight="1">
      <c r="A27" s="73"/>
      <c r="B27" s="18"/>
      <c r="C27" s="18"/>
      <c r="D27" s="18"/>
      <c r="E27" s="66"/>
      <c r="F27" s="66"/>
      <c r="G27" s="66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35" s="42" customFormat="1" ht="12.9" customHeight="1">
      <c r="A28" s="73" t="s">
        <v>98</v>
      </c>
      <c r="B28" s="18">
        <v>10</v>
      </c>
      <c r="C28" s="18">
        <v>14793</v>
      </c>
      <c r="D28" s="18"/>
      <c r="E28" s="66">
        <v>5</v>
      </c>
      <c r="F28" s="66">
        <v>7779</v>
      </c>
      <c r="G28" s="66"/>
      <c r="H28" s="67">
        <v>5</v>
      </c>
      <c r="I28" s="67">
        <v>7014</v>
      </c>
      <c r="J28" s="67"/>
      <c r="K28" s="67" t="s">
        <v>24</v>
      </c>
      <c r="L28" s="67" t="s">
        <v>24</v>
      </c>
      <c r="M28" s="67"/>
      <c r="N28" s="67" t="s">
        <v>24</v>
      </c>
      <c r="O28" s="67" t="s">
        <v>24</v>
      </c>
      <c r="P28" s="67"/>
      <c r="Q28" s="67" t="s">
        <v>24</v>
      </c>
      <c r="R28" s="67" t="s">
        <v>24</v>
      </c>
    </row>
    <row r="29" spans="1:35" s="42" customFormat="1" ht="9.15" customHeight="1">
      <c r="A29" s="73"/>
      <c r="B29" s="18"/>
      <c r="C29" s="18"/>
      <c r="D29" s="18"/>
      <c r="E29" s="66"/>
      <c r="F29" s="66"/>
      <c r="G29" s="66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35" s="42" customFormat="1" ht="12.9" customHeight="1">
      <c r="A30" s="73" t="s">
        <v>99</v>
      </c>
      <c r="B30" s="18">
        <v>8</v>
      </c>
      <c r="C30" s="18">
        <v>21386</v>
      </c>
      <c r="D30" s="18"/>
      <c r="E30" s="66">
        <v>2</v>
      </c>
      <c r="F30" s="66">
        <v>5844</v>
      </c>
      <c r="G30" s="66"/>
      <c r="H30" s="67">
        <v>4</v>
      </c>
      <c r="I30" s="67">
        <v>10169</v>
      </c>
      <c r="J30" s="66"/>
      <c r="K30" s="67">
        <v>2</v>
      </c>
      <c r="L30" s="67">
        <v>5373</v>
      </c>
      <c r="M30" s="67"/>
      <c r="N30" s="67" t="s">
        <v>24</v>
      </c>
      <c r="O30" s="67" t="s">
        <v>24</v>
      </c>
      <c r="P30" s="67"/>
      <c r="Q30" s="67" t="s">
        <v>24</v>
      </c>
      <c r="R30" s="67" t="s">
        <v>24</v>
      </c>
    </row>
    <row r="31" spans="1:35" s="42" customFormat="1" ht="9.15" customHeight="1">
      <c r="A31" s="73"/>
      <c r="B31" s="18"/>
      <c r="C31" s="18"/>
      <c r="D31" s="18"/>
      <c r="E31" s="66"/>
      <c r="F31" s="66"/>
      <c r="G31" s="66"/>
      <c r="H31" s="67"/>
      <c r="I31" s="67"/>
      <c r="J31" s="66"/>
      <c r="K31" s="67"/>
      <c r="L31" s="67"/>
      <c r="M31" s="66"/>
      <c r="N31" s="67"/>
      <c r="O31" s="67"/>
      <c r="P31" s="67"/>
      <c r="Q31" s="67"/>
      <c r="R31" s="67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</row>
    <row r="32" spans="1:35" s="42" customFormat="1" ht="12.9" customHeight="1">
      <c r="A32" s="73" t="s">
        <v>4</v>
      </c>
      <c r="B32" s="18">
        <v>498</v>
      </c>
      <c r="C32" s="67" t="s">
        <v>24</v>
      </c>
      <c r="D32" s="18"/>
      <c r="E32" s="66">
        <v>359</v>
      </c>
      <c r="F32" s="67" t="s">
        <v>24</v>
      </c>
      <c r="G32" s="66"/>
      <c r="H32" s="67">
        <v>95</v>
      </c>
      <c r="I32" s="67" t="s">
        <v>24</v>
      </c>
      <c r="J32" s="66"/>
      <c r="K32" s="67">
        <v>3</v>
      </c>
      <c r="L32" s="67" t="s">
        <v>24</v>
      </c>
      <c r="M32" s="67"/>
      <c r="N32" s="67">
        <v>7</v>
      </c>
      <c r="O32" s="67" t="s">
        <v>24</v>
      </c>
      <c r="P32" s="67"/>
      <c r="Q32" s="67">
        <v>34</v>
      </c>
      <c r="R32" s="67" t="s">
        <v>24</v>
      </c>
      <c r="S32" s="85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</row>
    <row r="33" spans="1:35" s="42" customFormat="1" ht="9.15" customHeight="1">
      <c r="A33" s="73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</row>
    <row r="34" spans="1:35" s="42" customFormat="1" ht="12.9" customHeight="1">
      <c r="A34" s="73" t="s">
        <v>111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35" s="42" customFormat="1" ht="9.15" customHeight="1">
      <c r="A35" s="73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</row>
    <row r="36" spans="1:35" s="42" customFormat="1" ht="12.9" customHeight="1">
      <c r="A36" s="73" t="s">
        <v>107</v>
      </c>
      <c r="B36" s="18">
        <v>1002</v>
      </c>
      <c r="C36" s="18">
        <v>248354.7</v>
      </c>
      <c r="D36" s="18">
        <v>0</v>
      </c>
      <c r="E36" s="18">
        <v>789</v>
      </c>
      <c r="F36" s="18">
        <v>146198.23000000001</v>
      </c>
      <c r="G36" s="18">
        <v>0</v>
      </c>
      <c r="H36" s="18">
        <v>185</v>
      </c>
      <c r="I36" s="18">
        <v>87174.760000000009</v>
      </c>
      <c r="J36" s="18">
        <v>0</v>
      </c>
      <c r="K36" s="18">
        <v>22</v>
      </c>
      <c r="L36" s="18">
        <v>13280.22</v>
      </c>
      <c r="M36" s="18">
        <v>0</v>
      </c>
      <c r="N36" s="18">
        <v>6</v>
      </c>
      <c r="O36" s="18">
        <v>1701.49</v>
      </c>
      <c r="P36" s="18">
        <v>0</v>
      </c>
      <c r="Q36" s="67" t="s">
        <v>24</v>
      </c>
      <c r="R36" s="67" t="s">
        <v>24</v>
      </c>
    </row>
    <row r="37" spans="1:35" s="42" customFormat="1" ht="9.15" customHeight="1">
      <c r="A37" s="73"/>
      <c r="B37" s="18"/>
      <c r="C37" s="18"/>
      <c r="D37" s="18"/>
      <c r="E37" s="18"/>
      <c r="F37" s="18"/>
      <c r="G37" s="18"/>
      <c r="H37" s="19"/>
      <c r="I37" s="19"/>
      <c r="J37" s="19"/>
      <c r="K37" s="19"/>
      <c r="L37" s="19"/>
      <c r="M37" s="18"/>
      <c r="N37" s="19"/>
      <c r="O37" s="19"/>
      <c r="P37" s="18"/>
      <c r="Q37" s="18"/>
      <c r="R37" s="18"/>
    </row>
    <row r="38" spans="1:35" s="42" customFormat="1" ht="12.9" customHeight="1">
      <c r="A38" s="73" t="s">
        <v>92</v>
      </c>
      <c r="B38" s="18">
        <v>135</v>
      </c>
      <c r="C38" s="18">
        <v>2077.91</v>
      </c>
      <c r="D38" s="18"/>
      <c r="E38" s="66">
        <v>113</v>
      </c>
      <c r="F38" s="66">
        <v>1733.12</v>
      </c>
      <c r="G38" s="66"/>
      <c r="H38" s="67">
        <v>22</v>
      </c>
      <c r="I38" s="67">
        <v>344.79</v>
      </c>
      <c r="J38" s="67"/>
      <c r="K38" s="67" t="s">
        <v>24</v>
      </c>
      <c r="L38" s="67" t="s">
        <v>24</v>
      </c>
      <c r="M38" s="67"/>
      <c r="N38" s="67" t="s">
        <v>24</v>
      </c>
      <c r="O38" s="67" t="s">
        <v>24</v>
      </c>
      <c r="P38" s="67"/>
      <c r="Q38" s="19" t="s">
        <v>24</v>
      </c>
      <c r="R38" s="67" t="s">
        <v>24</v>
      </c>
    </row>
    <row r="39" spans="1:35" s="42" customFormat="1" ht="9.15" customHeight="1">
      <c r="A39" s="73"/>
      <c r="B39" s="18"/>
      <c r="C39" s="18"/>
      <c r="D39" s="18"/>
      <c r="E39" s="66"/>
      <c r="F39" s="66"/>
      <c r="G39" s="66"/>
      <c r="H39" s="67"/>
      <c r="I39" s="67"/>
      <c r="J39" s="67"/>
      <c r="K39" s="67"/>
      <c r="L39" s="67"/>
      <c r="M39" s="67"/>
      <c r="N39" s="67"/>
      <c r="O39" s="67"/>
      <c r="P39" s="67"/>
      <c r="Q39" s="19"/>
      <c r="R39" s="67"/>
    </row>
    <row r="40" spans="1:35" s="42" customFormat="1" ht="12.9" customHeight="1">
      <c r="A40" s="73" t="s">
        <v>93</v>
      </c>
      <c r="B40" s="18">
        <v>242</v>
      </c>
      <c r="C40" s="18">
        <v>12585.37</v>
      </c>
      <c r="D40" s="18"/>
      <c r="E40" s="66">
        <v>213</v>
      </c>
      <c r="F40" s="66">
        <v>11166.18</v>
      </c>
      <c r="G40" s="66"/>
      <c r="H40" s="67">
        <v>26</v>
      </c>
      <c r="I40" s="67">
        <v>1245.6600000000001</v>
      </c>
      <c r="J40" s="67"/>
      <c r="K40" s="67">
        <v>2</v>
      </c>
      <c r="L40" s="67">
        <v>112</v>
      </c>
      <c r="M40" s="67"/>
      <c r="N40" s="67">
        <v>1</v>
      </c>
      <c r="O40" s="67">
        <v>61.53</v>
      </c>
      <c r="P40" s="67"/>
      <c r="Q40" s="19" t="s">
        <v>24</v>
      </c>
      <c r="R40" s="67" t="s">
        <v>24</v>
      </c>
    </row>
    <row r="41" spans="1:35" s="42" customFormat="1" ht="9.15" customHeight="1">
      <c r="A41" s="73"/>
      <c r="B41" s="18"/>
      <c r="C41" s="18"/>
      <c r="D41" s="18"/>
      <c r="E41" s="66"/>
      <c r="F41" s="66"/>
      <c r="G41" s="66"/>
      <c r="H41" s="67"/>
      <c r="I41" s="67"/>
      <c r="J41" s="67"/>
      <c r="K41" s="67"/>
      <c r="L41" s="67"/>
      <c r="M41" s="67"/>
      <c r="N41" s="67"/>
      <c r="O41" s="67"/>
      <c r="P41" s="67"/>
      <c r="Q41" s="19"/>
      <c r="R41" s="67"/>
    </row>
    <row r="42" spans="1:35" s="42" customFormat="1" ht="12.9" customHeight="1">
      <c r="A42" s="73" t="s">
        <v>94</v>
      </c>
      <c r="B42" s="18">
        <v>91</v>
      </c>
      <c r="C42" s="18">
        <v>8966.3100000000013</v>
      </c>
      <c r="D42" s="18"/>
      <c r="E42" s="66">
        <v>69</v>
      </c>
      <c r="F42" s="66">
        <v>6855.35</v>
      </c>
      <c r="G42" s="66"/>
      <c r="H42" s="67">
        <v>20</v>
      </c>
      <c r="I42" s="67">
        <v>1923.52</v>
      </c>
      <c r="J42" s="67"/>
      <c r="K42" s="67">
        <v>2</v>
      </c>
      <c r="L42" s="67">
        <v>187.44</v>
      </c>
      <c r="M42" s="67"/>
      <c r="N42" s="67" t="s">
        <v>24</v>
      </c>
      <c r="O42" s="67" t="s">
        <v>24</v>
      </c>
      <c r="P42" s="67"/>
      <c r="Q42" s="19" t="s">
        <v>24</v>
      </c>
      <c r="R42" s="67" t="s">
        <v>24</v>
      </c>
    </row>
    <row r="43" spans="1:35" s="42" customFormat="1" ht="9.15" customHeight="1">
      <c r="A43" s="73"/>
      <c r="B43" s="18"/>
      <c r="C43" s="18"/>
      <c r="D43" s="18"/>
      <c r="E43" s="66"/>
      <c r="F43" s="66"/>
      <c r="G43" s="66"/>
      <c r="H43" s="67"/>
      <c r="I43" s="67"/>
      <c r="J43" s="67"/>
      <c r="K43" s="67"/>
      <c r="L43" s="67"/>
      <c r="M43" s="67"/>
      <c r="N43" s="67"/>
      <c r="O43" s="67"/>
      <c r="P43" s="67"/>
      <c r="Q43" s="19"/>
      <c r="R43" s="67"/>
    </row>
    <row r="44" spans="1:35" s="42" customFormat="1" ht="12.9" customHeight="1">
      <c r="A44" s="73" t="s">
        <v>95</v>
      </c>
      <c r="B44" s="18">
        <v>90</v>
      </c>
      <c r="C44" s="18">
        <v>13712.95</v>
      </c>
      <c r="D44" s="18"/>
      <c r="E44" s="66">
        <v>70</v>
      </c>
      <c r="F44" s="66">
        <v>10636.62</v>
      </c>
      <c r="G44" s="66"/>
      <c r="H44" s="67">
        <v>17</v>
      </c>
      <c r="I44" s="67">
        <v>2602.33</v>
      </c>
      <c r="J44" s="67"/>
      <c r="K44" s="67">
        <v>2</v>
      </c>
      <c r="L44" s="67">
        <v>351</v>
      </c>
      <c r="M44" s="67"/>
      <c r="N44" s="67">
        <v>1</v>
      </c>
      <c r="O44" s="67">
        <v>123</v>
      </c>
      <c r="P44" s="67"/>
      <c r="Q44" s="19" t="s">
        <v>24</v>
      </c>
      <c r="R44" s="67" t="s">
        <v>24</v>
      </c>
    </row>
    <row r="45" spans="1:35" s="42" customFormat="1" ht="9.15" customHeight="1">
      <c r="A45" s="73"/>
      <c r="B45" s="18"/>
      <c r="C45" s="18"/>
      <c r="D45" s="18"/>
      <c r="E45" s="66"/>
      <c r="F45" s="66"/>
      <c r="G45" s="66"/>
      <c r="H45" s="67"/>
      <c r="I45" s="67"/>
      <c r="J45" s="67"/>
      <c r="K45" s="67"/>
      <c r="L45" s="67"/>
      <c r="M45" s="67"/>
      <c r="N45" s="67"/>
      <c r="O45" s="67"/>
      <c r="P45" s="67"/>
      <c r="Q45" s="19"/>
      <c r="R45" s="67"/>
    </row>
    <row r="46" spans="1:35" s="42" customFormat="1" ht="12.9" customHeight="1">
      <c r="A46" s="73" t="s">
        <v>96</v>
      </c>
      <c r="B46" s="18">
        <v>102</v>
      </c>
      <c r="C46" s="18">
        <v>33320.539999999994</v>
      </c>
      <c r="D46" s="18"/>
      <c r="E46" s="66">
        <v>64</v>
      </c>
      <c r="F46" s="66">
        <v>20524.189999999999</v>
      </c>
      <c r="G46" s="66"/>
      <c r="H46" s="67">
        <v>31</v>
      </c>
      <c r="I46" s="67">
        <v>10330.15</v>
      </c>
      <c r="J46" s="67"/>
      <c r="K46" s="67">
        <v>7</v>
      </c>
      <c r="L46" s="67">
        <v>2466.1999999999998</v>
      </c>
      <c r="M46" s="67"/>
      <c r="N46" s="67" t="s">
        <v>24</v>
      </c>
      <c r="O46" s="67" t="s">
        <v>24</v>
      </c>
      <c r="P46" s="67"/>
      <c r="Q46" s="19" t="s">
        <v>24</v>
      </c>
      <c r="R46" s="67" t="s">
        <v>24</v>
      </c>
    </row>
    <row r="47" spans="1:35" s="42" customFormat="1" ht="9.15" customHeight="1">
      <c r="A47" s="73" t="s">
        <v>87</v>
      </c>
      <c r="B47" s="18"/>
      <c r="C47" s="18"/>
      <c r="D47" s="18"/>
      <c r="E47" s="66"/>
      <c r="F47" s="66"/>
      <c r="G47" s="66"/>
      <c r="H47" s="67"/>
      <c r="I47" s="67"/>
      <c r="J47" s="67"/>
      <c r="K47" s="67"/>
      <c r="L47" s="67"/>
      <c r="M47" s="67"/>
      <c r="N47" s="67"/>
      <c r="O47" s="67"/>
      <c r="P47" s="67"/>
      <c r="Q47" s="19"/>
      <c r="R47" s="67"/>
    </row>
    <row r="48" spans="1:35" s="42" customFormat="1" ht="12.9" customHeight="1">
      <c r="A48" s="73" t="s">
        <v>97</v>
      </c>
      <c r="B48" s="18">
        <v>29</v>
      </c>
      <c r="C48" s="18">
        <v>19196.03</v>
      </c>
      <c r="D48" s="18"/>
      <c r="E48" s="66">
        <v>11</v>
      </c>
      <c r="F48" s="66">
        <v>6880.8</v>
      </c>
      <c r="G48" s="66"/>
      <c r="H48" s="67">
        <v>13</v>
      </c>
      <c r="I48" s="67">
        <v>8874.69</v>
      </c>
      <c r="J48" s="67"/>
      <c r="K48" s="67">
        <v>3</v>
      </c>
      <c r="L48" s="67">
        <v>1923.58</v>
      </c>
      <c r="M48" s="67"/>
      <c r="N48" s="67">
        <v>2</v>
      </c>
      <c r="O48" s="67">
        <v>1516.96</v>
      </c>
      <c r="P48" s="67"/>
      <c r="Q48" s="19" t="s">
        <v>24</v>
      </c>
      <c r="R48" s="67" t="s">
        <v>24</v>
      </c>
    </row>
    <row r="49" spans="1:35" s="42" customFormat="1" ht="9.15" customHeight="1">
      <c r="A49" s="73"/>
      <c r="B49" s="18"/>
      <c r="C49" s="18"/>
      <c r="D49" s="18"/>
      <c r="E49" s="66"/>
      <c r="F49" s="66"/>
      <c r="G49" s="66"/>
      <c r="H49" s="67"/>
      <c r="I49" s="67"/>
      <c r="J49" s="67"/>
      <c r="K49" s="67"/>
      <c r="L49" s="67"/>
      <c r="M49" s="67"/>
      <c r="N49" s="67"/>
      <c r="O49" s="67"/>
      <c r="P49" s="67"/>
      <c r="Q49" s="19"/>
      <c r="R49" s="67"/>
    </row>
    <row r="50" spans="1:35" s="42" customFormat="1" ht="12.9" customHeight="1">
      <c r="A50" s="73" t="s">
        <v>98</v>
      </c>
      <c r="B50" s="18">
        <v>14</v>
      </c>
      <c r="C50" s="18">
        <v>18543.32</v>
      </c>
      <c r="D50" s="18"/>
      <c r="E50" s="66">
        <v>8</v>
      </c>
      <c r="F50" s="66">
        <v>10974</v>
      </c>
      <c r="G50" s="66"/>
      <c r="H50" s="67">
        <v>4</v>
      </c>
      <c r="I50" s="67">
        <v>5005.32</v>
      </c>
      <c r="J50" s="67"/>
      <c r="K50" s="67">
        <v>2</v>
      </c>
      <c r="L50" s="67">
        <v>2564</v>
      </c>
      <c r="M50" s="67"/>
      <c r="N50" s="67" t="s">
        <v>24</v>
      </c>
      <c r="O50" s="67" t="s">
        <v>24</v>
      </c>
      <c r="P50" s="67"/>
      <c r="Q50" s="19" t="s">
        <v>24</v>
      </c>
      <c r="R50" s="67" t="s">
        <v>24</v>
      </c>
    </row>
    <row r="51" spans="1:35" s="42" customFormat="1" ht="9.15" customHeight="1">
      <c r="A51" s="73"/>
      <c r="B51" s="18"/>
      <c r="C51" s="18"/>
      <c r="D51" s="18"/>
      <c r="E51" s="66"/>
      <c r="F51" s="66"/>
      <c r="G51" s="66"/>
      <c r="H51" s="67"/>
      <c r="I51" s="67"/>
      <c r="J51" s="67"/>
      <c r="K51" s="67"/>
      <c r="L51" s="67"/>
      <c r="M51" s="67"/>
      <c r="N51" s="67"/>
      <c r="O51" s="67"/>
      <c r="P51" s="67"/>
      <c r="Q51" s="19"/>
      <c r="R51" s="67"/>
    </row>
    <row r="52" spans="1:35" s="42" customFormat="1" ht="12.9" customHeight="1">
      <c r="A52" s="73" t="s">
        <v>99</v>
      </c>
      <c r="B52" s="18">
        <v>28</v>
      </c>
      <c r="C52" s="18">
        <v>139952.27000000002</v>
      </c>
      <c r="D52" s="18"/>
      <c r="E52" s="66">
        <v>23</v>
      </c>
      <c r="F52" s="66">
        <v>77427.97</v>
      </c>
      <c r="G52" s="66"/>
      <c r="H52" s="67">
        <v>4</v>
      </c>
      <c r="I52" s="67">
        <v>56848.3</v>
      </c>
      <c r="J52" s="66"/>
      <c r="K52" s="67">
        <v>1</v>
      </c>
      <c r="L52" s="67">
        <v>5676</v>
      </c>
      <c r="M52" s="67"/>
      <c r="N52" s="67" t="s">
        <v>24</v>
      </c>
      <c r="O52" s="67" t="s">
        <v>24</v>
      </c>
      <c r="P52" s="67"/>
      <c r="Q52" s="19" t="s">
        <v>24</v>
      </c>
      <c r="R52" s="67" t="s">
        <v>24</v>
      </c>
    </row>
    <row r="53" spans="1:35" s="42" customFormat="1" ht="9.15" customHeight="1">
      <c r="A53" s="73"/>
      <c r="B53" s="18"/>
      <c r="C53" s="18"/>
      <c r="D53" s="18"/>
      <c r="E53" s="66"/>
      <c r="F53" s="66"/>
      <c r="G53" s="66"/>
      <c r="H53" s="67"/>
      <c r="I53" s="67"/>
      <c r="J53" s="66"/>
      <c r="K53" s="67"/>
      <c r="L53" s="67"/>
      <c r="M53" s="66"/>
      <c r="N53" s="67"/>
      <c r="O53" s="67"/>
      <c r="P53" s="67"/>
      <c r="Q53" s="19"/>
      <c r="R53" s="67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</row>
    <row r="54" spans="1:35" s="42" customFormat="1" ht="12.9" customHeight="1">
      <c r="A54" s="73" t="s">
        <v>4</v>
      </c>
      <c r="B54" s="18">
        <v>271</v>
      </c>
      <c r="C54" s="67" t="s">
        <v>24</v>
      </c>
      <c r="D54" s="18"/>
      <c r="E54" s="66">
        <v>218</v>
      </c>
      <c r="F54" s="67" t="s">
        <v>24</v>
      </c>
      <c r="G54" s="66"/>
      <c r="H54" s="67">
        <v>48</v>
      </c>
      <c r="I54" s="67" t="s">
        <v>24</v>
      </c>
      <c r="J54" s="66"/>
      <c r="K54" s="67">
        <v>3</v>
      </c>
      <c r="L54" s="67" t="s">
        <v>24</v>
      </c>
      <c r="M54" s="67"/>
      <c r="N54" s="67">
        <v>2</v>
      </c>
      <c r="O54" s="67" t="s">
        <v>24</v>
      </c>
      <c r="P54" s="67"/>
      <c r="Q54" s="19" t="s">
        <v>24</v>
      </c>
      <c r="R54" s="67" t="s">
        <v>24</v>
      </c>
      <c r="S54" s="85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</row>
    <row r="55" spans="1:35" s="42" customFormat="1" ht="9.15" customHeight="1">
      <c r="A55" s="73"/>
      <c r="B55" s="18"/>
      <c r="C55" s="19"/>
      <c r="D55" s="18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85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</row>
    <row r="56" spans="1:35" s="73" customFormat="1" ht="9.15" customHeight="1">
      <c r="B56" s="82"/>
      <c r="C56" s="83"/>
      <c r="D56" s="82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6"/>
    </row>
    <row r="57" spans="1:35" s="73" customFormat="1" ht="12.9" customHeight="1">
      <c r="A57" s="81" t="s">
        <v>100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</row>
    <row r="58" spans="1:35" s="73" customFormat="1" ht="12.9" customHeight="1">
      <c r="A58" s="81" t="s">
        <v>90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</row>
    <row r="59" spans="1:35" s="73" customFormat="1" ht="9.15" customHeight="1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</row>
  </sheetData>
  <mergeCells count="7">
    <mergeCell ref="B6:R6"/>
    <mergeCell ref="B7:C7"/>
    <mergeCell ref="E7:F7"/>
    <mergeCell ref="H7:I7"/>
    <mergeCell ref="K7:L7"/>
    <mergeCell ref="N7:O7"/>
    <mergeCell ref="Q7:R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showGridLines="0" workbookViewId="0"/>
  </sheetViews>
  <sheetFormatPr baseColWidth="10" defaultColWidth="9.75" defaultRowHeight="15"/>
  <cols>
    <col min="1" max="1" width="10.08203125" customWidth="1"/>
    <col min="2" max="2" width="4" customWidth="1"/>
    <col min="3" max="3" width="6" customWidth="1"/>
    <col min="4" max="4" width="0.33203125" customWidth="1"/>
    <col min="5" max="5" width="4.25" customWidth="1"/>
    <col min="6" max="6" width="5.9140625" customWidth="1"/>
    <col min="7" max="7" width="0.33203125" customWidth="1"/>
    <col min="8" max="8" width="4" customWidth="1"/>
    <col min="9" max="9" width="5.08203125" customWidth="1"/>
    <col min="10" max="10" width="0.33203125" customWidth="1"/>
    <col min="11" max="11" width="4.25" customWidth="1"/>
    <col min="12" max="12" width="4.75" customWidth="1"/>
    <col min="13" max="13" width="0.33203125" customWidth="1"/>
    <col min="14" max="14" width="4.33203125" customWidth="1"/>
    <col min="15" max="15" width="4.58203125" customWidth="1"/>
    <col min="16" max="16" width="0.33203125" customWidth="1"/>
    <col min="17" max="17" width="4.08203125" customWidth="1"/>
    <col min="18" max="18" width="4.6640625" customWidth="1"/>
    <col min="19" max="19" width="0.33203125" customWidth="1"/>
    <col min="20" max="20" width="4.75" customWidth="1"/>
    <col min="21" max="21" width="4.4140625" customWidth="1"/>
  </cols>
  <sheetData>
    <row r="1" spans="1:22" ht="15" customHeight="1">
      <c r="A1" s="87" t="s">
        <v>50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</row>
    <row r="2" spans="1:22" s="92" customFormat="1" ht="15" customHeight="1">
      <c r="A2" s="90" t="s">
        <v>112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91"/>
    </row>
    <row r="3" spans="1:22" s="92" customFormat="1" ht="15" customHeight="1">
      <c r="A3" s="90" t="s">
        <v>113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91"/>
    </row>
    <row r="4" spans="1:22" s="92" customFormat="1" ht="15" customHeight="1">
      <c r="A4" s="90" t="s">
        <v>114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</row>
    <row r="5" spans="1:22" s="92" customFormat="1" ht="9.1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</row>
    <row r="6" spans="1:22" s="94" customFormat="1" ht="9.15" customHeight="1">
      <c r="A6" s="93"/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</row>
    <row r="7" spans="1:22" s="98" customFormat="1" ht="12.9" customHeight="1">
      <c r="A7" s="95"/>
      <c r="B7" s="96"/>
      <c r="C7" s="96"/>
      <c r="D7" s="96"/>
      <c r="E7" s="148" t="s">
        <v>80</v>
      </c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97"/>
      <c r="T7" s="97"/>
      <c r="U7" s="97"/>
    </row>
    <row r="8" spans="1:22" s="98" customFormat="1" ht="13.5" customHeight="1">
      <c r="A8" s="99" t="s">
        <v>115</v>
      </c>
      <c r="B8" s="148" t="s">
        <v>116</v>
      </c>
      <c r="C8" s="148"/>
      <c r="D8" s="100"/>
      <c r="E8" s="147" t="s">
        <v>117</v>
      </c>
      <c r="F8" s="147"/>
      <c r="G8" s="100"/>
      <c r="H8" s="147" t="s">
        <v>118</v>
      </c>
      <c r="I8" s="147"/>
      <c r="J8" s="100"/>
      <c r="K8" s="147" t="s">
        <v>119</v>
      </c>
      <c r="L8" s="147"/>
      <c r="M8" s="100"/>
      <c r="N8" s="147" t="s">
        <v>120</v>
      </c>
      <c r="O8" s="147"/>
      <c r="P8" s="100"/>
      <c r="Q8" s="147" t="s">
        <v>121</v>
      </c>
      <c r="R8" s="147"/>
      <c r="S8" s="97"/>
      <c r="T8" s="147" t="s">
        <v>4</v>
      </c>
      <c r="U8" s="147"/>
    </row>
    <row r="9" spans="1:22" s="98" customFormat="1" ht="13.5" customHeight="1">
      <c r="A9" s="97" t="s">
        <v>122</v>
      </c>
      <c r="B9" s="101" t="s">
        <v>49</v>
      </c>
      <c r="C9" s="101" t="s">
        <v>42</v>
      </c>
      <c r="D9" s="95"/>
      <c r="E9" s="101" t="s">
        <v>49</v>
      </c>
      <c r="F9" s="101" t="s">
        <v>42</v>
      </c>
      <c r="G9" s="95"/>
      <c r="H9" s="101" t="s">
        <v>49</v>
      </c>
      <c r="I9" s="101" t="s">
        <v>42</v>
      </c>
      <c r="J9" s="95"/>
      <c r="K9" s="101" t="s">
        <v>49</v>
      </c>
      <c r="L9" s="101" t="s">
        <v>42</v>
      </c>
      <c r="M9" s="95"/>
      <c r="N9" s="101" t="s">
        <v>49</v>
      </c>
      <c r="O9" s="101" t="s">
        <v>42</v>
      </c>
      <c r="P9" s="95"/>
      <c r="Q9" s="101" t="s">
        <v>49</v>
      </c>
      <c r="R9" s="101" t="s">
        <v>42</v>
      </c>
      <c r="S9" s="97"/>
      <c r="T9" s="101" t="s">
        <v>49</v>
      </c>
      <c r="U9" s="101" t="s">
        <v>42</v>
      </c>
    </row>
    <row r="10" spans="1:22" s="98" customFormat="1" ht="12.9" customHeight="1">
      <c r="A10" s="96"/>
      <c r="B10" s="101" t="s">
        <v>46</v>
      </c>
      <c r="C10" s="102"/>
      <c r="D10" s="103"/>
      <c r="E10" s="101" t="s">
        <v>46</v>
      </c>
      <c r="F10" s="102"/>
      <c r="G10" s="104"/>
      <c r="H10" s="101" t="s">
        <v>46</v>
      </c>
      <c r="I10" s="102"/>
      <c r="J10" s="104"/>
      <c r="K10" s="101" t="s">
        <v>46</v>
      </c>
      <c r="L10" s="102"/>
      <c r="M10" s="104"/>
      <c r="N10" s="101" t="s">
        <v>46</v>
      </c>
      <c r="O10" s="102"/>
      <c r="P10" s="104"/>
      <c r="Q10" s="101" t="s">
        <v>46</v>
      </c>
      <c r="R10" s="102"/>
      <c r="S10" s="97"/>
      <c r="T10" s="101" t="s">
        <v>46</v>
      </c>
      <c r="U10" s="102"/>
    </row>
    <row r="11" spans="1:22" s="94" customFormat="1" ht="9.15" customHeight="1">
      <c r="A11" s="105"/>
      <c r="B11" s="105"/>
      <c r="C11" s="105"/>
      <c r="D11" s="105"/>
      <c r="E11" s="105"/>
      <c r="F11" s="105"/>
      <c r="G11" s="106"/>
      <c r="H11" s="106"/>
      <c r="I11" s="106"/>
      <c r="J11" s="105"/>
      <c r="K11" s="105"/>
      <c r="L11" s="105"/>
      <c r="M11" s="105"/>
      <c r="N11" s="105"/>
      <c r="O11" s="105"/>
      <c r="P11" s="105"/>
      <c r="Q11" s="105"/>
      <c r="R11" s="107"/>
      <c r="S11" s="108"/>
      <c r="T11" s="107"/>
      <c r="U11" s="107"/>
    </row>
    <row r="12" spans="1:22" s="113" customFormat="1" ht="9.15" customHeight="1">
      <c r="A12" s="109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1"/>
      <c r="S12" s="112"/>
      <c r="T12" s="112"/>
      <c r="U12" s="112"/>
    </row>
    <row r="13" spans="1:22" s="113" customFormat="1" ht="12.9" customHeight="1">
      <c r="A13" s="114" t="s">
        <v>123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</row>
    <row r="14" spans="1:22" s="113" customFormat="1" ht="9.15" customHeight="1">
      <c r="A14" s="114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2"/>
      <c r="O14" s="112"/>
      <c r="P14" s="112"/>
      <c r="Q14" s="112"/>
      <c r="R14" s="112"/>
      <c r="S14" s="112"/>
      <c r="T14" s="112"/>
      <c r="U14" s="112"/>
    </row>
    <row r="15" spans="1:22" s="113" customFormat="1" ht="12.9" customHeight="1">
      <c r="A15" s="116" t="s">
        <v>107</v>
      </c>
      <c r="B15" s="117">
        <v>169</v>
      </c>
      <c r="C15" s="117">
        <v>68365</v>
      </c>
      <c r="D15" s="117"/>
      <c r="E15" s="117">
        <v>145</v>
      </c>
      <c r="F15" s="117">
        <v>50313</v>
      </c>
      <c r="G15" s="117"/>
      <c r="H15" s="117">
        <v>19</v>
      </c>
      <c r="I15" s="117">
        <v>10708</v>
      </c>
      <c r="J15" s="117"/>
      <c r="K15" s="117">
        <v>4</v>
      </c>
      <c r="L15" s="117">
        <v>6851</v>
      </c>
      <c r="M15" s="117"/>
      <c r="N15" s="117" t="s">
        <v>124</v>
      </c>
      <c r="O15" s="117" t="s">
        <v>124</v>
      </c>
      <c r="P15" s="117" t="s">
        <v>124</v>
      </c>
      <c r="Q15" s="117" t="s">
        <v>124</v>
      </c>
      <c r="R15" s="117" t="s">
        <v>124</v>
      </c>
      <c r="S15" s="112"/>
      <c r="T15" s="117">
        <v>1</v>
      </c>
      <c r="U15" s="117">
        <v>493</v>
      </c>
    </row>
    <row r="16" spans="1:22" s="113" customFormat="1" ht="9.15" customHeight="1">
      <c r="A16" s="114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2"/>
      <c r="T16" s="112"/>
      <c r="U16" s="112"/>
    </row>
    <row r="17" spans="1:21" s="113" customFormat="1" ht="12.9" customHeight="1">
      <c r="A17" s="116" t="s">
        <v>125</v>
      </c>
      <c r="B17" s="117">
        <v>11</v>
      </c>
      <c r="C17" s="117">
        <v>171</v>
      </c>
      <c r="D17" s="117"/>
      <c r="E17" s="117">
        <v>9</v>
      </c>
      <c r="F17" s="117">
        <v>152</v>
      </c>
      <c r="G17" s="118"/>
      <c r="H17" s="117">
        <v>2</v>
      </c>
      <c r="I17" s="117">
        <v>19</v>
      </c>
      <c r="J17" s="117"/>
      <c r="K17" s="117" t="s">
        <v>24</v>
      </c>
      <c r="L17" s="117" t="s">
        <v>24</v>
      </c>
      <c r="M17" s="117"/>
      <c r="N17" s="117" t="s">
        <v>124</v>
      </c>
      <c r="O17" s="117" t="s">
        <v>124</v>
      </c>
      <c r="P17" s="117"/>
      <c r="Q17" s="117" t="s">
        <v>124</v>
      </c>
      <c r="R17" s="117" t="s">
        <v>124</v>
      </c>
      <c r="S17" s="118"/>
      <c r="T17" s="117" t="s">
        <v>24</v>
      </c>
      <c r="U17" s="117" t="s">
        <v>24</v>
      </c>
    </row>
    <row r="18" spans="1:21" s="113" customFormat="1" ht="9.15" customHeight="1">
      <c r="A18" s="114"/>
      <c r="B18" s="117"/>
      <c r="C18" s="117"/>
      <c r="D18" s="117"/>
      <c r="E18" s="117"/>
      <c r="F18" s="117"/>
      <c r="G18" s="118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8"/>
      <c r="T18" s="117"/>
      <c r="U18" s="117"/>
    </row>
    <row r="19" spans="1:21" s="113" customFormat="1" ht="12.9" customHeight="1">
      <c r="A19" s="116" t="s">
        <v>126</v>
      </c>
      <c r="B19" s="117">
        <v>81</v>
      </c>
      <c r="C19" s="117">
        <v>5011</v>
      </c>
      <c r="D19" s="117"/>
      <c r="E19" s="117">
        <v>78</v>
      </c>
      <c r="F19" s="117">
        <v>4809</v>
      </c>
      <c r="G19" s="118"/>
      <c r="H19" s="117">
        <v>2</v>
      </c>
      <c r="I19" s="117">
        <v>139</v>
      </c>
      <c r="J19" s="117"/>
      <c r="K19" s="117">
        <v>1</v>
      </c>
      <c r="L19" s="117">
        <v>63</v>
      </c>
      <c r="M19" s="117"/>
      <c r="N19" s="117" t="s">
        <v>124</v>
      </c>
      <c r="O19" s="117" t="s">
        <v>124</v>
      </c>
      <c r="P19" s="117"/>
      <c r="Q19" s="117" t="s">
        <v>124</v>
      </c>
      <c r="R19" s="117" t="s">
        <v>124</v>
      </c>
      <c r="S19" s="118"/>
      <c r="T19" s="117" t="s">
        <v>24</v>
      </c>
      <c r="U19" s="117" t="s">
        <v>24</v>
      </c>
    </row>
    <row r="20" spans="1:21" s="113" customFormat="1" ht="9.15" customHeight="1">
      <c r="A20" s="114"/>
      <c r="B20" s="117"/>
      <c r="C20" s="117"/>
      <c r="D20" s="117"/>
      <c r="E20" s="117"/>
      <c r="F20" s="117"/>
      <c r="G20" s="118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8"/>
      <c r="T20" s="117"/>
      <c r="U20" s="117"/>
    </row>
    <row r="21" spans="1:21" s="113" customFormat="1" ht="12.9" customHeight="1">
      <c r="A21" s="116" t="s">
        <v>127</v>
      </c>
      <c r="B21" s="117">
        <v>17</v>
      </c>
      <c r="C21" s="117">
        <v>1656</v>
      </c>
      <c r="D21" s="117"/>
      <c r="E21" s="117">
        <v>14</v>
      </c>
      <c r="F21" s="117">
        <v>1314</v>
      </c>
      <c r="G21" s="118"/>
      <c r="H21" s="117">
        <v>3</v>
      </c>
      <c r="I21" s="117">
        <v>342</v>
      </c>
      <c r="J21" s="117"/>
      <c r="K21" s="117" t="s">
        <v>24</v>
      </c>
      <c r="L21" s="117" t="s">
        <v>24</v>
      </c>
      <c r="M21" s="117"/>
      <c r="N21" s="117" t="s">
        <v>124</v>
      </c>
      <c r="O21" s="117" t="s">
        <v>124</v>
      </c>
      <c r="P21" s="117"/>
      <c r="Q21" s="117" t="s">
        <v>124</v>
      </c>
      <c r="R21" s="117" t="s">
        <v>124</v>
      </c>
      <c r="S21" s="118"/>
      <c r="T21" s="117" t="s">
        <v>24</v>
      </c>
      <c r="U21" s="117" t="s">
        <v>24</v>
      </c>
    </row>
    <row r="22" spans="1:21" s="113" customFormat="1" ht="9.15" customHeight="1">
      <c r="A22" s="114"/>
      <c r="B22" s="117"/>
      <c r="C22" s="117"/>
      <c r="D22" s="117"/>
      <c r="E22" s="117"/>
      <c r="F22" s="117"/>
      <c r="G22" s="118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8"/>
      <c r="T22" s="117"/>
      <c r="U22" s="117"/>
    </row>
    <row r="23" spans="1:21" s="113" customFormat="1" ht="12.9" customHeight="1">
      <c r="A23" s="116" t="s">
        <v>128</v>
      </c>
      <c r="B23" s="117">
        <v>16</v>
      </c>
      <c r="C23" s="117">
        <v>2581</v>
      </c>
      <c r="D23" s="117"/>
      <c r="E23" s="117">
        <v>13</v>
      </c>
      <c r="F23" s="117">
        <v>2147</v>
      </c>
      <c r="G23" s="118"/>
      <c r="H23" s="117">
        <v>3</v>
      </c>
      <c r="I23" s="117">
        <v>434</v>
      </c>
      <c r="J23" s="117"/>
      <c r="K23" s="117" t="s">
        <v>24</v>
      </c>
      <c r="L23" s="117" t="s">
        <v>24</v>
      </c>
      <c r="M23" s="117"/>
      <c r="N23" s="117" t="s">
        <v>124</v>
      </c>
      <c r="O23" s="117" t="s">
        <v>124</v>
      </c>
      <c r="P23" s="117"/>
      <c r="Q23" s="117" t="s">
        <v>124</v>
      </c>
      <c r="R23" s="117" t="s">
        <v>124</v>
      </c>
      <c r="S23" s="118"/>
      <c r="T23" s="117" t="s">
        <v>24</v>
      </c>
      <c r="U23" s="117" t="s">
        <v>24</v>
      </c>
    </row>
    <row r="24" spans="1:21" s="113" customFormat="1" ht="9.15" customHeight="1">
      <c r="A24" s="114"/>
      <c r="B24" s="117"/>
      <c r="C24" s="117"/>
      <c r="D24" s="117"/>
      <c r="E24" s="117"/>
      <c r="F24" s="117"/>
      <c r="G24" s="118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8"/>
      <c r="T24" s="117"/>
      <c r="U24" s="117"/>
    </row>
    <row r="25" spans="1:21" s="113" customFormat="1" ht="12.9" customHeight="1">
      <c r="A25" s="116" t="s">
        <v>129</v>
      </c>
      <c r="B25" s="117">
        <v>18</v>
      </c>
      <c r="C25" s="117">
        <v>5837</v>
      </c>
      <c r="D25" s="117"/>
      <c r="E25" s="117">
        <v>10</v>
      </c>
      <c r="F25" s="117">
        <v>2810</v>
      </c>
      <c r="G25" s="118"/>
      <c r="H25" s="117">
        <v>6</v>
      </c>
      <c r="I25" s="117">
        <v>2101</v>
      </c>
      <c r="J25" s="117"/>
      <c r="K25" s="117">
        <v>1</v>
      </c>
      <c r="L25" s="117">
        <v>433</v>
      </c>
      <c r="M25" s="117"/>
      <c r="N25" s="117" t="s">
        <v>124</v>
      </c>
      <c r="O25" s="117" t="s">
        <v>124</v>
      </c>
      <c r="P25" s="117"/>
      <c r="Q25" s="117" t="s">
        <v>124</v>
      </c>
      <c r="R25" s="117" t="s">
        <v>124</v>
      </c>
      <c r="S25" s="118"/>
      <c r="T25" s="117">
        <v>1</v>
      </c>
      <c r="U25" s="117">
        <v>493</v>
      </c>
    </row>
    <row r="26" spans="1:21" s="113" customFormat="1" ht="9.15" customHeight="1">
      <c r="A26" s="116" t="s">
        <v>87</v>
      </c>
      <c r="B26" s="117"/>
      <c r="C26" s="117"/>
      <c r="D26" s="117"/>
      <c r="E26" s="117"/>
      <c r="F26" s="117"/>
      <c r="G26" s="118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8"/>
      <c r="T26" s="117"/>
      <c r="U26" s="117"/>
    </row>
    <row r="27" spans="1:21" s="113" customFormat="1" ht="12.9" customHeight="1">
      <c r="A27" s="116" t="s">
        <v>130</v>
      </c>
      <c r="B27" s="117">
        <v>11</v>
      </c>
      <c r="C27" s="117">
        <v>7260</v>
      </c>
      <c r="D27" s="117"/>
      <c r="E27" s="117">
        <v>9</v>
      </c>
      <c r="F27" s="117">
        <v>5850</v>
      </c>
      <c r="G27" s="118"/>
      <c r="H27" s="117">
        <v>1</v>
      </c>
      <c r="I27" s="117">
        <v>535</v>
      </c>
      <c r="J27" s="117"/>
      <c r="K27" s="117">
        <v>1</v>
      </c>
      <c r="L27" s="117">
        <v>875</v>
      </c>
      <c r="M27" s="117"/>
      <c r="N27" s="117" t="s">
        <v>124</v>
      </c>
      <c r="O27" s="117" t="s">
        <v>124</v>
      </c>
      <c r="P27" s="117"/>
      <c r="Q27" s="117" t="s">
        <v>124</v>
      </c>
      <c r="R27" s="117" t="s">
        <v>124</v>
      </c>
      <c r="S27" s="118"/>
      <c r="T27" s="117" t="s">
        <v>24</v>
      </c>
      <c r="U27" s="117" t="s">
        <v>24</v>
      </c>
    </row>
    <row r="28" spans="1:21" s="113" customFormat="1" ht="9.15" customHeight="1">
      <c r="A28" s="114"/>
      <c r="B28" s="117"/>
      <c r="C28" s="117"/>
      <c r="D28" s="117"/>
      <c r="E28" s="117"/>
      <c r="F28" s="117"/>
      <c r="G28" s="118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8"/>
      <c r="T28" s="117"/>
      <c r="U28" s="117"/>
    </row>
    <row r="29" spans="1:21" s="113" customFormat="1" ht="12.9" customHeight="1">
      <c r="A29" s="116" t="s">
        <v>98</v>
      </c>
      <c r="B29" s="117">
        <v>5</v>
      </c>
      <c r="C29" s="117">
        <v>7212</v>
      </c>
      <c r="D29" s="117"/>
      <c r="E29" s="117">
        <v>4</v>
      </c>
      <c r="F29" s="117">
        <v>6022</v>
      </c>
      <c r="G29" s="118"/>
      <c r="H29" s="117">
        <v>1</v>
      </c>
      <c r="I29" s="117">
        <v>1190</v>
      </c>
      <c r="J29" s="117"/>
      <c r="K29" s="117" t="s">
        <v>24</v>
      </c>
      <c r="L29" s="117" t="s">
        <v>24</v>
      </c>
      <c r="M29" s="117"/>
      <c r="N29" s="117" t="s">
        <v>124</v>
      </c>
      <c r="O29" s="117" t="s">
        <v>124</v>
      </c>
      <c r="P29" s="117"/>
      <c r="Q29" s="117" t="s">
        <v>124</v>
      </c>
      <c r="R29" s="117" t="s">
        <v>124</v>
      </c>
      <c r="S29" s="118"/>
      <c r="T29" s="117" t="s">
        <v>24</v>
      </c>
      <c r="U29" s="117" t="s">
        <v>24</v>
      </c>
    </row>
    <row r="30" spans="1:21" s="113" customFormat="1" ht="9.15" customHeight="1">
      <c r="A30" s="114"/>
      <c r="B30" s="117"/>
      <c r="C30" s="117"/>
      <c r="D30" s="117"/>
      <c r="E30" s="117"/>
      <c r="F30" s="117"/>
      <c r="G30" s="118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8"/>
      <c r="T30" s="117"/>
      <c r="U30" s="117"/>
    </row>
    <row r="31" spans="1:21" s="113" customFormat="1" ht="12.9" customHeight="1">
      <c r="A31" s="116" t="s">
        <v>99</v>
      </c>
      <c r="B31" s="117">
        <v>10</v>
      </c>
      <c r="C31" s="117">
        <v>38637</v>
      </c>
      <c r="D31" s="117"/>
      <c r="E31" s="117">
        <v>8</v>
      </c>
      <c r="F31" s="117">
        <v>27209</v>
      </c>
      <c r="G31" s="118"/>
      <c r="H31" s="117">
        <v>1</v>
      </c>
      <c r="I31" s="117">
        <v>5948</v>
      </c>
      <c r="J31" s="118"/>
      <c r="K31" s="117">
        <v>1</v>
      </c>
      <c r="L31" s="117">
        <v>5480</v>
      </c>
      <c r="M31" s="117"/>
      <c r="N31" s="117" t="s">
        <v>124</v>
      </c>
      <c r="O31" s="117" t="s">
        <v>124</v>
      </c>
      <c r="P31" s="117"/>
      <c r="Q31" s="117" t="s">
        <v>124</v>
      </c>
      <c r="R31" s="117" t="s">
        <v>124</v>
      </c>
      <c r="S31" s="118"/>
      <c r="T31" s="117" t="s">
        <v>24</v>
      </c>
      <c r="U31" s="117" t="s">
        <v>24</v>
      </c>
    </row>
    <row r="32" spans="1:21" s="113" customFormat="1" ht="9.15" customHeight="1">
      <c r="A32" s="116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2"/>
      <c r="T32" s="112"/>
      <c r="U32" s="112"/>
    </row>
    <row r="33" spans="1:21" s="113" customFormat="1" ht="12.9" customHeight="1">
      <c r="A33" s="114" t="s">
        <v>131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</row>
    <row r="34" spans="1:21" s="113" customFormat="1" ht="9.15" customHeight="1">
      <c r="A34" s="114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2"/>
      <c r="O34" s="112"/>
      <c r="P34" s="112"/>
      <c r="Q34" s="112"/>
      <c r="R34" s="112"/>
      <c r="S34" s="112"/>
      <c r="T34" s="112"/>
      <c r="U34" s="112"/>
    </row>
    <row r="35" spans="1:21" s="113" customFormat="1" ht="12.9" customHeight="1">
      <c r="A35" s="116" t="s">
        <v>107</v>
      </c>
      <c r="B35" s="117">
        <v>228</v>
      </c>
      <c r="C35" s="117">
        <v>104015.20999999999</v>
      </c>
      <c r="D35" s="117"/>
      <c r="E35" s="117">
        <v>176</v>
      </c>
      <c r="F35" s="117">
        <v>45499.360000000001</v>
      </c>
      <c r="G35" s="117"/>
      <c r="H35" s="117">
        <v>31</v>
      </c>
      <c r="I35" s="117">
        <v>41706.78</v>
      </c>
      <c r="J35" s="117"/>
      <c r="K35" s="117">
        <v>6</v>
      </c>
      <c r="L35" s="117">
        <v>4983.12</v>
      </c>
      <c r="M35" s="117"/>
      <c r="N35" s="117">
        <v>12</v>
      </c>
      <c r="O35" s="117">
        <v>6697.2999999999993</v>
      </c>
      <c r="P35" s="117"/>
      <c r="Q35" s="117">
        <v>3</v>
      </c>
      <c r="R35" s="119">
        <v>5128.6499999999996</v>
      </c>
      <c r="S35" s="112"/>
      <c r="T35" s="117" t="s">
        <v>124</v>
      </c>
      <c r="U35" s="117" t="s">
        <v>124</v>
      </c>
    </row>
    <row r="36" spans="1:21" s="113" customFormat="1" ht="9.15" customHeight="1">
      <c r="A36" s="114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2"/>
      <c r="T36" s="112"/>
      <c r="U36" s="112"/>
    </row>
    <row r="37" spans="1:21" s="113" customFormat="1" ht="12.9" customHeight="1">
      <c r="A37" s="116" t="s">
        <v>125</v>
      </c>
      <c r="B37" s="117" t="s">
        <v>24</v>
      </c>
      <c r="C37" s="117" t="s">
        <v>24</v>
      </c>
      <c r="D37" s="117"/>
      <c r="E37" s="117">
        <v>1</v>
      </c>
      <c r="F37" s="117">
        <v>29.21</v>
      </c>
      <c r="G37" s="117"/>
      <c r="H37" s="117" t="s">
        <v>24</v>
      </c>
      <c r="I37" s="117" t="s">
        <v>24</v>
      </c>
      <c r="J37" s="117"/>
      <c r="K37" s="117" t="s">
        <v>24</v>
      </c>
      <c r="L37" s="117" t="s">
        <v>24</v>
      </c>
      <c r="M37" s="117"/>
      <c r="N37" s="117" t="s">
        <v>24</v>
      </c>
      <c r="O37" s="117" t="s">
        <v>24</v>
      </c>
      <c r="P37" s="117"/>
      <c r="Q37" s="117" t="s">
        <v>24</v>
      </c>
      <c r="R37" s="117" t="s">
        <v>24</v>
      </c>
      <c r="S37" s="112"/>
      <c r="T37" s="117" t="s">
        <v>124</v>
      </c>
      <c r="U37" s="117" t="s">
        <v>124</v>
      </c>
    </row>
    <row r="38" spans="1:21" s="113" customFormat="1" ht="9.15" customHeight="1">
      <c r="A38" s="114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2"/>
      <c r="T38" s="112"/>
      <c r="U38" s="112"/>
    </row>
    <row r="39" spans="1:21" s="113" customFormat="1" ht="12.9" customHeight="1">
      <c r="A39" s="116" t="s">
        <v>126</v>
      </c>
      <c r="B39" s="117">
        <v>80</v>
      </c>
      <c r="C39" s="117">
        <v>5170.83</v>
      </c>
      <c r="D39" s="117"/>
      <c r="E39" s="117">
        <v>78</v>
      </c>
      <c r="F39" s="117">
        <v>5047.28</v>
      </c>
      <c r="G39" s="117"/>
      <c r="H39" s="117">
        <v>1</v>
      </c>
      <c r="I39" s="117">
        <v>47.35</v>
      </c>
      <c r="J39" s="117"/>
      <c r="K39" s="117" t="s">
        <v>24</v>
      </c>
      <c r="L39" s="117" t="s">
        <v>24</v>
      </c>
      <c r="M39" s="117"/>
      <c r="N39" s="117">
        <v>1</v>
      </c>
      <c r="O39" s="117">
        <v>76.2</v>
      </c>
      <c r="P39" s="117"/>
      <c r="Q39" s="117" t="s">
        <v>24</v>
      </c>
      <c r="R39" s="117" t="s">
        <v>24</v>
      </c>
      <c r="S39" s="112"/>
      <c r="T39" s="117" t="s">
        <v>124</v>
      </c>
      <c r="U39" s="117" t="s">
        <v>124</v>
      </c>
    </row>
    <row r="40" spans="1:21" s="113" customFormat="1" ht="9.15" customHeight="1">
      <c r="A40" s="114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2"/>
      <c r="T40" s="112"/>
      <c r="U40" s="112"/>
    </row>
    <row r="41" spans="1:21" s="113" customFormat="1" ht="12.9" customHeight="1">
      <c r="A41" s="116" t="s">
        <v>127</v>
      </c>
      <c r="B41" s="117">
        <v>21</v>
      </c>
      <c r="C41" s="117">
        <v>2100.4</v>
      </c>
      <c r="D41" s="117"/>
      <c r="E41" s="117">
        <v>18</v>
      </c>
      <c r="F41" s="117">
        <v>1806.01</v>
      </c>
      <c r="G41" s="117"/>
      <c r="H41" s="117">
        <v>1</v>
      </c>
      <c r="I41" s="117">
        <v>100.95</v>
      </c>
      <c r="J41" s="117"/>
      <c r="K41" s="117" t="s">
        <v>24</v>
      </c>
      <c r="L41" s="117" t="s">
        <v>24</v>
      </c>
      <c r="M41" s="117"/>
      <c r="N41" s="117">
        <v>2</v>
      </c>
      <c r="O41" s="119">
        <v>193.44</v>
      </c>
      <c r="P41" s="117"/>
      <c r="Q41" s="117" t="s">
        <v>24</v>
      </c>
      <c r="R41" s="117" t="s">
        <v>24</v>
      </c>
      <c r="S41" s="112"/>
      <c r="T41" s="117" t="s">
        <v>124</v>
      </c>
      <c r="U41" s="117" t="s">
        <v>124</v>
      </c>
    </row>
    <row r="42" spans="1:21" s="113" customFormat="1" ht="9.15" customHeight="1">
      <c r="A42" s="114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2"/>
      <c r="T42" s="112"/>
      <c r="U42" s="112"/>
    </row>
    <row r="43" spans="1:21" s="113" customFormat="1" ht="12.9" customHeight="1">
      <c r="A43" s="116" t="s">
        <v>128</v>
      </c>
      <c r="B43" s="117">
        <v>31</v>
      </c>
      <c r="C43" s="117">
        <v>4872.41</v>
      </c>
      <c r="D43" s="117"/>
      <c r="E43" s="117">
        <v>25</v>
      </c>
      <c r="F43" s="117">
        <v>3909.9</v>
      </c>
      <c r="G43" s="117"/>
      <c r="H43" s="117">
        <v>3</v>
      </c>
      <c r="I43" s="117">
        <v>503</v>
      </c>
      <c r="J43" s="117"/>
      <c r="K43" s="117" t="s">
        <v>24</v>
      </c>
      <c r="L43" s="117" t="s">
        <v>24</v>
      </c>
      <c r="M43" s="117"/>
      <c r="N43" s="117">
        <v>3</v>
      </c>
      <c r="O43" s="117">
        <v>459.51</v>
      </c>
      <c r="P43" s="117"/>
      <c r="Q43" s="117" t="s">
        <v>24</v>
      </c>
      <c r="R43" s="117" t="s">
        <v>24</v>
      </c>
      <c r="S43" s="112"/>
      <c r="T43" s="117" t="s">
        <v>124</v>
      </c>
      <c r="U43" s="117" t="s">
        <v>124</v>
      </c>
    </row>
    <row r="44" spans="1:21" s="113" customFormat="1" ht="9.15" customHeight="1">
      <c r="A44" s="114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2"/>
      <c r="T44" s="112"/>
      <c r="U44" s="112"/>
    </row>
    <row r="45" spans="1:21" s="113" customFormat="1" ht="12.9" customHeight="1">
      <c r="A45" s="116" t="s">
        <v>129</v>
      </c>
      <c r="B45" s="117">
        <v>59</v>
      </c>
      <c r="C45" s="117">
        <v>18672.210000000003</v>
      </c>
      <c r="D45" s="117"/>
      <c r="E45" s="117">
        <v>38</v>
      </c>
      <c r="F45" s="117">
        <v>11228.04</v>
      </c>
      <c r="G45" s="117"/>
      <c r="H45" s="117">
        <v>15</v>
      </c>
      <c r="I45" s="117">
        <v>5130.21</v>
      </c>
      <c r="J45" s="117"/>
      <c r="K45" s="117">
        <v>2</v>
      </c>
      <c r="L45" s="117">
        <v>738.89</v>
      </c>
      <c r="M45" s="117"/>
      <c r="N45" s="117">
        <v>3</v>
      </c>
      <c r="O45" s="117">
        <v>1251.24</v>
      </c>
      <c r="P45" s="117"/>
      <c r="Q45" s="117">
        <v>1</v>
      </c>
      <c r="R45" s="117">
        <v>323.83</v>
      </c>
      <c r="S45" s="112"/>
      <c r="T45" s="117" t="s">
        <v>124</v>
      </c>
      <c r="U45" s="117" t="s">
        <v>124</v>
      </c>
    </row>
    <row r="46" spans="1:21" s="113" customFormat="1" ht="9.15" customHeight="1">
      <c r="A46" s="116" t="s">
        <v>87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2"/>
      <c r="T46" s="112"/>
      <c r="U46" s="112"/>
    </row>
    <row r="47" spans="1:21" s="113" customFormat="1" ht="12.9" customHeight="1">
      <c r="A47" s="116" t="s">
        <v>130</v>
      </c>
      <c r="B47" s="117">
        <v>14</v>
      </c>
      <c r="C47" s="117">
        <v>9734.619999999999</v>
      </c>
      <c r="D47" s="117"/>
      <c r="E47" s="117">
        <v>7</v>
      </c>
      <c r="F47" s="117">
        <v>5245.87</v>
      </c>
      <c r="G47" s="117"/>
      <c r="H47" s="117">
        <v>5</v>
      </c>
      <c r="I47" s="117">
        <v>3303.52</v>
      </c>
      <c r="J47" s="117"/>
      <c r="K47" s="117">
        <v>2</v>
      </c>
      <c r="L47" s="117">
        <v>1185.23</v>
      </c>
      <c r="M47" s="117"/>
      <c r="N47" s="117" t="s">
        <v>24</v>
      </c>
      <c r="O47" s="117" t="s">
        <v>24</v>
      </c>
      <c r="P47" s="117"/>
      <c r="Q47" s="117" t="s">
        <v>24</v>
      </c>
      <c r="R47" s="117" t="s">
        <v>24</v>
      </c>
      <c r="S47" s="112"/>
      <c r="T47" s="117" t="s">
        <v>124</v>
      </c>
      <c r="U47" s="117" t="s">
        <v>124</v>
      </c>
    </row>
    <row r="48" spans="1:21" s="113" customFormat="1" ht="9.15" customHeight="1">
      <c r="A48" s="114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2"/>
      <c r="T48" s="112"/>
      <c r="U48" s="112"/>
    </row>
    <row r="49" spans="1:21" s="113" customFormat="1" ht="12.9" customHeight="1">
      <c r="A49" s="116" t="s">
        <v>98</v>
      </c>
      <c r="B49" s="117">
        <v>12</v>
      </c>
      <c r="C49" s="117">
        <v>17849.86</v>
      </c>
      <c r="D49" s="117"/>
      <c r="E49" s="117">
        <v>6</v>
      </c>
      <c r="F49" s="117">
        <v>9178.9500000000007</v>
      </c>
      <c r="G49" s="117"/>
      <c r="H49" s="117">
        <v>1</v>
      </c>
      <c r="I49" s="117">
        <v>1770</v>
      </c>
      <c r="J49" s="117"/>
      <c r="K49" s="117">
        <v>2</v>
      </c>
      <c r="L49" s="117">
        <v>3059</v>
      </c>
      <c r="M49" s="117"/>
      <c r="N49" s="117">
        <v>2</v>
      </c>
      <c r="O49" s="117">
        <v>2436.91</v>
      </c>
      <c r="P49" s="117"/>
      <c r="Q49" s="117">
        <v>1</v>
      </c>
      <c r="R49" s="117">
        <v>1405</v>
      </c>
      <c r="S49" s="112"/>
      <c r="T49" s="117" t="s">
        <v>124</v>
      </c>
      <c r="U49" s="117" t="s">
        <v>124</v>
      </c>
    </row>
    <row r="50" spans="1:21" s="113" customFormat="1" ht="9.15" customHeight="1">
      <c r="A50" s="114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2"/>
      <c r="T50" s="112"/>
      <c r="U50" s="112"/>
    </row>
    <row r="51" spans="1:21" s="113" customFormat="1" ht="12.9" customHeight="1">
      <c r="A51" s="116" t="s">
        <v>99</v>
      </c>
      <c r="B51" s="117">
        <v>10</v>
      </c>
      <c r="C51" s="117">
        <v>45585.67</v>
      </c>
      <c r="D51" s="117"/>
      <c r="E51" s="117">
        <v>3</v>
      </c>
      <c r="F51" s="117">
        <v>9054.1</v>
      </c>
      <c r="G51" s="117"/>
      <c r="H51" s="117">
        <v>5</v>
      </c>
      <c r="I51" s="117">
        <v>30851.75</v>
      </c>
      <c r="J51" s="117"/>
      <c r="K51" s="117" t="s">
        <v>24</v>
      </c>
      <c r="L51" s="117" t="s">
        <v>24</v>
      </c>
      <c r="M51" s="117"/>
      <c r="N51" s="117">
        <v>1</v>
      </c>
      <c r="O51" s="117">
        <v>2280</v>
      </c>
      <c r="P51" s="117"/>
      <c r="Q51" s="117">
        <v>1</v>
      </c>
      <c r="R51" s="117">
        <v>3399.82</v>
      </c>
      <c r="S51" s="112"/>
      <c r="T51" s="117" t="s">
        <v>124</v>
      </c>
      <c r="U51" s="117" t="s">
        <v>124</v>
      </c>
    </row>
    <row r="52" spans="1:21" s="113" customFormat="1" ht="9.9" customHeight="1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2"/>
      <c r="T52" s="117"/>
      <c r="U52" s="117"/>
    </row>
    <row r="53" spans="1:21" s="122" customFormat="1" ht="9.15" customHeight="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1"/>
      <c r="T53" s="121"/>
      <c r="U53" s="121"/>
    </row>
    <row r="54" spans="1:21" s="122" customFormat="1" ht="12.9" customHeight="1">
      <c r="A54" s="123" t="s">
        <v>132</v>
      </c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1"/>
      <c r="T54" s="121"/>
      <c r="U54" s="121"/>
    </row>
    <row r="55" spans="1:21" s="122" customFormat="1" ht="12.9" customHeight="1">
      <c r="A55" s="123" t="s">
        <v>133</v>
      </c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1"/>
      <c r="T55" s="121"/>
      <c r="U55" s="121"/>
    </row>
    <row r="56" spans="1:21" s="122" customFormat="1" ht="9.15" customHeight="1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1"/>
      <c r="T56" s="121"/>
      <c r="U56" s="121"/>
    </row>
  </sheetData>
  <mergeCells count="8">
    <mergeCell ref="T8:U8"/>
    <mergeCell ref="E7:R7"/>
    <mergeCell ref="B8:C8"/>
    <mergeCell ref="E8:F8"/>
    <mergeCell ref="H8:I8"/>
    <mergeCell ref="K8:L8"/>
    <mergeCell ref="N8:O8"/>
    <mergeCell ref="Q8:R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2</vt:i4>
      </vt:variant>
    </vt:vector>
  </HeadingPairs>
  <TitlesOfParts>
    <vt:vector size="23" baseType="lpstr">
      <vt:lpstr>4.4.10_2024 </vt:lpstr>
      <vt:lpstr>4.4.10_2023</vt:lpstr>
      <vt:lpstr>4.4.10_2022</vt:lpstr>
      <vt:lpstr>4.4.10_2021</vt:lpstr>
      <vt:lpstr>4.4.10_2020</vt:lpstr>
      <vt:lpstr>4.4.10_2019</vt:lpstr>
      <vt:lpstr>4.4.10_2018</vt:lpstr>
      <vt:lpstr>4.4.10_2017</vt:lpstr>
      <vt:lpstr>4.4.10_2016</vt:lpstr>
      <vt:lpstr>4.4.11_2015</vt:lpstr>
      <vt:lpstr>4.4.11_2014</vt:lpstr>
      <vt:lpstr>4.4.11_2013</vt:lpstr>
      <vt:lpstr>4.4.11_2012</vt:lpstr>
      <vt:lpstr>4.4.11_2011</vt:lpstr>
      <vt:lpstr>4.4.11_2010</vt:lpstr>
      <vt:lpstr>4.4.11_2009</vt:lpstr>
      <vt:lpstr>4.4.11_2008</vt:lpstr>
      <vt:lpstr>4.4.11_2007</vt:lpstr>
      <vt:lpstr>4.4.11_2005 - 2006</vt:lpstr>
      <vt:lpstr>4.4.11_2003 - 2004</vt:lpstr>
      <vt:lpstr>4.4.11_2002 - 2001</vt:lpstr>
      <vt:lpstr>'4.4.10_2020'!Área_de_impresión</vt:lpstr>
      <vt:lpstr>'4.4.10_2021'!Área_de_impresión</vt:lpstr>
    </vt:vector>
  </TitlesOfParts>
  <Company>I.N.E.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DellGL1</dc:creator>
  <cp:lastModifiedBy>Stella Landeira</cp:lastModifiedBy>
  <cp:lastPrinted>2022-05-17T12:45:15Z</cp:lastPrinted>
  <dcterms:created xsi:type="dcterms:W3CDTF">1999-03-12T22:03:54Z</dcterms:created>
  <dcterms:modified xsi:type="dcterms:W3CDTF">2025-11-11T18:10:01Z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ffeb03e1-a9ed-4a72-b189-9e0cb1ea6a7b</vt:lpwstr>
  </property>
</Properties>
</file>